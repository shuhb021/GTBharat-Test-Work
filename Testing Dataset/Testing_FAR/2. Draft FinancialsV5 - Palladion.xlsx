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grcgt-my.sharepoint.com/personal/yash_nagar_walkerchandiok_in/Documents/Desktop/Office Work/Digital Audits/Final Analytical Review/samples from ET/For Use case to Students/"/>
    </mc:Choice>
  </mc:AlternateContent>
  <xr:revisionPtr revIDLastSave="4" documentId="13_ncr:1_{A4DA66BC-E5BD-4B8A-BD6C-E9D63F0BA88D}" xr6:coauthVersionLast="47" xr6:coauthVersionMax="47" xr10:uidLastSave="{95446507-0284-4159-818C-B99E8800DF67}"/>
  <bookViews>
    <workbookView xWindow="-110" yWindow="-110" windowWidth="19420" windowHeight="11500" tabRatio="1000" activeTab="12" xr2:uid="{597D2390-84B9-4860-B67A-9E0540D7B9AC}"/>
  </bookViews>
  <sheets>
    <sheet name="BS" sheetId="6" r:id="rId1"/>
    <sheet name="Cash flow Working" sheetId="66" state="hidden" r:id="rId2"/>
    <sheet name="PL" sheetId="7" r:id="rId3"/>
    <sheet name="SOCE " sheetId="8" state="hidden" r:id="rId4"/>
    <sheet name="Cashflow" sheetId="65" state="hidden" r:id="rId5"/>
    <sheet name="Note 1-2" sheetId="12" state="hidden" r:id="rId6"/>
    <sheet name="3-4" sheetId="13" r:id="rId7"/>
    <sheet name="5-7" sheetId="15" r:id="rId8"/>
    <sheet name="8-10" sheetId="16" r:id="rId9"/>
    <sheet name="11-13" sheetId="17" r:id="rId10"/>
    <sheet name="14-16" sheetId="70" r:id="rId11"/>
    <sheet name="17-25" sheetId="19" r:id="rId12"/>
    <sheet name="26-27" sheetId="50" r:id="rId13"/>
    <sheet name="E'ee Benefits 28 " sheetId="64" state="hidden" r:id="rId14"/>
    <sheet name="Leases 29" sheetId="22" state="hidden" r:id="rId15"/>
    <sheet name="30 RPT" sheetId="68" state="hidden" r:id="rId16"/>
    <sheet name="31 FVM" sheetId="24" state="hidden" r:id="rId17"/>
    <sheet name="32-33 FRM" sheetId="53" state="hidden" r:id="rId18"/>
    <sheet name="Note 34-43" sheetId="28" state="hidden" r:id="rId19"/>
    <sheet name="Elimination - PL" sheetId="61" state="hidden" r:id="rId20"/>
    <sheet name="Elimination - BS" sheetId="60" state="hidden" r:id="rId21"/>
    <sheet name="Standalone TB" sheetId="2" state="hidden" r:id="rId22"/>
    <sheet name="OBE" sheetId="69" state="hidden" r:id="rId23"/>
    <sheet name="Ratios Working" sheetId="40" state="hidden" r:id="rId24"/>
  </sheets>
  <externalReferences>
    <externalReference r:id="rId25"/>
  </externalReferences>
  <definedNames>
    <definedName name="__FDS_HYPERLINK_TOGGLE_STATE__">"ON"</definedName>
    <definedName name="__IntlFixup">TRUE</definedName>
    <definedName name="_xlnm._FilterDatabase" localSheetId="11" hidden="1">'17-25'!$A$152:$E$189</definedName>
    <definedName name="_xlnm._FilterDatabase" localSheetId="15" hidden="1">'30 RPT'!$C$13:$L$74</definedName>
    <definedName name="_xlnm._FilterDatabase" localSheetId="20" hidden="1">'Elimination - BS'!$A$6:$K$21</definedName>
    <definedName name="_xlnm._FilterDatabase" localSheetId="19" hidden="1">'Elimination - PL'!$A$6:$K$45</definedName>
    <definedName name="_xlnm._FilterDatabase" localSheetId="22" hidden="1">OBE!$A$2:$K$401</definedName>
    <definedName name="_xlnm._FilterDatabase" localSheetId="21" hidden="1">'Standalone TB'!$B$7:$AB$627</definedName>
    <definedName name="_Order1">255</definedName>
    <definedName name="_Order2">255</definedName>
    <definedName name="_Regression_Int">1</definedName>
    <definedName name="AccessDatabase">"C:\accts\AUD97_98.mdb"</definedName>
    <definedName name="anscount">2</definedName>
    <definedName name="AS2DocOpenMode">"AS2DocumentEdit"</definedName>
    <definedName name="AS2HasNoAutoHeaderFooter">" "</definedName>
    <definedName name="AS2NamedRange">2</definedName>
    <definedName name="AS2ReportLS">1</definedName>
    <definedName name="AS2VersionLS">300</definedName>
    <definedName name="BG_Del">15</definedName>
    <definedName name="BG_Ins">4</definedName>
    <definedName name="BG_Mod">6</definedName>
    <definedName name="bkj" localSheetId="10">{"'Sheet1'!$A$5:$E$42"}</definedName>
    <definedName name="bkj">{"'Sheet1'!$A$5:$E$42"}</definedName>
    <definedName name="cenvat" localSheetId="10">{"'August 2000'!$A$1:$J$101"}</definedName>
    <definedName name="cenvat">{"'August 2000'!$A$1:$J$101"}</definedName>
    <definedName name="crador" localSheetId="10">{"'kpi2-1'!$E$4"}</definedName>
    <definedName name="crador">{"'kpi2-1'!$E$4"}</definedName>
    <definedName name="csczd">0</definedName>
    <definedName name="dhakjs" localSheetId="10">{"'August 2000'!$A$1:$J$101"}</definedName>
    <definedName name="dhakjs">{"'August 2000'!$A$1:$J$101"}</definedName>
    <definedName name="EV__LASTREFTIME__">40035.4476736111</definedName>
    <definedName name="Ext_EP" localSheetId="10">{"'kpi2-1'!$E$4"}</definedName>
    <definedName name="Ext_EP">{"'kpi2-1'!$E$4"}</definedName>
    <definedName name="gejsdfngjkosdnm" localSheetId="10">{"'Sheet1'!$A$5:$E$42"}</definedName>
    <definedName name="gejsdfngjkosdnm">{"'Sheet1'!$A$5:$E$42"}</definedName>
    <definedName name="H_1" localSheetId="10">{"'Sheet1'!$A$5:$E$42"}</definedName>
    <definedName name="H_1">{"'Sheet1'!$A$5:$E$42"}</definedName>
    <definedName name="H_1_1" localSheetId="10">{"'Sheet1'!$A$5:$E$42"}</definedName>
    <definedName name="H_1_1">{"'Sheet1'!$A$5:$E$42"}</definedName>
    <definedName name="H_1_2" localSheetId="10">{"'Sheet1'!$A$5:$E$42"}</definedName>
    <definedName name="H_1_2">{"'Sheet1'!$A$5:$E$42"}</definedName>
    <definedName name="H_1_3" localSheetId="10">{"'Sheet1'!$A$5:$E$42"}</definedName>
    <definedName name="H_1_3">{"'Sheet1'!$A$5:$E$42"}</definedName>
    <definedName name="H_2" localSheetId="10">{"'Sheet1'!$A$5:$E$42"}</definedName>
    <definedName name="H_2">{"'Sheet1'!$A$5:$E$42"}</definedName>
    <definedName name="H_3" localSheetId="10">{"'Sheet1'!$A$5:$E$42"}</definedName>
    <definedName name="H_3">{"'Sheet1'!$A$5:$E$42"}</definedName>
    <definedName name="H_4" localSheetId="10">{"'Sheet1'!$A$5:$E$42"}</definedName>
    <definedName name="H_4">{"'Sheet1'!$A$5:$E$42"}</definedName>
    <definedName name="html" localSheetId="10">{"'kpi2-1'!$E$4"}</definedName>
    <definedName name="html">{"'kpi2-1'!$E$4"}</definedName>
    <definedName name="HTML_CodePage" localSheetId="4">949</definedName>
    <definedName name="HTML_CodePage">1252</definedName>
    <definedName name="HTML_Control" localSheetId="10">{"'kpi2-1'!$E$4"}</definedName>
    <definedName name="HTML_Control" localSheetId="4">{"'I-1 and I-2'!$A$1:$G$190"}</definedName>
    <definedName name="HTML_Control">{"'kpi2-1'!$E$4"}</definedName>
    <definedName name="HTML_Control_1" localSheetId="10">{"'August 2000'!$A$1:$J$101"}</definedName>
    <definedName name="HTML_Control_1">{"'August 2000'!$A$1:$J$101"}</definedName>
    <definedName name="HTML_Control_1_1" localSheetId="10">{"'Sheet1'!$A$5:$E$42"}</definedName>
    <definedName name="HTML_Control_1_1">{"'Sheet1'!$A$5:$E$42"}</definedName>
    <definedName name="HTML_Control_1_2" localSheetId="10">{"'Sheet1'!$A$5:$E$42"}</definedName>
    <definedName name="HTML_Control_1_2">{"'Sheet1'!$A$5:$E$42"}</definedName>
    <definedName name="HTML_Control_1_3" localSheetId="10">{"'Sheet1'!$A$5:$E$42"}</definedName>
    <definedName name="HTML_Control_1_3">{"'Sheet1'!$A$5:$E$42"}</definedName>
    <definedName name="HTML_Control_2" localSheetId="10">{"'Sheet1'!$A$5:$E$42"}</definedName>
    <definedName name="HTML_Control_2">{"'Sheet1'!$A$5:$E$42"}</definedName>
    <definedName name="HTML_Control_2_1" localSheetId="10">{"'Sheet1'!$A$5:$E$42"}</definedName>
    <definedName name="HTML_Control_2_1">{"'Sheet1'!$A$5:$E$42"}</definedName>
    <definedName name="HTML_Control_2_2" localSheetId="10">{"'Sheet1'!$A$5:$E$42"}</definedName>
    <definedName name="HTML_Control_2_2">{"'Sheet1'!$A$5:$E$42"}</definedName>
    <definedName name="HTML_Control_2_3" localSheetId="10">{"'Sheet1'!$A$5:$E$42"}</definedName>
    <definedName name="HTML_Control_2_3">{"'Sheet1'!$A$5:$E$42"}</definedName>
    <definedName name="HTML_Control_3" localSheetId="10">{"'Sheet1'!$A$5:$E$42"}</definedName>
    <definedName name="HTML_Control_3">{"'Sheet1'!$A$5:$E$42"}</definedName>
    <definedName name="HTML_Control_4" localSheetId="10">{"'Sheet1'!$A$5:$E$42"}</definedName>
    <definedName name="HTML_Control_4">{"'Sheet1'!$A$5:$E$42"}</definedName>
    <definedName name="HTML_Control_5" localSheetId="10">{"'Sheet1'!$A$5:$E$42"}</definedName>
    <definedName name="HTML_Control_5">{"'Sheet1'!$A$5:$E$42"}</definedName>
    <definedName name="HTML_control1" localSheetId="10">{"'August 2000'!$A$1:$J$101"}</definedName>
    <definedName name="HTML_control1">{"'August 2000'!$A$1:$J$101"}</definedName>
    <definedName name="HTML_control1_1" localSheetId="10">{"'August 2000'!$A$1:$J$101"}</definedName>
    <definedName name="HTML_control1_1">{"'August 2000'!$A$1:$J$101"}</definedName>
    <definedName name="HTML_control1_2" localSheetId="10">{"'August 2000'!$A$1:$J$101"}</definedName>
    <definedName name="HTML_control1_2">{"'August 2000'!$A$1:$J$101"}</definedName>
    <definedName name="HTML_Description">""</definedName>
    <definedName name="HTML_Email">""</definedName>
    <definedName name="HTML_Header" localSheetId="4">"I-1 and I-2"</definedName>
    <definedName name="HTML_Header">"kpi2-1"</definedName>
    <definedName name="HTML_LastUpdate" localSheetId="4">"97-09-03"</definedName>
    <definedName name="HTML_LastUpdate">"03/08/2000"</definedName>
    <definedName name="HTML_LineAfter">FALSE</definedName>
    <definedName name="HTML_LineBefore">FALSE</definedName>
    <definedName name="HTML_Name" localSheetId="4">"dsr"</definedName>
    <definedName name="HTML_Name">"STANCHART"</definedName>
    <definedName name="HTML_OBDlg2">TRUE</definedName>
    <definedName name="HTML_OBDlg4">TRUE</definedName>
    <definedName name="HTML_OS">0</definedName>
    <definedName name="HTML_PathFile" localSheetId="4">"C:\ECDUMP\Wrksheet\MyHTML.htm"</definedName>
    <definedName name="HTML_PathFile">"C:\My Documents\MyHTML.htm"</definedName>
    <definedName name="HTML_Title" localSheetId="4">"I-1&amp;I-2"</definedName>
    <definedName name="HTML_Title">"HKKPI01"</definedName>
    <definedName name="huy" localSheetId="10">{"'Sheet1'!$L$16"}</definedName>
    <definedName name="huy">{"'Sheet1'!$L$16"}</definedName>
    <definedName name="IQ_1_4_FAMILY_JUNIOR_LIENS_CHARGE_OFFS_FDIC">"c6605"</definedName>
    <definedName name="IQ_1_4_FAMILY_JUNIOR_LIENS_NET_CHARGE_OFFS_FDIC">"c6643"</definedName>
    <definedName name="IQ_1_4_FAMILY_JUNIOR_LIENS_RECOVERIES_FDIC">"c6624"</definedName>
    <definedName name="IQ_1_4_FAMILY_SENIOR_LIENS_CHARGE_OFFS_FDIC">"c6604"</definedName>
    <definedName name="IQ_1_4_FAMILY_SENIOR_LIENS_NET_CHARGE_OFFS_FDIC">"c6642"</definedName>
    <definedName name="IQ_1_4_FAMILY_SENIOR_LIENS_RECOVERIES_FDIC">"c6623"</definedName>
    <definedName name="IQ_1_4_HOME_EQUITY_NET_LOANS_FDIC">"c6441"</definedName>
    <definedName name="IQ_1_4_RESIDENTIAL_FIRST_LIENS_NET_LOANS_FDIC">"c6439"</definedName>
    <definedName name="IQ_1_4_RESIDENTIAL_JUNIOR_LIENS_NET_LOANS_FDIC">"c6440"</definedName>
    <definedName name="IQ_1_4_RESIDENTIAL_LOANS_FDIC">"c6310"</definedName>
    <definedName name="IQ_ACCOUNT_CHANGE">"c1449"</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CAGR">"c6159"</definedName>
    <definedName name="IQ_ACCT_RECV_10YR_ANN_GROWTH">"c1924"</definedName>
    <definedName name="IQ_ACCT_RECV_1YR_ANN_GROWTH">"c1919"</definedName>
    <definedName name="IQ_ACCT_RECV_2YR_ANN_CAGR">"c6155"</definedName>
    <definedName name="IQ_ACCT_RECV_2YR_ANN_GROWTH">"c1920"</definedName>
    <definedName name="IQ_ACCT_RECV_3YR_ANN_CAGR">"c6156"</definedName>
    <definedName name="IQ_ACCT_RECV_3YR_ANN_GROWTH">"c1921"</definedName>
    <definedName name="IQ_ACCT_RECV_5YR_ANN_CAGR">"c6157"</definedName>
    <definedName name="IQ_ACCT_RECV_5YR_ANN_GROWTH">"c1922"</definedName>
    <definedName name="IQ_ACCT_RECV_7YR_ANN_CAGR">"c6158"</definedName>
    <definedName name="IQ_ACCT_RECV_7YR_ANN_GROWTH">"c1923"</definedName>
    <definedName name="IQ_ACCUM_DEP">"c1340"</definedName>
    <definedName name="IQ_ACCUMULATED_PENSION_OBLIGATION">"c2244"</definedName>
    <definedName name="IQ_ACCUMULATED_PENSION_OBLIGATION_DOMESTIC">"c2657"</definedName>
    <definedName name="IQ_ACCUMULATED_PENSION_OBLIGATION_FOREIGN">"c2665"</definedName>
    <definedName name="IQ_ACQ_COST_SUB">"c2125"</definedName>
    <definedName name="IQ_ACQ_COSTS_CAPITALIZED">"c5"</definedName>
    <definedName name="IQ_ACQUIRE_REAL_ESTATE_CF">"c6"</definedName>
    <definedName name="IQ_ACQUIRED_BY_REPORTING_BANK_FDIC">"c6535"</definedName>
    <definedName name="IQ_ACQUISITION_RE_ASSETS">"c1628"</definedName>
    <definedName name="IQ_AD">"c7"</definedName>
    <definedName name="IQ_ADD_PAID_IN">"c1344"</definedName>
    <definedName name="IQ_ADDIN">"AUTO"</definedName>
    <definedName name="IQ_ADDITIONAL_NON_INT_INC_FDIC">"c6574"</definedName>
    <definedName name="IQ_ADJ_AVG_BANK_ASSETS">"c2671"</definedName>
    <definedName name="IQ_ADJUSTABLE_RATE_LOANS_FDIC">"c6375"</definedName>
    <definedName name="IQ_ADMIN_RATIO">"c2784"</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"c6195"</definedName>
    <definedName name="IQ_AE_REIT">"c13"</definedName>
    <definedName name="IQ_AE_UTI">"c14"</definedName>
    <definedName name="IQ_AFTER_TAX_INCOME_FDIC">"c6583"</definedName>
    <definedName name="IQ_AGRICULTURAL_PRODUCTION_CHARGE_OFFS_FDIC">"c6597"</definedName>
    <definedName name="IQ_AGRICULTURAL_PRODUCTION_CHARGE_OFFS_LESS_THAN_300M_FDIC">"c6655"</definedName>
    <definedName name="IQ_AGRICULTURAL_PRODUCTION_NET_CHARGE_OFFS_FDIC">"c6635"</definedName>
    <definedName name="IQ_AGRICULTURAL_PRODUCTION_NET_CHARGE_OFFS_LESS_THAN_300M_FDIC">"c6657"</definedName>
    <definedName name="IQ_AGRICULTURAL_PRODUCTION_RECOVERIES_FDIC">"c6616"</definedName>
    <definedName name="IQ_AGRICULTURAL_PRODUCTION_RECOVERIES_LESS_THAN_300M_FDIC">"c6656"</definedName>
    <definedName name="IQ_AH_EARNED">"c2744"</definedName>
    <definedName name="IQ_AH_POLICY_BENEFITS_EXP">"c2789"</definedName>
    <definedName name="IQ_AIR_AIRPLANES_NOT_IN_SERVICE">"c2842"</definedName>
    <definedName name="IQ_AIR_AIRPLANES_SUBLEASED">"c2841"</definedName>
    <definedName name="IQ_AIR_ASK">"c2813"</definedName>
    <definedName name="IQ_AIR_ASK_INCREASE">"c2826"</definedName>
    <definedName name="IQ_AIR_ASM">"c2812"</definedName>
    <definedName name="IQ_AIR_ASM_INCREASE">"c2825"</definedName>
    <definedName name="IQ_AIR_AVG_AGE">"c2843"</definedName>
    <definedName name="IQ_AIR_BREAK_EVEN_FACTOR">"c2822"</definedName>
    <definedName name="IQ_AIR_CAPITAL_LEASE">"c2833"</definedName>
    <definedName name="IQ_AIR_COMPLETION_FACTOR">"c2824"</definedName>
    <definedName name="IQ_AIR_ENPLANED_PSGRS">"c2809"</definedName>
    <definedName name="IQ_AIR_FUEL_CONSUMED">"c2806"</definedName>
    <definedName name="IQ_AIR_FUEL_CONSUMED_L">"c2807"</definedName>
    <definedName name="IQ_AIR_FUEL_COST">"c2803"</definedName>
    <definedName name="IQ_AIR_FUEL_COST_L">"c2804"</definedName>
    <definedName name="IQ_AIR_FUEL_EXP">"c2802"</definedName>
    <definedName name="IQ_AIR_FUEL_EXP_PERCENT">"c2805"</definedName>
    <definedName name="IQ_AIR_LEASED">"c2835"</definedName>
    <definedName name="IQ_AIR_LOAD_FACTOR">"c2823"</definedName>
    <definedName name="IQ_AIR_NEW_AIRPLANES">"c2839"</definedName>
    <definedName name="IQ_AIR_OPER_EXP_ASK">"c2821"</definedName>
    <definedName name="IQ_AIR_OPER_EXP_ASM">"c2820"</definedName>
    <definedName name="IQ_AIR_OPER_LEASE">"c2834"</definedName>
    <definedName name="IQ_AIR_OPER_REV_YIELD_ASK">"c2819"</definedName>
    <definedName name="IQ_AIR_OPER_REV_YIELD_ASM">"c2818"</definedName>
    <definedName name="IQ_AIR_OPTIONS">"c2837"</definedName>
    <definedName name="IQ_AIR_ORDERS">"c2836"</definedName>
    <definedName name="IQ_AIR_OWNED">"c2832"</definedName>
    <definedName name="IQ_AIR_PSGR_REV_YIELD_ASK">"c2817"</definedName>
    <definedName name="IQ_AIR_PSGR_REV_YIELD_ASM">"c2816"</definedName>
    <definedName name="IQ_AIR_PSGR_REV_YIELD_RPK">"c2815"</definedName>
    <definedName name="IQ_AIR_PSGR_REV_YIELD_RPM">"c2814"</definedName>
    <definedName name="IQ_AIR_PURCHASE_RIGHTS">"c2838"</definedName>
    <definedName name="IQ_AIR_RETIRED_AIRPLANES">"c2840"</definedName>
    <definedName name="IQ_AIR_REV_PSGRS_CARRIED">"c2808"</definedName>
    <definedName name="IQ_AIR_REV_SCHEDULED_SERVICE">"c2830"</definedName>
    <definedName name="IQ_AIR_RPK">"c2811"</definedName>
    <definedName name="IQ_AIR_RPM">"c2810"</definedName>
    <definedName name="IQ_AIR_STAGE_LENGTH">"c2828"</definedName>
    <definedName name="IQ_AIR_STAGE_LENGTH_KM">"c2829"</definedName>
    <definedName name="IQ_AIR_TOTAL">"c2831"</definedName>
    <definedName name="IQ_AIR_UTILIZATION">"c2827"</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CAGR">"c6035"</definedName>
    <definedName name="IQ_ALLOWANCE_10YR_ANN_GROWTH">"c18"</definedName>
    <definedName name="IQ_ALLOWANCE_1YR_ANN_GROWTH">"c19"</definedName>
    <definedName name="IQ_ALLOWANCE_2YR_ANN_CAGR">"c6036"</definedName>
    <definedName name="IQ_ALLOWANCE_2YR_ANN_GROWTH">"c20"</definedName>
    <definedName name="IQ_ALLOWANCE_3YR_ANN_CAGR">"c6037"</definedName>
    <definedName name="IQ_ALLOWANCE_3YR_ANN_GROWTH">"c21"</definedName>
    <definedName name="IQ_ALLOWANCE_5YR_ANN_CAGR">"c6038"</definedName>
    <definedName name="IQ_ALLOWANCE_5YR_ANN_GROWTH">"c22"</definedName>
    <definedName name="IQ_ALLOWANCE_7YR_ANN_CAGR">"c6039"</definedName>
    <definedName name="IQ_ALLOWANCE_7YR_ANN_GROWTH">"c23"</definedName>
    <definedName name="IQ_ALLOWANCE_CHARGE_OFFS">"c24"</definedName>
    <definedName name="IQ_ALLOWANCE_NON_PERF_LOANS">"c25"</definedName>
    <definedName name="IQ_ALLOWANCE_TOTAL_LOANS">"c26"</definedName>
    <definedName name="IQ_AMENDED_BALANCE_PREVIOUS_YR_FDIC">"c6499"</definedName>
    <definedName name="IQ_AMORT_EXPENSE_FDIC">"c6677"</definedName>
    <definedName name="IQ_AMORTIZATION">"c1591"</definedName>
    <definedName name="IQ_AMORTIZED_COST_FDIC">"c6426"</definedName>
    <definedName name="IQ_AMT_OUT">"c2145"</definedName>
    <definedName name="IQ_ANNU_DISTRIBUTION_UNIT">"c3004"</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"c6196"</definedName>
    <definedName name="IQ_AP_REIT">"c37"</definedName>
    <definedName name="IQ_AP_UTI">"c38"</definedName>
    <definedName name="IQ_APIC">"c39"</definedName>
    <definedName name="IQ_AR">"c40"</definedName>
    <definedName name="IQ_AR_BR">"c41"</definedName>
    <definedName name="IQ_AR_LT">"c42"</definedName>
    <definedName name="IQ_AR_RE">"c6197"</definedName>
    <definedName name="IQ_AR_REIT">"c43"</definedName>
    <definedName name="IQ_AR_TURNS">"c44"</definedName>
    <definedName name="IQ_AR_UTI">"c45"</definedName>
    <definedName name="IQ_ARPU">"c2126"</definedName>
    <definedName name="IQ_ASSET_BACKED_FDIC">"c6301"</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"c6198"</definedName>
    <definedName name="IQ_ASSET_WRITEDOWN_CF_REIT">"c56"</definedName>
    <definedName name="IQ_ASSET_WRITEDOWN_CF_UTI">"c57"</definedName>
    <definedName name="IQ_ASSET_WRITEDOWN_FIN">"c58"</definedName>
    <definedName name="IQ_ASSET_WRITEDOWN_INS">"c59"</definedName>
    <definedName name="IQ_ASSET_WRITEDOWN_RE">"c6199"</definedName>
    <definedName name="IQ_ASSET_WRITEDOWN_REIT">"c60"</definedName>
    <definedName name="IQ_ASSET_WRITEDOWN_UTI">"c61"</definedName>
    <definedName name="IQ_ASSETS_CAP_LEASE_DEPR">"c2068"</definedName>
    <definedName name="IQ_ASSETS_CAP_LEASE_GROSS">"c2069"</definedName>
    <definedName name="IQ_ASSETS_HELD_FDIC">"c6305"</definedName>
    <definedName name="IQ_ASSETS_OPER_LEASE_DEPR">"c2070"</definedName>
    <definedName name="IQ_ASSETS_OPER_LEASE_GROSS">"c2071"</definedName>
    <definedName name="IQ_ASSETS_PER_EMPLOYEE_FDIC">"c6737"</definedName>
    <definedName name="IQ_ASSETS_SOLD_1_4_FAMILY_LOANS_FDIC">"c6686"</definedName>
    <definedName name="IQ_ASSETS_SOLD_AUTO_LOANS_FDIC">"c6680"</definedName>
    <definedName name="IQ_ASSETS_SOLD_CL_LOANS_FDIC">"c6681"</definedName>
    <definedName name="IQ_ASSETS_SOLD_CREDIT_CARDS_RECEIVABLES_FDIC">"c6683"</definedName>
    <definedName name="IQ_ASSETS_SOLD_HOME_EQUITY_LINES_FDIC">"c6684"</definedName>
    <definedName name="IQ_ASSETS_SOLD_OTHER_CONSUMER_LOANS_FDIC">"c6682"</definedName>
    <definedName name="IQ_ASSETS_SOLD_OTHER_LOANS_FDIC">"c6685"</definedName>
    <definedName name="IQ_ASSUMED_AH_EARNED">"c2741"</definedName>
    <definedName name="IQ_ASSUMED_EARNED">"c2731"</definedName>
    <definedName name="IQ_ASSUMED_LIFE_EARNED">"c2736"</definedName>
    <definedName name="IQ_ASSUMED_LIFE_IN_FORCE">"c2766"</definedName>
    <definedName name="IQ_ASSUMED_PC_EARNED">"c2746"</definedName>
    <definedName name="IQ_ASSUMED_WRITTEN">"c2725"</definedName>
    <definedName name="IQ_AUDITOR_NAME">"c1539"</definedName>
    <definedName name="IQ_AUDITOR_OPINION">"c1540"</definedName>
    <definedName name="IQ_AUTO_WRITTEN">"c62"</definedName>
    <definedName name="IQ_AVAILABLE_FOR_SALE_FDIC">"c6409"</definedName>
    <definedName name="IQ_AVERAGE_ASSETS_FDIC">"c6362"</definedName>
    <definedName name="IQ_AVERAGE_ASSETS_QUART_FDIC">"c6363"</definedName>
    <definedName name="IQ_AVERAGE_EARNING_ASSETS_FDIC">"c6748"</definedName>
    <definedName name="IQ_AVERAGE_EQUITY_FDIC">"c6749"</definedName>
    <definedName name="IQ_AVERAGE_LOANS_FDIC">"c6750"</definedName>
    <definedName name="IQ_AVG_BANK_ASSETS">"c2072"</definedName>
    <definedName name="IQ_AVG_BANK_LOANS">"c2073"</definedName>
    <definedName name="IQ_AVG_BROKER_REC">"c63"</definedName>
    <definedName name="IQ_AVG_BROKER_REC_NO">"c64"</definedName>
    <definedName name="IQ_AVG_BROKER_REC_NO_REUT">"c5315"</definedName>
    <definedName name="IQ_AVG_BROKER_REC_REUT">"c3630"</definedName>
    <definedName name="IQ_AVG_DAILY_VOL">"c65"</definedName>
    <definedName name="IQ_AVG_EMPLOYEES">"c6019"</definedName>
    <definedName name="IQ_AVG_INDUSTRY_REC">"c4455"</definedName>
    <definedName name="IQ_AVG_INT_BEAR_LIAB">"c66"</definedName>
    <definedName name="IQ_AVG_INT_BEAR_LIAB_10YR_ANN_CAGR">"c6040"</definedName>
    <definedName name="IQ_AVG_INT_BEAR_LIAB_10YR_ANN_GROWTH">"c67"</definedName>
    <definedName name="IQ_AVG_INT_BEAR_LIAB_1YR_ANN_GROWTH">"c68"</definedName>
    <definedName name="IQ_AVG_INT_BEAR_LIAB_2YR_ANN_CAGR">"c6041"</definedName>
    <definedName name="IQ_AVG_INT_BEAR_LIAB_2YR_ANN_GROWTH">"c69"</definedName>
    <definedName name="IQ_AVG_INT_BEAR_LIAB_3YR_ANN_CAGR">"c6042"</definedName>
    <definedName name="IQ_AVG_INT_BEAR_LIAB_3YR_ANN_GROWTH">"c70"</definedName>
    <definedName name="IQ_AVG_INT_BEAR_LIAB_5YR_ANN_CAGR">"c6043"</definedName>
    <definedName name="IQ_AVG_INT_BEAR_LIAB_5YR_ANN_GROWTH">"c71"</definedName>
    <definedName name="IQ_AVG_INT_BEAR_LIAB_7YR_ANN_CAGR">"c6044"</definedName>
    <definedName name="IQ_AVG_INT_BEAR_LIAB_7YR_ANN_GROWTH">"c72"</definedName>
    <definedName name="IQ_AVG_INT_EARN_ASSETS">"c73"</definedName>
    <definedName name="IQ_AVG_INT_EARN_ASSETS_10YR_ANN_CAGR">"c6045"</definedName>
    <definedName name="IQ_AVG_INT_EARN_ASSETS_10YR_ANN_GROWTH">"c74"</definedName>
    <definedName name="IQ_AVG_INT_EARN_ASSETS_1YR_ANN_GROWTH">"c75"</definedName>
    <definedName name="IQ_AVG_INT_EARN_ASSETS_2YR_ANN_CAGR">"c6046"</definedName>
    <definedName name="IQ_AVG_INT_EARN_ASSETS_2YR_ANN_GROWTH">"c76"</definedName>
    <definedName name="IQ_AVG_INT_EARN_ASSETS_3YR_ANN_CAGR">"c6047"</definedName>
    <definedName name="IQ_AVG_INT_EARN_ASSETS_3YR_ANN_GROWTH">"c77"</definedName>
    <definedName name="IQ_AVG_INT_EARN_ASSETS_5YR_ANN_CAGR">"c6048"</definedName>
    <definedName name="IQ_AVG_INT_EARN_ASSETS_5YR_ANN_GROWTH">"c78"</definedName>
    <definedName name="IQ_AVG_INT_EARN_ASSETS_7YR_ANN_CAGR">"c6049"</definedName>
    <definedName name="IQ_AVG_INT_EARN_ASSETS_7YR_ANN_GROWTH">"c79"</definedName>
    <definedName name="IQ_AVG_MKTCAP">"c80"</definedName>
    <definedName name="IQ_AVG_PRICE">"c81"</definedName>
    <definedName name="IQ_AVG_PRICE_TARGET">"c82"</definedName>
    <definedName name="IQ_AVG_SHAREOUTSTANDING">"c83"</definedName>
    <definedName name="IQ_AVG_TEMP_EMPLOYEES">"c6020"</definedName>
    <definedName name="IQ_AVG_TEV">"c84"</definedName>
    <definedName name="IQ_AVG_VOLUME">"c1346"</definedName>
    <definedName name="IQ_BALANCES_DUE_DEPOSITORY_INSTITUTIONS_FDIC">"c6389"</definedName>
    <definedName name="IQ_BALANCES_DUE_FOREIGN_FDIC">"c6391"</definedName>
    <definedName name="IQ_BALANCES_DUE_FRB_FDIC">"c6393"</definedName>
    <definedName name="IQ_BANK_BENEFICIARY_FDIC">"c6505"</definedName>
    <definedName name="IQ_BANK_DEBT">"c2544"</definedName>
    <definedName name="IQ_BANK_DEBT_PCT">"c2545"</definedName>
    <definedName name="IQ_BANK_GUARANTOR_FDIC">"c6506"</definedName>
    <definedName name="IQ_BANK_PREMISES_FDIC">"c6329"</definedName>
    <definedName name="IQ_BANK_SECURITIZATION_1_4_FAMILY_LOANS_FDIC">"c6721"</definedName>
    <definedName name="IQ_BANK_SECURITIZATION_AUTO_LOANS_FDIC">"c6715"</definedName>
    <definedName name="IQ_BANK_SECURITIZATION_CL_LOANS_FDIC">"c6716"</definedName>
    <definedName name="IQ_BANK_SECURITIZATION_CREDIT_CARDS_RECEIVABLES_FDIC">"c6718"</definedName>
    <definedName name="IQ_BANK_SECURITIZATION_HOME_EQUITY_LINES_FDIC">"c6719"</definedName>
    <definedName name="IQ_BANK_SECURITIZATION_OTHER_CONSUMER_LOANS_FDIC">"c6717"</definedName>
    <definedName name="IQ_BANK_SECURITIZATION_OTHER_LOANS_FDIC">"c6720"</definedName>
    <definedName name="IQ_BANKS_FOREIGN_COUNTRIES_TOTAL_DEPOSITS_FDIC">"c6475"</definedName>
    <definedName name="IQ_BASIC_EPS_EXCL">"c85"</definedName>
    <definedName name="IQ_BASIC_EPS_INCL">"c86"</definedName>
    <definedName name="IQ_BASIC_NORMAL_EPS">"c1592"</definedName>
    <definedName name="IQ_BASIC_WEIGHT">"c87"</definedName>
    <definedName name="IQ_BENCHMARK_SECURITY">"c2154"</definedName>
    <definedName name="IQ_BENCHMARK_SPRD">"c2153"</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TITLE">"c97"</definedName>
    <definedName name="IQ_BOND_COUPON">"c2183"</definedName>
    <definedName name="IQ_BOND_COUPON_TYPE">"c2184"</definedName>
    <definedName name="IQ_BOND_PRICE">"c2162"</definedName>
    <definedName name="IQ_BROK_COMISSION">"c98"</definedName>
    <definedName name="IQ_BROK_COMMISSION">"c3514"</definedName>
    <definedName name="IQ_BROKERED_DEPOSITS_FDIC">"c6486"</definedName>
    <definedName name="IQ_BUILDINGS">"c99"</definedName>
    <definedName name="IQ_BUS_SEG_ASSETS">"c4067"</definedName>
    <definedName name="IQ_BUS_SEG_ASSETS_ABS">"c4089"</definedName>
    <definedName name="IQ_BUS_SEG_ASSETS_TOTAL">"c4112"</definedName>
    <definedName name="IQ_BUS_SEG_CAPEX">"c4079"</definedName>
    <definedName name="IQ_BUS_SEG_CAPEX_ABS">"c4101"</definedName>
    <definedName name="IQ_BUS_SEG_CAPEX_TOTAL">"c4116"</definedName>
    <definedName name="IQ_BUS_SEG_DA">"c4078"</definedName>
    <definedName name="IQ_BUS_SEG_DA_ABS">"c4100"</definedName>
    <definedName name="IQ_BUS_SEG_DA_TOTAL">"c4115"</definedName>
    <definedName name="IQ_BUS_SEG_EARNINGS_OP">"c4063"</definedName>
    <definedName name="IQ_BUS_SEG_EARNINGS_OP_ABS">"c4085"</definedName>
    <definedName name="IQ_BUS_SEG_EARNINGS_OP_TOTAL">"c4108"</definedName>
    <definedName name="IQ_BUS_SEG_EBT">"c4064"</definedName>
    <definedName name="IQ_BUS_SEG_EBT_ABS">"c4086"</definedName>
    <definedName name="IQ_BUS_SEG_EBT_TOTAL">"c4110"</definedName>
    <definedName name="IQ_BUS_SEG_GP">"c4066"</definedName>
    <definedName name="IQ_BUS_SEG_GP_ABS">"c4088"</definedName>
    <definedName name="IQ_BUS_SEG_GP_TOTAL">"c4109"</definedName>
    <definedName name="IQ_BUS_SEG_INC_TAX">"c4077"</definedName>
    <definedName name="IQ_BUS_SEG_INC_TAX_ABS">"c4099"</definedName>
    <definedName name="IQ_BUS_SEG_INC_TAX_TOTAL">"c4114"</definedName>
    <definedName name="IQ_BUS_SEG_INTEREST_EXP">"c4076"</definedName>
    <definedName name="IQ_BUS_SEG_INTEREST_EXP_ABS">"c4098"</definedName>
    <definedName name="IQ_BUS_SEG_INTEREST_EXP_TOTAL">"c4113"</definedName>
    <definedName name="IQ_BUS_SEG_NAME">"c5482"</definedName>
    <definedName name="IQ_BUS_SEG_NAME_ABS">"c5483"</definedName>
    <definedName name="IQ_BUS_SEG_NI">"c4065"</definedName>
    <definedName name="IQ_BUS_SEG_NI_ABS">"c4087"</definedName>
    <definedName name="IQ_BUS_SEG_NI_TOTAL">"c4111"</definedName>
    <definedName name="IQ_BUS_SEG_OPER_INC">"c4062"</definedName>
    <definedName name="IQ_BUS_SEG_OPER_INC_ABS">"c4084"</definedName>
    <definedName name="IQ_BUS_SEG_OPER_INC_TOTAL">"c4107"</definedName>
    <definedName name="IQ_BUS_SEG_REV">"c4068"</definedName>
    <definedName name="IQ_BUS_SEG_REV_ABS">"c4090"</definedName>
    <definedName name="IQ_BUS_SEG_REV_TOTAL">"c4106"</definedName>
    <definedName name="IQ_BUSINESS_DESCRIPTION">"c322"</definedName>
    <definedName name="IQ_BV_OVER_SHARES">"c1349"</definedName>
    <definedName name="IQ_BV_SHARE">"c100"</definedName>
    <definedName name="IQ_CABLE_ARPU">"c2869"</definedName>
    <definedName name="IQ_CABLE_ARPU_ANALOG">"c2864"</definedName>
    <definedName name="IQ_CABLE_ARPU_BASIC">"c2866"</definedName>
    <definedName name="IQ_CABLE_ARPU_BBAND">"c2867"</definedName>
    <definedName name="IQ_CABLE_ARPU_DIG">"c2865"</definedName>
    <definedName name="IQ_CABLE_ARPU_PHONE">"c2868"</definedName>
    <definedName name="IQ_CABLE_BASIC_PENETRATION">"c2850"</definedName>
    <definedName name="IQ_CABLE_BBAND_PENETRATION">"c2852"</definedName>
    <definedName name="IQ_CABLE_BBAND_PENETRATION_THP">"c2851"</definedName>
    <definedName name="IQ_CABLE_CHURN">"c2874"</definedName>
    <definedName name="IQ_CABLE_CHURN_BASIC">"c2871"</definedName>
    <definedName name="IQ_CABLE_CHURN_BBAND">"c2872"</definedName>
    <definedName name="IQ_CABLE_CHURN_DIG">"c2870"</definedName>
    <definedName name="IQ_CABLE_CHURN_PHONE">"c2873"</definedName>
    <definedName name="IQ_CABLE_HOMES_PER_MILE">"c2849"</definedName>
    <definedName name="IQ_CABLE_HP_BBAND">"c2845"</definedName>
    <definedName name="IQ_CABLE_HP_DIG">"c2844"</definedName>
    <definedName name="IQ_CABLE_HP_PHONE">"c2846"</definedName>
    <definedName name="IQ_CABLE_MILES_PASSED">"c2848"</definedName>
    <definedName name="IQ_CABLE_OTHER_REV">"c2882"</definedName>
    <definedName name="IQ_CABLE_PHONE_PENETRATION">"c2853"</definedName>
    <definedName name="IQ_CABLE_PROGRAMMING_COSTS">"c2884"</definedName>
    <definedName name="IQ_CABLE_REV_ADVERT">"c2880"</definedName>
    <definedName name="IQ_CABLE_REV_ANALOG">"c2875"</definedName>
    <definedName name="IQ_CABLE_REV_BASIC">"c2877"</definedName>
    <definedName name="IQ_CABLE_REV_BBAND">"c2878"</definedName>
    <definedName name="IQ_CABLE_REV_COMMERCIAL">"c2881"</definedName>
    <definedName name="IQ_CABLE_REV_DIG">"c2876"</definedName>
    <definedName name="IQ_CABLE_REV_PHONE">"c2879"</definedName>
    <definedName name="IQ_CABLE_RGU">"c2863"</definedName>
    <definedName name="IQ_CABLE_SUBS_ANALOG">"c2855"</definedName>
    <definedName name="IQ_CABLE_SUBS_BASIC">"c2857"</definedName>
    <definedName name="IQ_CABLE_SUBS_BBAND">"c2858"</definedName>
    <definedName name="IQ_CABLE_SUBS_BUNDLED">"c2861"</definedName>
    <definedName name="IQ_CABLE_SUBS_DIG">"c2856"</definedName>
    <definedName name="IQ_CABLE_SUBS_NON_VIDEO">"c2860"</definedName>
    <definedName name="IQ_CABLE_SUBS_PHONE">"c2859"</definedName>
    <definedName name="IQ_CABLE_SUBS_TOTAL">"c2862"</definedName>
    <definedName name="IQ_CABLE_THP">"c2847"</definedName>
    <definedName name="IQ_CABLE_TOTAL_PENETRATION">"c2854"</definedName>
    <definedName name="IQ_CABLE_TOTAL_REV">"c2883"</definedName>
    <definedName name="IQ_CAL_Q">"c101"</definedName>
    <definedName name="IQ_CAL_Q_EST">"c6796"</definedName>
    <definedName name="IQ_CAL_Q_EST_REUT">"c6800"</definedName>
    <definedName name="IQ_CAL_Y">"c102"</definedName>
    <definedName name="IQ_CAL_Y_EST">"c6797"</definedName>
    <definedName name="IQ_CAL_Y_EST_REUT">"c6801"</definedName>
    <definedName name="IQ_CALC_TYPE_BS">"c3086"</definedName>
    <definedName name="IQ_CALC_TYPE_CF">"c3085"</definedName>
    <definedName name="IQ_CALC_TYPE_IS">"c3084"</definedName>
    <definedName name="IQ_CALL_DATE_SCHEDULE">"c2481"</definedName>
    <definedName name="IQ_CALL_FEATURE">"c2197"</definedName>
    <definedName name="IQ_CALL_PRICE_SCHEDULE">"c2482"</definedName>
    <definedName name="IQ_CALLABLE">"c2196"</definedName>
    <definedName name="IQ_CAP_LOSS_CF_1YR">"c3474"</definedName>
    <definedName name="IQ_CAP_LOSS_CF_2YR">"c3475"</definedName>
    <definedName name="IQ_CAP_LOSS_CF_3YR">"c3476"</definedName>
    <definedName name="IQ_CAP_LOSS_CF_4YR">"c3477"</definedName>
    <definedName name="IQ_CAP_LOSS_CF_5YR">"c3478"</definedName>
    <definedName name="IQ_CAP_LOSS_CF_AFTER_FIVE">"c3479"</definedName>
    <definedName name="IQ_CAP_LOSS_CF_MAX_YEAR">"c3482"</definedName>
    <definedName name="IQ_CAP_LOSS_CF_NO_EXP">"c3480"</definedName>
    <definedName name="IQ_CAP_LOSS_CF_TOTAL">"c3481"</definedName>
    <definedName name="IQ_CAPEX">"c103"</definedName>
    <definedName name="IQ_CAPEX_10YR_ANN_CAGR">"c6050"</definedName>
    <definedName name="IQ_CAPEX_10YR_ANN_GROWTH">"c104"</definedName>
    <definedName name="IQ_CAPEX_1YR_ANN_GROWTH">"c105"</definedName>
    <definedName name="IQ_CAPEX_2YR_ANN_CAGR">"c6051"</definedName>
    <definedName name="IQ_CAPEX_2YR_ANN_GROWTH">"c106"</definedName>
    <definedName name="IQ_CAPEX_3YR_ANN_CAGR">"c6052"</definedName>
    <definedName name="IQ_CAPEX_3YR_ANN_GROWTH">"c107"</definedName>
    <definedName name="IQ_CAPEX_5YR_ANN_CAGR">"c6053"</definedName>
    <definedName name="IQ_CAPEX_5YR_ANN_GROWTH">"c108"</definedName>
    <definedName name="IQ_CAPEX_7YR_ANN_CAGR">"c6054"</definedName>
    <definedName name="IQ_CAPEX_7YR_ANN_GROWTH">"c109"</definedName>
    <definedName name="IQ_CAPEX_BNK">"c110"</definedName>
    <definedName name="IQ_CAPEX_BR">"c111"</definedName>
    <definedName name="IQ_CAPEX_FIN">"c112"</definedName>
    <definedName name="IQ_CAPEX_INS">"c113"</definedName>
    <definedName name="IQ_CAPEX_UTI">"c114"</definedName>
    <definedName name="IQ_CAPITAL_LEASE">"c1350"</definedName>
    <definedName name="IQ_CAPITAL_LEASES">"c115"</definedName>
    <definedName name="IQ_CAPITAL_LEASES_TOTAL">"c3031"</definedName>
    <definedName name="IQ_CAPITAL_LEASES_TOTAL_PCT">"c2506"</definedName>
    <definedName name="IQ_CAPITALIZED_INTEREST">"c2076"</definedName>
    <definedName name="IQ_CAPITALIZED_INTEREST_BOP">"c3459"</definedName>
    <definedName name="IQ_CAPITALIZED_INTEREST_EOP">"c3464"</definedName>
    <definedName name="IQ_CAPITALIZED_INTEREST_EXP">"c3461"</definedName>
    <definedName name="IQ_CAPITALIZED_INTEREST_OTHER_ADJ">"c3463"</definedName>
    <definedName name="IQ_CAPITALIZED_INTEREST_WRITE_OFF">"c3462"</definedName>
    <definedName name="IQ_CASH">"c1458"</definedName>
    <definedName name="IQ_CASH_ACQUIRE_CF">"c116"</definedName>
    <definedName name="IQ_CASH_CONVERSION">"c117"</definedName>
    <definedName name="IQ_CASH_DIVIDENDS_NET_INCOME_FDIC">"c6738"</definedName>
    <definedName name="IQ_CASH_DUE_BANKS">"c1351"</definedName>
    <definedName name="IQ_CASH_EQUIV">"c118"</definedName>
    <definedName name="IQ_CASH_FINAN">"c119"</definedName>
    <definedName name="IQ_CASH_FLOW_ACT_OR_EST">"c4154"</definedName>
    <definedName name="IQ_CASH_IN_PROCESS_FDIC">"c6386"</definedName>
    <definedName name="IQ_CASH_INTEREST">"c120"</definedName>
    <definedName name="IQ_CASH_INTEREST_FINAN">"c6295"</definedName>
    <definedName name="IQ_CASH_INTEREST_INVEST">"c6294"</definedName>
    <definedName name="IQ_CASH_INTEREST_OPER">"c6293"</definedName>
    <definedName name="IQ_CASH_INVEST">"c121"</definedName>
    <definedName name="IQ_CASH_OPER">"c122"</definedName>
    <definedName name="IQ_CASH_OPER_ACT_OR_EST">"c4164"</definedName>
    <definedName name="IQ_CASH_SEGREG">"c123"</definedName>
    <definedName name="IQ_CASH_SHARE">"c1911"</definedName>
    <definedName name="IQ_CASH_ST">"c1355"</definedName>
    <definedName name="IQ_CASH_ST_INVEST">"c124"</definedName>
    <definedName name="IQ_CASH_TAXES">"c125"</definedName>
    <definedName name="IQ_CASH_TAXES_FINAN">"c6292"</definedName>
    <definedName name="IQ_CASH_TAXES_INVEST">"c6291"</definedName>
    <definedName name="IQ_CASH_TAXES_OPER">"c6290"</definedName>
    <definedName name="IQ_CCE_FDIC">"c6296"</definedName>
    <definedName name="IQ_CEDED_AH_EARNED">"c2743"</definedName>
    <definedName name="IQ_CEDED_CLAIM_EXP_INCUR">"c2756"</definedName>
    <definedName name="IQ_CEDED_CLAIM_EXP_PAID">"c2759"</definedName>
    <definedName name="IQ_CEDED_CLAIM_EXP_RES">"c2753"</definedName>
    <definedName name="IQ_CEDED_EARNED">"c2733"</definedName>
    <definedName name="IQ_CEDED_LIFE_EARNED">"c2738"</definedName>
    <definedName name="IQ_CEDED_LIFE_IN_FORCE">"c2768"</definedName>
    <definedName name="IQ_CEDED_PC_EARNED">"c2748"</definedName>
    <definedName name="IQ_CEDED_WRITTEN">"c2727"</definedName>
    <definedName name="IQ_CFO_10YR_ANN_CAGR">"c6055"</definedName>
    <definedName name="IQ_CFO_10YR_ANN_GROWTH">"c126"</definedName>
    <definedName name="IQ_CFO_1YR_ANN_GROWTH">"c127"</definedName>
    <definedName name="IQ_CFO_2YR_ANN_CAGR">"c6056"</definedName>
    <definedName name="IQ_CFO_2YR_ANN_GROWTH">"c128"</definedName>
    <definedName name="IQ_CFO_3YR_ANN_CAGR">"c6057"</definedName>
    <definedName name="IQ_CFO_3YR_ANN_GROWTH">"c129"</definedName>
    <definedName name="IQ_CFO_5YR_ANN_CAGR">"c6058"</definedName>
    <definedName name="IQ_CFO_5YR_ANN_GROWTH">"c130"</definedName>
    <definedName name="IQ_CFO_7YR_ANN_CAGR">"c6059"</definedName>
    <definedName name="IQ_CFO_7YR_ANN_GROWTH">"c131"</definedName>
    <definedName name="IQ_CFO_CURRENT_LIAB">"c132"</definedName>
    <definedName name="IQ_CFPS_ACT_OR_EST">"c2217"</definedName>
    <definedName name="IQ_CFPS_EST">"c1667"</definedName>
    <definedName name="IQ_CFPS_HIGH_EST">"c1669"</definedName>
    <definedName name="IQ_CFPS_LOW_EST">"c1670"</definedName>
    <definedName name="IQ_CFPS_MEDIAN_EST">"c1668"</definedName>
    <definedName name="IQ_CFPS_NUM_EST">"c1671"</definedName>
    <definedName name="IQ_CFPS_STDDEV_EST">"c1672"</definedName>
    <definedName name="IQ_CH">110000</definedName>
    <definedName name="IQ_CHANGE_AP">"c133"</definedName>
    <definedName name="IQ_CHANGE_AP_BNK">"c134"</definedName>
    <definedName name="IQ_CHANGE_AP_BR">"c135"</definedName>
    <definedName name="IQ_CHANGE_AP_FIN">"c136"</definedName>
    <definedName name="IQ_CHANGE_AP_INS">"c137"</definedName>
    <definedName name="IQ_CHANGE_AP_RE">"c6200"</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"c6201"</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ORY">"c151"</definedName>
    <definedName name="IQ_CHANGE_NET_OPER_ASSETS">"c3592"</definedName>
    <definedName name="IQ_CHANGE_NET_WORKING_CAPITAL">"c1909"</definedName>
    <definedName name="IQ_CHANGE_OTHER_NET_OPER_ASSETS">"c3593"</definedName>
    <definedName name="IQ_CHANGE_OTHER_NET_OPER_ASSETS_BNK">"c3594"</definedName>
    <definedName name="IQ_CHANGE_OTHER_NET_OPER_ASSETS_BR">"c3595"</definedName>
    <definedName name="IQ_CHANGE_OTHER_NET_OPER_ASSETS_FIN">"c3596"</definedName>
    <definedName name="IQ_CHANGE_OTHER_NET_OPER_ASSETS_INS">"c3597"</definedName>
    <definedName name="IQ_CHANGE_OTHER_NET_OPER_ASSETS_RE">"c6285"</definedName>
    <definedName name="IQ_CHANGE_OTHER_NET_OPER_ASSETS_REIT">"c3598"</definedName>
    <definedName name="IQ_CHANGE_OTHER_NET_OPER_ASSETS_UTI">"c3599"</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1_4_FAMILY_FDIC">"c6756"</definedName>
    <definedName name="IQ_CHARGE_OFFS_1_4_FAMILY_LOANS_FDIC">"c6714"</definedName>
    <definedName name="IQ_CHARGE_OFFS_AUTO_LOANS_FDIC">"c6708"</definedName>
    <definedName name="IQ_CHARGE_OFFS_CL_LOANS_FDIC">"c6709"</definedName>
    <definedName name="IQ_CHARGE_OFFS_COMMERCIAL_INDUSTRIAL_FDIC">"c6759"</definedName>
    <definedName name="IQ_CHARGE_OFFS_COMMERCIAL_RE_FDIC">"c6754"</definedName>
    <definedName name="IQ_CHARGE_OFFS_COMMERCIAL_RE_NOT_SECURED_FDIC">"c6764"</definedName>
    <definedName name="IQ_CHARGE_OFFS_CONSTRUCTION_DEVELOPMENT_FDIC">"c6753"</definedName>
    <definedName name="IQ_CHARGE_OFFS_CREDIT_CARDS_FDIC">"c6761"</definedName>
    <definedName name="IQ_CHARGE_OFFS_CREDIT_CARDS_RECEIVABLES_FDIC">"c6711"</definedName>
    <definedName name="IQ_CHARGE_OFFS_GROSS">"c162"</definedName>
    <definedName name="IQ_CHARGE_OFFS_HOME_EQUITY_FDIC">"c6757"</definedName>
    <definedName name="IQ_CHARGE_OFFS_HOME_EQUITY_LINES_FDIC">"c6712"</definedName>
    <definedName name="IQ_CHARGE_OFFS_INDIVIDUALS_FDIC">"c6760"</definedName>
    <definedName name="IQ_CHARGE_OFFS_MULTI_FAMILY_FDIC">"c6755"</definedName>
    <definedName name="IQ_CHARGE_OFFS_NET">"c163"</definedName>
    <definedName name="IQ_CHARGE_OFFS_OTHER_1_4_FAMILY_FDIC">"c6758"</definedName>
    <definedName name="IQ_CHARGE_OFFS_OTHER_CONSUMER_LOANS_FDIC">"c6710"</definedName>
    <definedName name="IQ_CHARGE_OFFS_OTHER_INDIVIDUAL_FDIC">"c6762"</definedName>
    <definedName name="IQ_CHARGE_OFFS_OTHER_LOANS_FDIC">"c6763"</definedName>
    <definedName name="IQ_CHARGE_OFFS_OTHER_LOANS_OTHER_FDIC">"c6713"</definedName>
    <definedName name="IQ_CHARGE_OFFS_RE_LOANS_FDIC">"c6752"</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_OBLIGATION_IMMEDIATE">"c2253"</definedName>
    <definedName name="IQ_CLASSA_OPTIONS_BEG_OS">"c2679"</definedName>
    <definedName name="IQ_CLASSA_OPTIONS_CANCELLED">"c2682"</definedName>
    <definedName name="IQ_CLASSA_OPTIONS_END_OS">"c2683"</definedName>
    <definedName name="IQ_CLASSA_OPTIONS_EXERCISABLE_END_OS">"c5809"</definedName>
    <definedName name="IQ_CLASSA_OPTIONS_EXERCISED">"c2681"</definedName>
    <definedName name="IQ_CLASSA_OPTIONS_GRANTED">"c2680"</definedName>
    <definedName name="IQ_CLASSA_OPTIONS_STRIKE_PRICE_BEG_OS">"c5810"</definedName>
    <definedName name="IQ_CLASSA_OPTIONS_STRIKE_PRICE_CANCELLED">"c5812"</definedName>
    <definedName name="IQ_CLASSA_OPTIONS_STRIKE_PRICE_EXERCISABLE">"c5813"</definedName>
    <definedName name="IQ_CLASSA_OPTIONS_STRIKE_PRICE_EXERCISED">"c5811"</definedName>
    <definedName name="IQ_CLASSA_OPTIONS_STRIKE_PRICE_OS">"c2684"</definedName>
    <definedName name="IQ_CLASSA_OUTSTANDING_BS_DATE">"c1971"</definedName>
    <definedName name="IQ_CLASSA_OUTSTANDING_FILING_DATE">"c1973"</definedName>
    <definedName name="IQ_CLASSA_STRIKE_PRICE_GRANTED">"c2685"</definedName>
    <definedName name="IQ_CLASSA_WARRANTS_BEG_OS">"c2705"</definedName>
    <definedName name="IQ_CLASSA_WARRANTS_CANCELLED">"c2708"</definedName>
    <definedName name="IQ_CLASSA_WARRANTS_END_OS">"c2709"</definedName>
    <definedName name="IQ_CLASSA_WARRANTS_EXERCISED">"c2707"</definedName>
    <definedName name="IQ_CLASSA_WARRANTS_ISSUED">"c2706"</definedName>
    <definedName name="IQ_CLASSA_WARRANTS_STRIKE_PRICE_ISSUED">"c2711"</definedName>
    <definedName name="IQ_CLASSA_WARRANTS_STRIKE_PRICE_OS">"c2710"</definedName>
    <definedName name="IQ_CLOSEPRICE">"c174"</definedName>
    <definedName name="IQ_CLOSEPRICE_ADJ">"c2115"</definedName>
    <definedName name="IQ_CMO_FDIC">"c6406"</definedName>
    <definedName name="IQ_COGS">"c175"</definedName>
    <definedName name="IQ_COLLECTION_DOMESTIC_FDIC">"c6387"</definedName>
    <definedName name="IQ_COMBINED_RATIO">"c176"</definedName>
    <definedName name="IQ_COMMERCIAL_BANKS_DEPOSITS_FOREIGN_FDIC">"c6480"</definedName>
    <definedName name="IQ_COMMERCIAL_BANKS_LOANS_FDIC">"c6434"</definedName>
    <definedName name="IQ_COMMERCIAL_BANKS_NONTRANSACTION_ACCOUNTS_FDIC">"c6548"</definedName>
    <definedName name="IQ_COMMERCIAL_BANKS_TOTAL_DEPOSITS_FDIC">"c6474"</definedName>
    <definedName name="IQ_COMMERCIAL_BANKS_TOTAL_LOANS_FOREIGN_FDIC">"c6444"</definedName>
    <definedName name="IQ_COMMERCIAL_BANKS_TRANSACTION_ACCOUNTS_FDIC">"c6540"</definedName>
    <definedName name="IQ_COMMERCIAL_DOM">"c177"</definedName>
    <definedName name="IQ_COMMERCIAL_FIRE_WRITTEN">"c178"</definedName>
    <definedName name="IQ_COMMERCIAL_INDUSTRIAL_CHARGE_OFFS_FDIC">"c6598"</definedName>
    <definedName name="IQ_COMMERCIAL_INDUSTRIAL_LOANS_NET_FDIC">"c6317"</definedName>
    <definedName name="IQ_COMMERCIAL_INDUSTRIAL_NET_CHARGE_OFFS_FDIC">"c6636"</definedName>
    <definedName name="IQ_COMMERCIAL_INDUSTRIAL_RECOVERIES_FDIC">"c6617"</definedName>
    <definedName name="IQ_COMMERCIAL_INDUSTRIAL_TOTAL_LOANS_FOREIGN_FDIC">"c6451"</definedName>
    <definedName name="IQ_COMMERCIAL_MORT">"c179"</definedName>
    <definedName name="IQ_COMMERCIAL_RE_CONSTRUCTION_LAND_DEV_FDIC">"c6526"</definedName>
    <definedName name="IQ_COMMERCIAL_RE_LOANS_FDIC">"c6312"</definedName>
    <definedName name="IQ_COMMISS_FEES">"c180"</definedName>
    <definedName name="IQ_COMMISSION_DEF">"c181"</definedName>
    <definedName name="IQ_COMMITMENTS_MATURITY_EXCEEDING_1YR_FDIC">"c6531"</definedName>
    <definedName name="IQ_COMMITMENTS_NOT_SECURED_RE_FDIC">"c6528"</definedName>
    <definedName name="IQ_COMMITMENTS_SECURED_RE_FDIC">"c6527"</definedName>
    <definedName name="IQ_COMMODITY_EXPOSURES_FDIC">"c6665"</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"c6202"</definedName>
    <definedName name="IQ_COMMON_APIC_REIT">"c188"</definedName>
    <definedName name="IQ_COMMON_APIC_UTI">"c189"</definedName>
    <definedName name="IQ_COMMON_DIV">"c3006"</definedName>
    <definedName name="IQ_COMMON_DIV_CF">"c190"</definedName>
    <definedName name="IQ_COMMON_EQUITY_10YR_ANN_CAGR">"c6060"</definedName>
    <definedName name="IQ_COMMON_EQUITY_10YR_ANN_GROWTH">"c191"</definedName>
    <definedName name="IQ_COMMON_EQUITY_1YR_ANN_GROWTH">"c192"</definedName>
    <definedName name="IQ_COMMON_EQUITY_2YR_ANN_CAGR">"c6061"</definedName>
    <definedName name="IQ_COMMON_EQUITY_2YR_ANN_GROWTH">"c193"</definedName>
    <definedName name="IQ_COMMON_EQUITY_3YR_ANN_CAGR">"c6062"</definedName>
    <definedName name="IQ_COMMON_EQUITY_3YR_ANN_GROWTH">"c194"</definedName>
    <definedName name="IQ_COMMON_EQUITY_5YR_ANN_CAGR">"c6063"</definedName>
    <definedName name="IQ_COMMON_EQUITY_5YR_ANN_GROWTH">"c195"</definedName>
    <definedName name="IQ_COMMON_EQUITY_7YR_ANN_CAGR">"c6064"</definedName>
    <definedName name="IQ_COMMON_EQUITY_7YR_ANN_GROWTH">"c196"</definedName>
    <definedName name="IQ_COMMON_FDIC">"c6350"</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"c6203"</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"c6204"</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ID">"c3513"</definedName>
    <definedName name="IQ_COMPANY_NAME">"c215"</definedName>
    <definedName name="IQ_COMPANY_NAME_LONG">"c1585"</definedName>
    <definedName name="IQ_COMPANY_NOTE">"c6792"</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DEV_LOANS_FDIC">"c6313"</definedName>
    <definedName name="IQ_CONSTRUCTION_LAND_DEVELOPMENT_CHARGE_OFFS_FDIC">"c6594"</definedName>
    <definedName name="IQ_CONSTRUCTION_LAND_DEVELOPMENT_NET_CHARGE_OFFS_FDIC">"c6632"</definedName>
    <definedName name="IQ_CONSTRUCTION_LAND_DEVELOPMENT_RECOVERIES_FDIC">"c6613"</definedName>
    <definedName name="IQ_CONSTRUCTION_LOANS">"c222"</definedName>
    <definedName name="IQ_CONSUMER_LOANS">"c223"</definedName>
    <definedName name="IQ_CONTRACTS_OTHER_COMMODITIES_EQUITIES._FDIC">"c6522"</definedName>
    <definedName name="IQ_CONV_DATE">"c2191"</definedName>
    <definedName name="IQ_CONV_EXP_DATE">"c3043"</definedName>
    <definedName name="IQ_CONV_PREMIUM">"c2195"</definedName>
    <definedName name="IQ_CONV_PRICE">"c2193"</definedName>
    <definedName name="IQ_CONV_RATE">"c2192"</definedName>
    <definedName name="IQ_CONV_RATIO">"c2192"</definedName>
    <definedName name="IQ_CONV_SECURITY">"c2189"</definedName>
    <definedName name="IQ_CONV_SECURITY_ISSUER">"c2190"</definedName>
    <definedName name="IQ_CONV_SECURITY_PRICE">"c2194"</definedName>
    <definedName name="IQ_CONVERT">"c2536"</definedName>
    <definedName name="IQ_CONVERT_PCT">"c2537"</definedName>
    <definedName name="IQ_CONVEXITY">"c2182"</definedName>
    <definedName name="IQ_CONVEYED_TO_OTHERS_FDIC">"c6534"</definedName>
    <definedName name="IQ_CORE_CAPITAL_RATIO_FDIC">"c6745"</definedName>
    <definedName name="IQ_COST_BORROWING">"c2936"</definedName>
    <definedName name="IQ_COST_BORROWINGS">"c225"</definedName>
    <definedName name="IQ_COST_OF_FUNDING_ASSETS_FDIC">"c6725"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P">"c2495"</definedName>
    <definedName name="IQ_CP_PCT">"c2496"</definedName>
    <definedName name="IQ_CQ">5000</definedName>
    <definedName name="IQ_CREDIT_CARD_CHARGE_OFFS_FDIC">"c6652"</definedName>
    <definedName name="IQ_CREDIT_CARD_FEE_BNK">"c231"</definedName>
    <definedName name="IQ_CREDIT_CARD_FEE_FIN">"c1583"</definedName>
    <definedName name="IQ_CREDIT_CARD_LINES_FDIC">"c6525"</definedName>
    <definedName name="IQ_CREDIT_CARD_LOANS_FDIC">"c6319"</definedName>
    <definedName name="IQ_CREDIT_CARD_NET_CHARGE_OFFS_FDIC">"c6654"</definedName>
    <definedName name="IQ_CREDIT_CARD_RECOVERIES_FDIC">"c6653"</definedName>
    <definedName name="IQ_CREDIT_LOSS_CF">"c232"</definedName>
    <definedName name="IQ_CREDIT_LOSS_PROVISION_NET_CHARGE_OFFS_FDIC">"c6734"</definedName>
    <definedName name="IQ_CUMULATIVE_SPLIT_FACTOR">"c2094"</definedName>
    <definedName name="IQ_CURR_DOMESTIC_TAXES">"c2074"</definedName>
    <definedName name="IQ_CURR_FOREIGN_TAXES">"c2075"</definedName>
    <definedName name="IQ_CURRENCY_COIN_DOMESTIC_FDIC">"c6388"</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"c6205"</definedName>
    <definedName name="IQ_CURRENCY_GAIN_REIT">"c239"</definedName>
    <definedName name="IQ_CURRENCY_GAIN_UTI">"c240"</definedName>
    <definedName name="IQ_CURRENT_BENCHMARK">"c6780"</definedName>
    <definedName name="IQ_CURRENT_BENCHMARK_CIQID">"c6781"</definedName>
    <definedName name="IQ_CURRENT_BENCHMARK_MATURITY">"c6782"</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"c6283"</definedName>
    <definedName name="IQ_CURRENT_PORT_DEBT_REIT">"c1570"</definedName>
    <definedName name="IQ_CURRENT_PORT_DEBT_UTI">"c1571"</definedName>
    <definedName name="IQ_CURRENT_PORT_FHLB_DEBT">"c5657"</definedName>
    <definedName name="IQ_CURRENT_PORT_LEASES">"c245"</definedName>
    <definedName name="IQ_CURRENT_PORT_PCT">"c2541"</definedName>
    <definedName name="IQ_CURRENT_RATIO">"c246"</definedName>
    <definedName name="IQ_CUSIP">"c2245"</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"c6206"</definedName>
    <definedName name="IQ_DA_CF_REIT">"c254"</definedName>
    <definedName name="IQ_DA_CF_UTI">"c255"</definedName>
    <definedName name="IQ_DA_EBITDA">"c5528"</definedName>
    <definedName name="IQ_DA_FIN">"c256"</definedName>
    <definedName name="IQ_DA_INS">"c257"</definedName>
    <definedName name="IQ_DA_RE">"c6207"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"c6208"</definedName>
    <definedName name="IQ_DA_SUPPL_CF_REIT">"c266"</definedName>
    <definedName name="IQ_DA_SUPPL_CF_UTI">"c267"</definedName>
    <definedName name="IQ_DA_SUPPL_FIN">"c268"</definedName>
    <definedName name="IQ_DA_SUPPL_INS">"c269"</definedName>
    <definedName name="IQ_DA_SUPPL_RE">"c6209"</definedName>
    <definedName name="IQ_DA_SUPPL_REIT">"c270"</definedName>
    <definedName name="IQ_DA_SUPPL_UTI">"c271"</definedName>
    <definedName name="IQ_DA_UTI">"c272"</definedName>
    <definedName name="IQ_DAILY">500000</definedName>
    <definedName name="IQ_DATED_DATE">"c2185"</definedName>
    <definedName name="IQ_DAY_COUNT">"c2161"</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BT_ADJ">"c2515"</definedName>
    <definedName name="IQ_DEBT_ADJ_PCT">"c2516"</definedName>
    <definedName name="IQ_DEBT_EQUIV_NET_PBO">"c2938"</definedName>
    <definedName name="IQ_DEBT_EQUIV_OPER_LEASE">"c2935"</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INTEREST_COST_DOMESTIC">"c2652"</definedName>
    <definedName name="IQ_DEF_BENEFIT_INTEREST_COST_FOREIGN">"c2660"</definedName>
    <definedName name="IQ_DEF_BENEFIT_OTHER_COST">"c284"</definedName>
    <definedName name="IQ_DEF_BENEFIT_OTHER_COST_DOMESTIC">"c2654"</definedName>
    <definedName name="IQ_DEF_BENEFIT_OTHER_COST_FOREIGN">"c2662"</definedName>
    <definedName name="IQ_DEF_BENEFIT_ROA">"c285"</definedName>
    <definedName name="IQ_DEF_BENEFIT_ROA_DOMESTIC">"c2653"</definedName>
    <definedName name="IQ_DEF_BENEFIT_ROA_FOREIGN">"c2661"</definedName>
    <definedName name="IQ_DEF_BENEFIT_SERVICE_COST">"c286"</definedName>
    <definedName name="IQ_DEF_BENEFIT_SERVICE_COST_DOMESTIC">"c2651"</definedName>
    <definedName name="IQ_DEF_BENEFIT_SERVICE_COST_FOREIGN">"c2659"</definedName>
    <definedName name="IQ_DEF_BENEFIT_TOTAL_COST">"c287"</definedName>
    <definedName name="IQ_DEF_BENEFIT_TOTAL_COST_DOMESTIC">"c2655"</definedName>
    <definedName name="IQ_DEF_BENEFIT_TOTAL_COST_FOREIGN">"c2663"</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"c6210"</definedName>
    <definedName name="IQ_DEF_CHARGES_LT_REIT">"c297"</definedName>
    <definedName name="IQ_DEF_CHARGES_LT_UTI">"c298"</definedName>
    <definedName name="IQ_DEF_CHARGES_RE">"c6211"</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"c6212"</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"c6213"</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MAND_DEPOSITS_FDIC">"c6489"</definedName>
    <definedName name="IQ_DEPOSIT_ACCOUNTS_LESS_THAN_100K_FDIC">"c6494"</definedName>
    <definedName name="IQ_DEPOSIT_ACCOUNTS_MORE_THAN_100K_FDIC">"c6492"</definedName>
    <definedName name="IQ_DEPOSITORY_INSTITUTIONS_CHARGE_OFFS_FDIC">"c6596"</definedName>
    <definedName name="IQ_DEPOSITORY_INSTITUTIONS_NET_CHARGE_OFFS_FDIC">"c6634"</definedName>
    <definedName name="IQ_DEPOSITORY_INSTITUTIONS_RECOVERIES_FDIC">"c6615"</definedName>
    <definedName name="IQ_DEPOSITS_FIN">"c321"</definedName>
    <definedName name="IQ_DEPOSITS_HELD_DOMESTIC_FDIC">"c6340"</definedName>
    <definedName name="IQ_DEPOSITS_HELD_FOREIGN_FDIC">"c6341"</definedName>
    <definedName name="IQ_DEPOSITS_INTEREST_SECURITIES">"c5509"</definedName>
    <definedName name="IQ_DEPOSITS_LESS_THAN_100K_AFTER_THREE_YEARS_FDIC">"c6464"</definedName>
    <definedName name="IQ_DEPOSITS_LESS_THAN_100K_THREE_MONTHS_FDIC">"c6461"</definedName>
    <definedName name="IQ_DEPOSITS_LESS_THAN_100K_THREE_YEARS_FDIC">"c6463"</definedName>
    <definedName name="IQ_DEPOSITS_LESS_THAN_100K_TWELVE_MONTHS_FDIC">"c6462"</definedName>
    <definedName name="IQ_DEPOSITS_MORE_THAN_100K_AFTER_THREE_YEARS_FDIC">"c6469"</definedName>
    <definedName name="IQ_DEPOSITS_MORE_THAN_100K_THREE_MONTHS_FDIC">"c6466"</definedName>
    <definedName name="IQ_DEPOSITS_MORE_THAN_100K_THREE_YEARS_FDIC">"c6468"</definedName>
    <definedName name="IQ_DEPOSITS_MORE_THAN_100K_TWELVE_MONTHS_FDIC">"c6467"</definedName>
    <definedName name="IQ_DEPRE_AMORT">"c1360"</definedName>
    <definedName name="IQ_DEPRE_AMORT_SUPPL">"c1593"</definedName>
    <definedName name="IQ_DEPRE_DEPLE">"c1361"</definedName>
    <definedName name="IQ_DEPRE_SUPP">"c1443"</definedName>
    <definedName name="IQ_DERIVATIVES_FDIC">"c6523"</definedName>
    <definedName name="IQ_DESCRIPTION_LONG">"c1520"</definedName>
    <definedName name="IQ_DEVELOP_LAND">"c323"</definedName>
    <definedName name="IQ_DIFF_LASTCLOSE_TARGET_PRICE">"c1854"</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RECT_AH_EARNED">"c2740"</definedName>
    <definedName name="IQ_DIRECT_EARNED">"c2730"</definedName>
    <definedName name="IQ_DIRECT_LIFE_EARNED">"c2735"</definedName>
    <definedName name="IQ_DIRECT_LIFE_IN_FORCE">"c2765"</definedName>
    <definedName name="IQ_DIRECT_PC_EARNED">"c2745"</definedName>
    <definedName name="IQ_DIRECT_WRITTEN">"c2724"</definedName>
    <definedName name="IQ_DISCONT_OPER">"c1367"</definedName>
    <definedName name="IQ_DISCOUNT_RATE_PENSION_DOMESTIC">"c327"</definedName>
    <definedName name="IQ_DISCOUNT_RATE_PENSION_FOREIGN">"c328"</definedName>
    <definedName name="IQ_DISTR_EXCESS_EARN">"c329"</definedName>
    <definedName name="IQ_DISTRIBUTABLE_CASH">"c3002"</definedName>
    <definedName name="IQ_DISTRIBUTABLE_CASH_ACT_OR_EST">"c4278"</definedName>
    <definedName name="IQ_DISTRIBUTABLE_CASH_PAYOUT">"c3005"</definedName>
    <definedName name="IQ_DISTRIBUTABLE_CASH_SHARE">"c3003"</definedName>
    <definedName name="IQ_DISTRIBUTABLE_CASH_SHARE_ACT_OR_EST">"c4286"</definedName>
    <definedName name="IQ_DIV_AMOUNT">"c3041"</definedName>
    <definedName name="IQ_DIV_PAYMENT_DATE">"c2205"</definedName>
    <definedName name="IQ_DIV_RECORD_DATE">"c2204"</definedName>
    <definedName name="IQ_DIV_SHARE">"c330"</definedName>
    <definedName name="IQ_DIVEST_CF">"c331"</definedName>
    <definedName name="IQ_DIVID_SHARE">"c1366"</definedName>
    <definedName name="IQ_DIVIDEND_YIELD">"c332"</definedName>
    <definedName name="IQ_DIVIDENDS_DECLARED_COMMON_FDIC">"c6659"</definedName>
    <definedName name="IQ_DIVIDENDS_DECLARED_PREFERRED_FDIC">"c6658"</definedName>
    <definedName name="IQ_DIVIDENDS_FDIC">"c6660"</definedName>
    <definedName name="IQ_DNB_OTHER_EXP_INC_TAX_US">"c6787"</definedName>
    <definedName name="IQ_DNTM">700000</definedName>
    <definedName name="IQ_DO">"c333"</definedName>
    <definedName name="IQ_DO_ASSETS_CURRENT">"c334"</definedName>
    <definedName name="IQ_DO_ASSETS_LT">"c335"</definedName>
    <definedName name="IQ_DO_CF">"c336"</definedName>
    <definedName name="IQ_DPAC_ACC">"c2799"</definedName>
    <definedName name="IQ_DPAC_AMORT">"c2795"</definedName>
    <definedName name="IQ_DPAC_BEG">"c2791"</definedName>
    <definedName name="IQ_DPAC_COMMISSIONS">"c2792"</definedName>
    <definedName name="IQ_DPAC_END">"c2801"</definedName>
    <definedName name="IQ_DPAC_FX">"c2798"</definedName>
    <definedName name="IQ_DPAC_OTHER_ADJ">"c2800"</definedName>
    <definedName name="IQ_DPAC_OTHERS">"c2793"</definedName>
    <definedName name="IQ_DPAC_PERIOD">"c2794"</definedName>
    <definedName name="IQ_DPAC_REAL_GAIN">"c2797"</definedName>
    <definedName name="IQ_DPAC_UNREAL_GAIN">"c2796"</definedName>
    <definedName name="IQ_DPS_10YR_ANN_CAGR">"c6065"</definedName>
    <definedName name="IQ_DPS_10YR_ANN_GROWTH">"c337"</definedName>
    <definedName name="IQ_DPS_1YR_ANN_GROWTH">"c338"</definedName>
    <definedName name="IQ_DPS_2YR_ANN_CAGR">"c6066"</definedName>
    <definedName name="IQ_DPS_2YR_ANN_GROWTH">"c339"</definedName>
    <definedName name="IQ_DPS_3YR_ANN_CAGR">"c6067"</definedName>
    <definedName name="IQ_DPS_3YR_ANN_GROWTH">"c340"</definedName>
    <definedName name="IQ_DPS_5YR_ANN_CAGR">"c6068"</definedName>
    <definedName name="IQ_DPS_5YR_ANN_GROWTH">"c341"</definedName>
    <definedName name="IQ_DPS_7YR_ANN_CAGR">"c6069"</definedName>
    <definedName name="IQ_DPS_7YR_ANN_GROWTH">"c342"</definedName>
    <definedName name="IQ_DPS_ACT_OR_EST">"c2218"</definedName>
    <definedName name="IQ_DPS_EST">"c1674"</definedName>
    <definedName name="IQ_DPS_HIGH_EST">"c1676"</definedName>
    <definedName name="IQ_DPS_LOW_EST">"c1677"</definedName>
    <definedName name="IQ_DPS_MEDIAN_EST">"c1675"</definedName>
    <definedName name="IQ_DPS_NUM_EST">"c1678"</definedName>
    <definedName name="IQ_DPS_STDDEV_EST">"c1679"</definedName>
    <definedName name="IQ_DURATION">"c2181"</definedName>
    <definedName name="IQ_EARNING_ASSET_YIELD">"c343"</definedName>
    <definedName name="IQ_EARNING_ASSETS_FDIC">"c6360"</definedName>
    <definedName name="IQ_EARNING_ASSETS_YIELD_FDIC">"c6724"</definedName>
    <definedName name="IQ_EARNING_CO">"c344"</definedName>
    <definedName name="IQ_EARNING_CO_10YR_ANN_CAGR">"c6070"</definedName>
    <definedName name="IQ_EARNING_CO_10YR_ANN_GROWTH">"c345"</definedName>
    <definedName name="IQ_EARNING_CO_1YR_ANN_GROWTH">"c346"</definedName>
    <definedName name="IQ_EARNING_CO_2YR_ANN_CAGR">"c6071"</definedName>
    <definedName name="IQ_EARNING_CO_2YR_ANN_GROWTH">"c347"</definedName>
    <definedName name="IQ_EARNING_CO_3YR_ANN_CAGR">"c6072"</definedName>
    <definedName name="IQ_EARNING_CO_3YR_ANN_GROWTH">"c348"</definedName>
    <definedName name="IQ_EARNING_CO_5YR_ANN_CAGR">"c6073"</definedName>
    <definedName name="IQ_EARNING_CO_5YR_ANN_GROWTH">"c349"</definedName>
    <definedName name="IQ_EARNING_CO_7YR_ANN_CAGR">"c6074"</definedName>
    <definedName name="IQ_EARNING_CO_7YR_ANN_GROWTH">"c350"</definedName>
    <definedName name="IQ_EARNING_CO_MARGIN">"c351"</definedName>
    <definedName name="IQ_EARNINGS_ANNOUNCE_DATE">"c1649"</definedName>
    <definedName name="IQ_EARNINGS_ANNOUNCE_DATE_REUT">"c5314"</definedName>
    <definedName name="IQ_EARNINGS_COVERAGE_NET_CHARGE_OFFS_FDIC">"c6735"</definedName>
    <definedName name="IQ_EBIT">"c352"</definedName>
    <definedName name="IQ_EBIT_10YR_ANN_CAGR">"c6075"</definedName>
    <definedName name="IQ_EBIT_10YR_ANN_GROWTH">"c353"</definedName>
    <definedName name="IQ_EBIT_1YR_ANN_GROWTH">"c354"</definedName>
    <definedName name="IQ_EBIT_2YR_ANN_CAGR">"c6076"</definedName>
    <definedName name="IQ_EBIT_2YR_ANN_GROWTH">"c355"</definedName>
    <definedName name="IQ_EBIT_3YR_ANN_CAGR">"c6077"</definedName>
    <definedName name="IQ_EBIT_3YR_ANN_GROWTH">"c356"</definedName>
    <definedName name="IQ_EBIT_5YR_ANN_CAGR">"c6078"</definedName>
    <definedName name="IQ_EBIT_5YR_ANN_GROWTH">"c357"</definedName>
    <definedName name="IQ_EBIT_7YR_ANN_CAGR">"c6079"</definedName>
    <definedName name="IQ_EBIT_7YR_ANN_GROWTH">"c358"</definedName>
    <definedName name="IQ_EBIT_ACT_OR_EST">"c2219"</definedName>
    <definedName name="IQ_EBIT_EQ_INC">"c3498"</definedName>
    <definedName name="IQ_EBIT_EQ_INC_EXCL_SBC">"c3502"</definedName>
    <definedName name="IQ_EBIT_EST">"c1681"</definedName>
    <definedName name="IQ_EBIT_EXCL_SBC">"c3082"</definedName>
    <definedName name="IQ_EBIT_GW_ACT_OR_EST">"c4306"</definedName>
    <definedName name="IQ_EBIT_HIGH_EST">"c1683"</definedName>
    <definedName name="IQ_EBIT_INT">"c360"</definedName>
    <definedName name="IQ_EBIT_LOW_EST">"c1684"</definedName>
    <definedName name="IQ_EBIT_MARGIN">"c359"</definedName>
    <definedName name="IQ_EBIT_MEDIAN_EST">"c1682"</definedName>
    <definedName name="IQ_EBIT_NUM_EST">"c1685"</definedName>
    <definedName name="IQ_EBIT_OVER_IE">"c1369"</definedName>
    <definedName name="IQ_EBIT_SBC_ACT_OR_EST">"c4316"</definedName>
    <definedName name="IQ_EBIT_SBC_GW_ACT_OR_EST">"c4320"</definedName>
    <definedName name="IQ_EBIT_STDDEV_EST">"c1686"</definedName>
    <definedName name="IQ_EBITA">"c1910"</definedName>
    <definedName name="IQ_EBITA_10YR_ANN_CAGR">"c6184"</definedName>
    <definedName name="IQ_EBITA_10YR_ANN_GROWTH">"c1954"</definedName>
    <definedName name="IQ_EBITA_1YR_ANN_GROWTH">"c1949"</definedName>
    <definedName name="IQ_EBITA_2YR_ANN_CAGR">"c6180"</definedName>
    <definedName name="IQ_EBITA_2YR_ANN_GROWTH">"c1950"</definedName>
    <definedName name="IQ_EBITA_3YR_ANN_CAGR">"c6181"</definedName>
    <definedName name="IQ_EBITA_3YR_ANN_GROWTH">"c1951"</definedName>
    <definedName name="IQ_EBITA_5YR_ANN_CAGR">"c6182"</definedName>
    <definedName name="IQ_EBITA_5YR_ANN_GROWTH">"c1952"</definedName>
    <definedName name="IQ_EBITA_7YR_ANN_CAGR">"c6183"</definedName>
    <definedName name="IQ_EBITA_7YR_ANN_GROWTH">"c1953"</definedName>
    <definedName name="IQ_EBITA_EQ_INC">"c3497"</definedName>
    <definedName name="IQ_EBITA_EQ_INC_EXCL_SBC">"c3501"</definedName>
    <definedName name="IQ_EBITA_EXCL_SBC">"c3080"</definedName>
    <definedName name="IQ_EBITA_MARGIN">"c1963"</definedName>
    <definedName name="IQ_EBITDA">"c361"</definedName>
    <definedName name="IQ_EBITDA_10YR_ANN_CAGR">"c6080"</definedName>
    <definedName name="IQ_EBITDA_10YR_ANN_GROWTH">"c362"</definedName>
    <definedName name="IQ_EBITDA_1YR_ANN_GROWTH">"c363"</definedName>
    <definedName name="IQ_EBITDA_2YR_ANN_CAGR">"c6081"</definedName>
    <definedName name="IQ_EBITDA_2YR_ANN_GROWTH">"c364"</definedName>
    <definedName name="IQ_EBITDA_3YR_ANN_CAGR">"c6082"</definedName>
    <definedName name="IQ_EBITDA_3YR_ANN_GROWTH">"c365"</definedName>
    <definedName name="IQ_EBITDA_5YR_ANN_CAGR">"c6083"</definedName>
    <definedName name="IQ_EBITDA_5YR_ANN_GROWTH">"c366"</definedName>
    <definedName name="IQ_EBITDA_7YR_ANN_CAGR">"c6084"</definedName>
    <definedName name="IQ_EBITDA_7YR_ANN_GROWTH">"c367"</definedName>
    <definedName name="IQ_EBITDA_ACT_OR_EST">"c2215"</definedName>
    <definedName name="IQ_EBITDA_CAPEX_INT">"c368"</definedName>
    <definedName name="IQ_EBITDA_CAPEX_OVER_TOTAL_IE">"c1370"</definedName>
    <definedName name="IQ_EBITDA_EQ_INC">"c3496"</definedName>
    <definedName name="IQ_EBITDA_EQ_INC_EXCL_SBC">"c3500"</definedName>
    <definedName name="IQ_EBITDA_EST">"c369"</definedName>
    <definedName name="IQ_EBITDA_EST_REUT">"c3640"</definedName>
    <definedName name="IQ_EBITDA_EXCL_SBC">"c3081"</definedName>
    <definedName name="IQ_EBITDA_HIGH_EST">"c370"</definedName>
    <definedName name="IQ_EBITDA_HIGH_EST_REUT">"c3642"</definedName>
    <definedName name="IQ_EBITDA_INT">"c373"</definedName>
    <definedName name="IQ_EBITDA_LOW_EST">"c371"</definedName>
    <definedName name="IQ_EBITDA_LOW_EST_REUT">"c3643"</definedName>
    <definedName name="IQ_EBITDA_MARGIN">"c372"</definedName>
    <definedName name="IQ_EBITDA_MEDIAN_EST">"c1663"</definedName>
    <definedName name="IQ_EBITDA_MEDIAN_EST_REUT">"c3641"</definedName>
    <definedName name="IQ_EBITDA_NUM_EST">"c374"</definedName>
    <definedName name="IQ_EBITDA_NUM_EST_REUT">"c3644"</definedName>
    <definedName name="IQ_EBITDA_OVER_TOTAL_IE">"c1371"</definedName>
    <definedName name="IQ_EBITDA_SBC_ACT_OR_EST">"c4337"</definedName>
    <definedName name="IQ_EBITDA_STDDEV_EST">"c375"</definedName>
    <definedName name="IQ_EBITDA_STDDEV_EST_REUT">"c3645"</definedName>
    <definedName name="IQ_EBITDAR">"c2989"</definedName>
    <definedName name="IQ_EBITDAR_EQ_INC">"c3499"</definedName>
    <definedName name="IQ_EBITDAR_EQ_INC_EXCL_SBC">"c3503"</definedName>
    <definedName name="IQ_EBITDAR_EXCL_SBC">"c3083"</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"c6214"</definedName>
    <definedName name="IQ_EBT_EXCL_REIT">"c384"</definedName>
    <definedName name="IQ_EBT_EXCL_UTI">"c385"</definedName>
    <definedName name="IQ_EBT_FIN">"c386"</definedName>
    <definedName name="IQ_EBT_INCL_MARGIN">"c387"</definedName>
    <definedName name="IQ_EBT_INS">"c388"</definedName>
    <definedName name="IQ_EBT_RE">"c6215"</definedName>
    <definedName name="IQ_EBT_REIT">"c389"</definedName>
    <definedName name="IQ_EBT_SBC_ACT_OR_EST">"c4350"</definedName>
    <definedName name="IQ_EBT_SBC_GW_ACT_OR_EST">"c4354"</definedName>
    <definedName name="IQ_EBT_UTI">"c390"</definedName>
    <definedName name="IQ_ECS_AUTHORIZED_SHARES">"c5583"</definedName>
    <definedName name="IQ_ECS_AUTHORIZED_SHARES_ABS">"c5597"</definedName>
    <definedName name="IQ_ECS_CONVERT_FACTOR">"c5581"</definedName>
    <definedName name="IQ_ECS_CONVERT_FACTOR_ABS">"c5595"</definedName>
    <definedName name="IQ_ECS_CONVERT_INTO">"c5580"</definedName>
    <definedName name="IQ_ECS_CONVERT_INTO_ABS">"c5594"</definedName>
    <definedName name="IQ_ECS_CONVERT_TYPE">"c5579"</definedName>
    <definedName name="IQ_ECS_CONVERT_TYPE_ABS">"c5593"</definedName>
    <definedName name="IQ_ECS_INACTIVE_DATE">"c5576"</definedName>
    <definedName name="IQ_ECS_INACTIVE_DATE_ABS">"c5590"</definedName>
    <definedName name="IQ_ECS_NAME">"c5571"</definedName>
    <definedName name="IQ_ECS_NAME_ABS">"c5585"</definedName>
    <definedName name="IQ_ECS_NUM_SHAREHOLDERS">"c5584"</definedName>
    <definedName name="IQ_ECS_NUM_SHAREHOLDERS_ABS">"c5598"</definedName>
    <definedName name="IQ_ECS_PAR_VALUE">"c5577"</definedName>
    <definedName name="IQ_ECS_PAR_VALUE_ABS">"c5591"</definedName>
    <definedName name="IQ_ECS_PAR_VALUE_CURRENCY">"c5578"</definedName>
    <definedName name="IQ_ECS_PAR_VALUE_CURRENCY_ABS">"c5592"</definedName>
    <definedName name="IQ_ECS_SHARES_OUT_BS_DATE">"c5572"</definedName>
    <definedName name="IQ_ECS_SHARES_OUT_BS_DATE_ABS">"c5586"</definedName>
    <definedName name="IQ_ECS_SHARES_OUT_FILING_DATE">"c5573"</definedName>
    <definedName name="IQ_ECS_SHARES_OUT_FILING_DATE_ABS">"c5587"</definedName>
    <definedName name="IQ_ECS_START_DATE">"c5575"</definedName>
    <definedName name="IQ_ECS_START_DATE_ABS">"c5589"</definedName>
    <definedName name="IQ_ECS_TYPE">"c5574"</definedName>
    <definedName name="IQ_ECS_TYPE_ABS">"c5588"</definedName>
    <definedName name="IQ_ECS_VOTING">"c5582"</definedName>
    <definedName name="IQ_ECS_VOTING_ABS">"c5596"</definedName>
    <definedName name="IQ_EFFECT_SPECIAL_CHARGE">"c1595"</definedName>
    <definedName name="IQ_EFFECT_TAX_RATE">"c1899"</definedName>
    <definedName name="IQ_EFFICIENCY_RATIO">"c391"</definedName>
    <definedName name="IQ_EFFICIENCY_RATIO_FDIC">"c6736"</definedName>
    <definedName name="IQ_EMPLOYEES">"c392"</definedName>
    <definedName name="IQ_ENTERPRISE_VALUE">"c1348"</definedName>
    <definedName name="IQ_EPS_10YR_ANN_CAGR">"c6085"</definedName>
    <definedName name="IQ_EPS_10YR_ANN_GROWTH">"c393"</definedName>
    <definedName name="IQ_EPS_1YR_ANN_GROWTH">"c394"</definedName>
    <definedName name="IQ_EPS_2YR_ANN_CAGR">"c6086"</definedName>
    <definedName name="IQ_EPS_2YR_ANN_GROWTH">"c395"</definedName>
    <definedName name="IQ_EPS_3YR_ANN_CAGR">"c6087"</definedName>
    <definedName name="IQ_EPS_3YR_ANN_GROWTH">"c396"</definedName>
    <definedName name="IQ_EPS_5YR_ANN_CAGR">"c6088"</definedName>
    <definedName name="IQ_EPS_5YR_ANN_GROWTH">"c397"</definedName>
    <definedName name="IQ_EPS_7YR_ANN_CAGR">"c6089"</definedName>
    <definedName name="IQ_EPS_7YR_ANN_GROWTH">"c398"</definedName>
    <definedName name="IQ_EPS_ACT_OR_EST">"c2213"</definedName>
    <definedName name="IQ_EPS_EST">"c399"</definedName>
    <definedName name="IQ_EPS_EST_REUT">"c5453"</definedName>
    <definedName name="IQ_EPS_GW_ACT_OR_EST">"c2223"</definedName>
    <definedName name="IQ_EPS_GW_EST">"c1737"</definedName>
    <definedName name="IQ_EPS_GW_EST_REUT">"c5389"</definedName>
    <definedName name="IQ_EPS_GW_HIGH_EST">"c1739"</definedName>
    <definedName name="IQ_EPS_GW_HIGH_EST_REUT">"c5391"</definedName>
    <definedName name="IQ_EPS_GW_LOW_EST">"c1740"</definedName>
    <definedName name="IQ_EPS_GW_LOW_EST_REUT">"c5392"</definedName>
    <definedName name="IQ_EPS_GW_MEDIAN_EST">"c1738"</definedName>
    <definedName name="IQ_EPS_GW_MEDIAN_EST_REUT">"c5390"</definedName>
    <definedName name="IQ_EPS_GW_NUM_EST">"c1741"</definedName>
    <definedName name="IQ_EPS_GW_NUM_EST_REUT">"c5393"</definedName>
    <definedName name="IQ_EPS_GW_STDDEV_EST">"c1742"</definedName>
    <definedName name="IQ_EPS_GW_STDDEV_EST_REUT">"c5394"</definedName>
    <definedName name="IQ_EPS_HIGH_EST">"c400"</definedName>
    <definedName name="IQ_EPS_HIGH_EST_REUT">"c5454"</definedName>
    <definedName name="IQ_EPS_LOW_EST">"c401"</definedName>
    <definedName name="IQ_EPS_LOW_EST_REUT">"c5455"</definedName>
    <definedName name="IQ_EPS_MEDIAN_EST">"c1661"</definedName>
    <definedName name="IQ_EPS_MEDIAN_EST_REUT">"c5456"</definedName>
    <definedName name="IQ_EPS_NORM">"c1902"</definedName>
    <definedName name="IQ_EPS_NORM_EST">"c2226"</definedName>
    <definedName name="IQ_EPS_NORM_EST_REUT">"c5326"</definedName>
    <definedName name="IQ_EPS_NORM_HIGH_EST">"c2228"</definedName>
    <definedName name="IQ_EPS_NORM_HIGH_EST_REUT">"c5328"</definedName>
    <definedName name="IQ_EPS_NORM_LOW_EST">"c2229"</definedName>
    <definedName name="IQ_EPS_NORM_LOW_EST_REUT">"c5329"</definedName>
    <definedName name="IQ_EPS_NORM_MEDIAN_EST">"c2227"</definedName>
    <definedName name="IQ_EPS_NORM_MEDIAN_EST_REUT">"c5327"</definedName>
    <definedName name="IQ_EPS_NORM_NUM_EST">"c2230"</definedName>
    <definedName name="IQ_EPS_NORM_NUM_EST_REUT">"c5330"</definedName>
    <definedName name="IQ_EPS_NORM_STDDEV_EST">"c2231"</definedName>
    <definedName name="IQ_EPS_NORM_STDDEV_EST_REUT">"c5331"</definedName>
    <definedName name="IQ_EPS_NUM_EST">"c402"</definedName>
    <definedName name="IQ_EPS_NUM_EST_REUT">"c5451"</definedName>
    <definedName name="IQ_EPS_REPORT_ACT_OR_EST">"c2224"</definedName>
    <definedName name="IQ_EPS_REPORTED_EST">"c1744"</definedName>
    <definedName name="IQ_EPS_REPORTED_EST_REUT">"c5396"</definedName>
    <definedName name="IQ_EPS_REPORTED_HIGH_EST">"c1746"</definedName>
    <definedName name="IQ_EPS_REPORTED_HIGH_EST_REUT">"c5398"</definedName>
    <definedName name="IQ_EPS_REPORTED_LOW_EST">"c1747"</definedName>
    <definedName name="IQ_EPS_REPORTED_LOW_EST_REUT">"c5399"</definedName>
    <definedName name="IQ_EPS_REPORTED_MEDIAN_EST">"c1745"</definedName>
    <definedName name="IQ_EPS_REPORTED_MEDIAN_EST_REUT">"c5397"</definedName>
    <definedName name="IQ_EPS_REPORTED_NUM_EST">"c1748"</definedName>
    <definedName name="IQ_EPS_REPORTED_NUM_EST_REUT">"c5400"</definedName>
    <definedName name="IQ_EPS_REPORTED_STDDEV_EST">"c1749"</definedName>
    <definedName name="IQ_EPS_REPORTED_STDDEV_EST_REUT">"c5401"</definedName>
    <definedName name="IQ_EPS_SBC_ACT_OR_EST">"c4376"</definedName>
    <definedName name="IQ_EPS_SBC_GW_ACT_OR_EST">"c4380"</definedName>
    <definedName name="IQ_EPS_STDDEV_EST">"c403"</definedName>
    <definedName name="IQ_EPS_STDDEV_EST_REUT">"c5452"</definedName>
    <definedName name="IQ_EQUITY_AFFIL">"c1451"</definedName>
    <definedName name="IQ_EQUITY_CAPITAL_ASSETS_FDIC">"c6744"</definedName>
    <definedName name="IQ_EQUITY_FDIC">"c6353"</definedName>
    <definedName name="IQ_EQUITY_METHOD">"c404"</definedName>
    <definedName name="IQ_EQUITY_SECURITIES_FDIC">"c6304"</definedName>
    <definedName name="IQ_EQUITY_SECURITY_EXPOSURES_FDIC">"c6664"</definedName>
    <definedName name="IQ_EQV_OVER_BV">"c1596"</definedName>
    <definedName name="IQ_EQV_OVER_LTM_PRETAX_INC">"c1390"</definedName>
    <definedName name="IQ_ESOP_DEBT">"c1597"</definedName>
    <definedName name="IQ_EST_ACT_CFPS">"c1673"</definedName>
    <definedName name="IQ_EST_ACT_DPS">"c1680"</definedName>
    <definedName name="IQ_EST_ACT_EBIT">"c1687"</definedName>
    <definedName name="IQ_EST_ACT_EBITDA">"c1664"</definedName>
    <definedName name="IQ_EST_ACT_EPS">"c1648"</definedName>
    <definedName name="IQ_EST_ACT_EPS_GW">"c1743"</definedName>
    <definedName name="IQ_EST_ACT_EPS_GW_REUT">"c5395"</definedName>
    <definedName name="IQ_EST_ACT_EPS_NORM">"c2232"</definedName>
    <definedName name="IQ_EST_ACT_EPS_NORM_REUT">"c5332"</definedName>
    <definedName name="IQ_EST_ACT_EPS_REPORTED">"c1750"</definedName>
    <definedName name="IQ_EST_ACT_EPS_REPORTED_REUT">"c5402"</definedName>
    <definedName name="IQ_EST_ACT_FFO">"c1666"</definedName>
    <definedName name="IQ_EST_ACT_NAV">"c1757"</definedName>
    <definedName name="IQ_EST_ACT_NI">"c1722"</definedName>
    <definedName name="IQ_EST_ACT_NI_GW">"c1729"</definedName>
    <definedName name="IQ_EST_ACT_NI_REPORTED">"c1736"</definedName>
    <definedName name="IQ_EST_ACT_OPER_INC">"c1694"</definedName>
    <definedName name="IQ_EST_ACT_PRETAX_GW_INC">"c1708"</definedName>
    <definedName name="IQ_EST_ACT_PRETAX_INC">"c1701"</definedName>
    <definedName name="IQ_EST_ACT_PRETAX_REPORT_INC">"c1715"</definedName>
    <definedName name="IQ_EST_ACT_REV">"c2113"</definedName>
    <definedName name="IQ_EST_CFPS_DIFF">"c1871"</definedName>
    <definedName name="IQ_EST_CFPS_GROWTH_1YR">"c1774"</definedName>
    <definedName name="IQ_EST_CFPS_GROWTH_2YR">"c1775"</definedName>
    <definedName name="IQ_EST_CFPS_GROWTH_Q_1YR">"c1776"</definedName>
    <definedName name="IQ_EST_CFPS_SEQ_GROWTH_Q">"c1777"</definedName>
    <definedName name="IQ_EST_CFPS_SURPRISE_PERCENT">"c1872"</definedName>
    <definedName name="IQ_EST_CURRENCY">"c2140"</definedName>
    <definedName name="IQ_EST_CURRENCY_REUT">"c5437"</definedName>
    <definedName name="IQ_EST_DATE">"c1634"</definedName>
    <definedName name="IQ_EST_DATE_REUT">"c5438"</definedName>
    <definedName name="IQ_EST_DPS_DIFF">"c1873"</definedName>
    <definedName name="IQ_EST_DPS_GROWTH_1YR">"c1778"</definedName>
    <definedName name="IQ_EST_DPS_GROWTH_2YR">"c1779"</definedName>
    <definedName name="IQ_EST_DPS_GROWTH_Q_1YR">"c1780"</definedName>
    <definedName name="IQ_EST_DPS_SEQ_GROWTH_Q">"c1781"</definedName>
    <definedName name="IQ_EST_DPS_SURPRISE_PERCENT">"c1874"</definedName>
    <definedName name="IQ_EST_EBIT_DIFF">"c1875"</definedName>
    <definedName name="IQ_EST_EBIT_SURPRISE_PERCENT">"c1876"</definedName>
    <definedName name="IQ_EST_EBITDA_DIFF">"c1867"</definedName>
    <definedName name="IQ_EST_EBITDA_GROWTH_1YR">"c1766"</definedName>
    <definedName name="IQ_EST_EBITDA_GROWTH_2YR">"c1767"</definedName>
    <definedName name="IQ_EST_EBITDA_GROWTH_Q_1YR">"c1768"</definedName>
    <definedName name="IQ_EST_EBITDA_SEQ_GROWTH_Q">"c1769"</definedName>
    <definedName name="IQ_EST_EBITDA_SURPRISE_PERCENT">"c1868"</definedName>
    <definedName name="IQ_EST_EPS_DIFF">"c1864"</definedName>
    <definedName name="IQ_EST_EPS_GROWTH_1YR">"c1636"</definedName>
    <definedName name="IQ_EST_EPS_GROWTH_1YR_REUT">"c3646"</definedName>
    <definedName name="IQ_EST_EPS_GROWTH_2YR">"c1637"</definedName>
    <definedName name="IQ_EST_EPS_GROWTH_5YR">"c1655"</definedName>
    <definedName name="IQ_EST_EPS_GROWTH_5YR_HIGH">"c1657"</definedName>
    <definedName name="IQ_EST_EPS_GROWTH_5YR_LOW">"c1658"</definedName>
    <definedName name="IQ_EST_EPS_GROWTH_5YR_MEDIAN">"c1656"</definedName>
    <definedName name="IQ_EST_EPS_GROWTH_5YR_NUM">"c1659"</definedName>
    <definedName name="IQ_EST_EPS_GROWTH_5YR_REUT">"c3633"</definedName>
    <definedName name="IQ_EST_EPS_GROWTH_5YR_STDDEV">"c1660"</definedName>
    <definedName name="IQ_EST_EPS_GROWTH_Q_1YR">"c1641"</definedName>
    <definedName name="IQ_EST_EPS_GROWTH_Q_1YR_REUT">"c5410"</definedName>
    <definedName name="IQ_EST_EPS_GW_DIFF">"c1891"</definedName>
    <definedName name="IQ_EST_EPS_GW_DIFF_REUT">"c5429"</definedName>
    <definedName name="IQ_EST_EPS_GW_SURPRISE_PERCENT">"c1892"</definedName>
    <definedName name="IQ_EST_EPS_GW_SURPRISE_PERCENT_REUT">"c5430"</definedName>
    <definedName name="IQ_EST_EPS_NORM_DIFF">"c2247"</definedName>
    <definedName name="IQ_EST_EPS_NORM_DIFF_REUT">"c5411"</definedName>
    <definedName name="IQ_EST_EPS_NORM_SURPRISE_PERCENT">"c2248"</definedName>
    <definedName name="IQ_EST_EPS_NORM_SURPRISE_PERCENT_REUT">"c5412"</definedName>
    <definedName name="IQ_EST_EPS_REPORT_DIFF">"c1893"</definedName>
    <definedName name="IQ_EST_EPS_REPORT_DIFF_REUT">"c5431"</definedName>
    <definedName name="IQ_EST_EPS_REPORT_SURPRISE_PERCENT">"c1894"</definedName>
    <definedName name="IQ_EST_EPS_REPORT_SURPRISE_PERCENT_REUT">"c5432"</definedName>
    <definedName name="IQ_EST_EPS_SEQ_GROWTH_Q">"c1764"</definedName>
    <definedName name="IQ_EST_EPS_SURPRISE_PERCENT">"c1635"</definedName>
    <definedName name="IQ_EST_FFO_DIFF">"c1869"</definedName>
    <definedName name="IQ_EST_FFO_GROWTH_1YR">"c1770"</definedName>
    <definedName name="IQ_EST_FFO_GROWTH_2YR">"c1771"</definedName>
    <definedName name="IQ_EST_FFO_GROWTH_Q_1YR">"c1772"</definedName>
    <definedName name="IQ_EST_FFO_SEQ_GROWTH_Q">"c1773"</definedName>
    <definedName name="IQ_EST_FFO_SURPRISE_PERCENT">"c1870"</definedName>
    <definedName name="IQ_EST_NAV_DIFF">"c1895"</definedName>
    <definedName name="IQ_EST_NAV_SURPRISE_PERCENT">"c1896"</definedName>
    <definedName name="IQ_EST_NI_DIFF">"c1885"</definedName>
    <definedName name="IQ_EST_NI_GW_DIFF">"c1887"</definedName>
    <definedName name="IQ_EST_NI_GW_SURPRISE_PERCENT">"c1888"</definedName>
    <definedName name="IQ_EST_NI_REPORT_DIFF">"c1889"</definedName>
    <definedName name="IQ_EST_NI_REPORT_SURPRISE_PERCENT">"c1890"</definedName>
    <definedName name="IQ_EST_NI_SURPRISE_PERCENT">"c1886"</definedName>
    <definedName name="IQ_EST_NUM_BUY">"c1759"</definedName>
    <definedName name="IQ_EST_NUM_HOLD">"c1761"</definedName>
    <definedName name="IQ_EST_NUM_NO_OPINION">"c1758"</definedName>
    <definedName name="IQ_EST_NUM_OUTPERFORM">"c1760"</definedName>
    <definedName name="IQ_EST_NUM_SELL">"c1763"</definedName>
    <definedName name="IQ_EST_NUM_UNDERPERFORM">"c1762"</definedName>
    <definedName name="IQ_EST_OPER_INC_DIFF">"c1877"</definedName>
    <definedName name="IQ_EST_OPER_INC_SURPRISE_PERCENT">"c1878"</definedName>
    <definedName name="IQ_EST_PRE_TAX_DIFF">"c1879"</definedName>
    <definedName name="IQ_EST_PRE_TAX_GW_DIFF">"c1881"</definedName>
    <definedName name="IQ_EST_PRE_TAX_GW_SURPRISE_PERCENT">"c1882"</definedName>
    <definedName name="IQ_EST_PRE_TAX_REPORT_DIFF">"c1883"</definedName>
    <definedName name="IQ_EST_PRE_TAX_REPORT_SURPRISE_PERCENT">"c1884"</definedName>
    <definedName name="IQ_EST_PRE_TAX_SURPRISE_PERCENT">"c1880"</definedName>
    <definedName name="IQ_EST_REV_DIFF">"c1865"</definedName>
    <definedName name="IQ_EST_REV_GROWTH_1YR">"c1638"</definedName>
    <definedName name="IQ_EST_REV_GROWTH_2YR">"c1639"</definedName>
    <definedName name="IQ_EST_REV_GROWTH_Q_1YR">"c1640"</definedName>
    <definedName name="IQ_EST_REV_SEQ_GROWTH_Q">"c1765"</definedName>
    <definedName name="IQ_EST_REV_SURPRISE_PERCENT">"c1866"</definedName>
    <definedName name="IQ_EST_VENDOR">"c5564"</definedName>
    <definedName name="IQ_ESTIMATED_ASSESSABLE_DEPOSITS_FDIC">"c6490"</definedName>
    <definedName name="IQ_ESTIMATED_INSURED_DEPOSITS_FDIC">"c6491"</definedName>
    <definedName name="IQ_EV_OVER_EMPLOYEE">"c1428"</definedName>
    <definedName name="IQ_EV_OVER_LTM_EBIT">"c1426"</definedName>
    <definedName name="IQ_EV_OVER_LTM_EBITDA">"c1427"</definedName>
    <definedName name="IQ_EV_OVER_LTM_REVENUE">"c1429"</definedName>
    <definedName name="IQ_EVAL_DATE">"c2180"</definedName>
    <definedName name="IQ_EXCHANGE">"c405"</definedName>
    <definedName name="IQ_EXCISE_TAXES_EXCL_SALES">"c5515"</definedName>
    <definedName name="IQ_EXCISE_TAXES_INCL_SALES">"c5514"</definedName>
    <definedName name="IQ_EXERCISE_PRICE">"c1897"</definedName>
    <definedName name="IQ_EXERCISED">"c406"</definedName>
    <definedName name="IQ_EXP_RETURN_PENSION_DOMESTIC">"c407"</definedName>
    <definedName name="IQ_EXP_RETURN_PENSION_FOREIGN">"c408"</definedName>
    <definedName name="IQ_EXPLORE_DRILL">"c409"</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"c6216"</definedName>
    <definedName name="IQ_EXTRA_ACC_ITEMS_REIT">"c415"</definedName>
    <definedName name="IQ_EXTRA_ACC_ITEMS_UTI">"c416"</definedName>
    <definedName name="IQ_EXTRA_ITEMS">"c1459"</definedName>
    <definedName name="IQ_EXTRAORDINARY_GAINS_FDIC">"c6586"</definedName>
    <definedName name="IQ_FAIR_VALUE_FDIC">"c6427"</definedName>
    <definedName name="IQ_FARM_LOANS_NET_FDIC">"c6316"</definedName>
    <definedName name="IQ_FARM_LOANS_TOTAL_LOANS_FOREIGN_FDIC">"c6450"</definedName>
    <definedName name="IQ_FARMLAND_LOANS_FDIC">"c6314"</definedName>
    <definedName name="IQ_FDIC">"c417"</definedName>
    <definedName name="IQ_FED_FUNDS_PURCHASED_FDIC">"c6343"</definedName>
    <definedName name="IQ_FED_FUNDS_SOLD_FDIC">"c6307"</definedName>
    <definedName name="IQ_FEDFUNDS_SOLD">"c2256"</definedName>
    <definedName name="IQ_FFO">"c1574"</definedName>
    <definedName name="IQ_FFO_ACT_OR_EST">"c2216"</definedName>
    <definedName name="IQ_FFO_ADJ_ACT_OR_EST">"c4435"</definedName>
    <definedName name="IQ_FFO_EST">"c418"</definedName>
    <definedName name="IQ_FFO_HIGH_EST">"c419"</definedName>
    <definedName name="IQ_FFO_LOW_EST">"c420"</definedName>
    <definedName name="IQ_FFO_MEDIAN_EST">"c1665"</definedName>
    <definedName name="IQ_FFO_NUM_EST">"c421"</definedName>
    <definedName name="IQ_FFO_PAYOUT_RATIO">"c3492"</definedName>
    <definedName name="IQ_FFO_SHARE_ACT_OR_EST">"c4446"</definedName>
    <definedName name="IQ_FFO_STDDEV_EST">"c422"</definedName>
    <definedName name="IQ_FH">100000</definedName>
    <definedName name="IQ_FHLB_ADVANCES_FDIC">"c6366"</definedName>
    <definedName name="IQ_FHLB_DEBT">"c423"</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DUCIARY_ACTIVITIES_FDIC">"c6571"</definedName>
    <definedName name="IQ_FIFETEEN_YEAR_FIXED_AND_FLOATING_RATE_FDIC">"c6423"</definedName>
    <definedName name="IQ_FIFETEEN_YEAR_MORTGAGE_PASS_THROUGHS_FDIC">"c6415"</definedName>
    <definedName name="IQ_FILING_CURRENCY">"c2129"</definedName>
    <definedName name="IQ_FILINGDATE_BS">"c424"</definedName>
    <definedName name="IQ_FILINGDATE_CF">"c425"</definedName>
    <definedName name="IQ_FILINGDATE_IS">"c426"</definedName>
    <definedName name="IQ_FILM_RIGHTS">"c2254"</definedName>
    <definedName name="IQ_FIN_DATA_SOURCE">"c6788"</definedName>
    <definedName name="IQ_FIN_DIV_ASSETS_CURRENT">"c427"</definedName>
    <definedName name="IQ_FIN_DIV_ASSETS_LT">"c428"</definedName>
    <definedName name="IQ_FIN_DIV_CASH_EQUIV">"c6289"</definedName>
    <definedName name="IQ_FIN_DIV_CURRENT_PORT_DEBT_TOTAL">"c5524"</definedName>
    <definedName name="IQ_FIN_DIV_CURRENT_PORT_LEASES_TOTAL">"c5523"</definedName>
    <definedName name="IQ_FIN_DIV_DEBT_CURRENT">"c429"</definedName>
    <definedName name="IQ_FIN_DIV_DEBT_LT">"c430"</definedName>
    <definedName name="IQ_FIN_DIV_DEBT_LT_TOTAL">"c5526"</definedName>
    <definedName name="IQ_FIN_DIV_DEBT_TOTAL">"c5656"</definedName>
    <definedName name="IQ_FIN_DIV_EXP">"c431"</definedName>
    <definedName name="IQ_FIN_DIV_INT_EXP">"c432"</definedName>
    <definedName name="IQ_FIN_DIV_LEASES_LT_TOTAL">"c5525"</definedName>
    <definedName name="IQ_FIN_DIV_LIAB_CURRENT">"c433"</definedName>
    <definedName name="IQ_FIN_DIV_LIAB_LT">"c434"</definedName>
    <definedName name="IQ_FIN_DIV_LOANS_CURRENT">"c435"</definedName>
    <definedName name="IQ_FIN_DIV_LOANS_LT">"c436"</definedName>
    <definedName name="IQ_FIN_DIV_LT_DEBT_TOTAL">"c5655"</definedName>
    <definedName name="IQ_FIN_DIV_NOTES_PAY_TOTAL">"c5522"</definedName>
    <definedName name="IQ_FIN_DIV_REV">"c437"</definedName>
    <definedName name="IQ_FIN_DIV_ST_DEBT_TOTAL">"c5527"</definedName>
    <definedName name="IQ_FIN_DIV_ST_INVEST">"c6288"</definedName>
    <definedName name="IQ_FINANCING_CASH">"c1405"</definedName>
    <definedName name="IQ_FINANCING_CASH_SUPPL">"c1406"</definedName>
    <definedName name="IQ_FINANCING_OBLIG_CURRENT">"c6190"</definedName>
    <definedName name="IQ_FINANCING_OBLIG_NON_CURRENT">"c6191"</definedName>
    <definedName name="IQ_FINISHED_INV">"c438"</definedName>
    <definedName name="IQ_FIRST_INT_DATE">"c2186"</definedName>
    <definedName name="IQ_FIRST_YEAR_LIFE">"c439"</definedName>
    <definedName name="IQ_FIRST_YEAR_LIFE_PREM">"c2787"</definedName>
    <definedName name="IQ_FIRST_YEAR_PREM">"c2786"</definedName>
    <definedName name="IQ_FIRSTPRICINGDATE">"c3050"</definedName>
    <definedName name="IQ_FISCAL_Q">"c440"</definedName>
    <definedName name="IQ_FISCAL_Q_EST">"c6794"</definedName>
    <definedName name="IQ_FISCAL_Q_EST_REUT">"c6798"</definedName>
    <definedName name="IQ_FISCAL_Y">"c441"</definedName>
    <definedName name="IQ_FISCAL_Y_EST">"c6795"</definedName>
    <definedName name="IQ_FISCAL_Y_EST_REUT">"c6799"</definedName>
    <definedName name="IQ_FIVE_PERCENT_OWNER">"c442"</definedName>
    <definedName name="IQ_FIVE_YEAR_FIXED_AND_FLOATING_RATE_FDIC">"c6422"</definedName>
    <definedName name="IQ_FIVE_YEAR_MORTGAGE_PASS_THROUGHS_FDIC">"c6414"</definedName>
    <definedName name="IQ_FIVEPERCENT_PERCENT">"c443"</definedName>
    <definedName name="IQ_FIVEPERCENT_SHARES">"c444"</definedName>
    <definedName name="IQ_FIXED_ASSET_TURNS">"c445"</definedName>
    <definedName name="IQ_FLOAT_PERCENT">"c1575"</definedName>
    <definedName name="IQ_FNMA_FHLMC_FDIC">"c6397"</definedName>
    <definedName name="IQ_FNMA_FHLMC_GNMA_FDIC">"c6399"</definedName>
    <definedName name="IQ_FORECLOSED_PROPERTIES_FDIC">"c6459"</definedName>
    <definedName name="IQ_FOREIGN_BANK_LOANS_FDIC">"c6437"</definedName>
    <definedName name="IQ_FOREIGN_BANKS_DEPOSITS_FOREIGN_FDIC">"c6481"</definedName>
    <definedName name="IQ_FOREIGN_BANKS_LOAN_CHARG_OFFS_FDIC">"c6645"</definedName>
    <definedName name="IQ_FOREIGN_BANKS_NET_CHARGE_OFFS_FDIC">"c6647"</definedName>
    <definedName name="IQ_FOREIGN_BANKS_NONTRANSACTION_ACCOUNTS_FDIC">"c6550"</definedName>
    <definedName name="IQ_FOREIGN_BANKS_RECOVERIES_FDIC">"c6646"</definedName>
    <definedName name="IQ_FOREIGN_BANKS_TRANSACTION_ACCOUNTS_FDIC">"c6542"</definedName>
    <definedName name="IQ_FOREIGN_BRANCHES_U.S._BANKS_LOANS_FDIC">"c6438"</definedName>
    <definedName name="IQ_FOREIGN_BRANCHES_US_BANKS_FDIC">"c6392"</definedName>
    <definedName name="IQ_FOREIGN_COUNTRIES_BANKS_TOTAL_LOANS_FOREIGN_FDIC">"c6445"</definedName>
    <definedName name="IQ_FOREIGN_DEBT_SECURITIES_FDIC">"c6303"</definedName>
    <definedName name="IQ_FOREIGN_DEP_IB">"c446"</definedName>
    <definedName name="IQ_FOREIGN_DEP_NON_IB">"c447"</definedName>
    <definedName name="IQ_FOREIGN_DEPOSITS_NONTRANSACTION_ACCOUNTS_FDIC">"c6549"</definedName>
    <definedName name="IQ_FOREIGN_DEPOSITS_TRANSACTION_ACCOUNTS_FDIC">"c6541"</definedName>
    <definedName name="IQ_FOREIGN_EXCHANGE">"c1376"</definedName>
    <definedName name="IQ_FOREIGN_EXCHANGE_EXPOSURES_FDIC">"c6663"</definedName>
    <definedName name="IQ_FOREIGN_GOVERNMENT_LOANS_FDIC">"c6430"</definedName>
    <definedName name="IQ_FOREIGN_GOVERNMENTS_CHARGE_OFFS_FDIC">"c6600"</definedName>
    <definedName name="IQ_FOREIGN_GOVERNMENTS_DEPOSITS_FOREIGN_FDIC">"c6482"</definedName>
    <definedName name="IQ_FOREIGN_GOVERNMENTS_NET_CHARGE_OFFS_FDIC">"c6638"</definedName>
    <definedName name="IQ_FOREIGN_GOVERNMENTS_NONTRANSACTION_ACCOUNTS_FDIC">"c6551"</definedName>
    <definedName name="IQ_FOREIGN_GOVERNMENTS_RECOVERIES_FDIC">"c6619"</definedName>
    <definedName name="IQ_FOREIGN_GOVERNMENTS_TOTAL_DEPOSITS_FDIC">"c6476"</definedName>
    <definedName name="IQ_FOREIGN_GOVERNMENTS_TRANSACTION_ACCOUNTS_FDIC">"c6543"</definedName>
    <definedName name="IQ_FOREIGN_LOANS">"c448"</definedName>
    <definedName name="IQ_FQ">500</definedName>
    <definedName name="IQ_FUEL">"c449"</definedName>
    <definedName name="IQ_FULL_TIME">"c450"</definedName>
    <definedName name="IQ_FULLY_INSURED_DEPOSITS_FDIC">"c6487"</definedName>
    <definedName name="IQ_FUTURES_FORWARD_CONTRACTS_NOTIONAL_AMOUNT_FDIC">"c6518"</definedName>
    <definedName name="IQ_FUTURES_FORWARD_CONTRACTS_RATE_RISK_FDIC">"c6508"</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X">"c451"</definedName>
    <definedName name="IQ_FX_CONTRACTS_FDIC">"c6517"</definedName>
    <definedName name="IQ_FX_CONTRACTS_SPOT_FDIC">"c6356"</definedName>
    <definedName name="IQ_FY">1000</definedName>
    <definedName name="IQ_GA_EXP">"c2241"</definedName>
    <definedName name="IQ_GAAP_BS">"c6789"</definedName>
    <definedName name="IQ_GAAP_CF">"c6790"</definedName>
    <definedName name="IQ_GAAP_IS">"c6194"</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"c6217"</definedName>
    <definedName name="IQ_GAIN_ASSETS_CF_REIT">"c460"</definedName>
    <definedName name="IQ_GAIN_ASSETS_CF_UTI">"c461"</definedName>
    <definedName name="IQ_GAIN_ASSETS_FIN">"c462"</definedName>
    <definedName name="IQ_GAIN_ASSETS_INS">"c463"</definedName>
    <definedName name="IQ_GAIN_ASSETS_RE">"c6218"</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"c6219"</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"c6220"</definedName>
    <definedName name="IQ_GAIN_INVEST_CF_REIT">"c485"</definedName>
    <definedName name="IQ_GAIN_INVEST_CF_UTI">"c486"</definedName>
    <definedName name="IQ_GAIN_INVEST_FIN">"c1465"</definedName>
    <definedName name="IQ_GAIN_INVEST_INS">"c1466"</definedName>
    <definedName name="IQ_GAIN_INVEST_RE">"c6278"</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"c6221"</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AIN_SALE_LOANS_FDIC">"c6673"</definedName>
    <definedName name="IQ_GAIN_SALE_RE_FDIC">"c6674"</definedName>
    <definedName name="IQ_GAINS_SALE_ASSETS_FDIC">"c6675"</definedName>
    <definedName name="IQ_GEO_SEG_ASSETS">"c4069"</definedName>
    <definedName name="IQ_GEO_SEG_ASSETS_ABS">"c4091"</definedName>
    <definedName name="IQ_GEO_SEG_ASSETS_TOTAL">"c4123"</definedName>
    <definedName name="IQ_GEO_SEG_CAPEX">"c4083"</definedName>
    <definedName name="IQ_GEO_SEG_CAPEX_ABS">"c4105"</definedName>
    <definedName name="IQ_GEO_SEG_CAPEX_TOTAL">"c4127"</definedName>
    <definedName name="IQ_GEO_SEG_DA">"c4082"</definedName>
    <definedName name="IQ_GEO_SEG_DA_ABS">"c4104"</definedName>
    <definedName name="IQ_GEO_SEG_DA_TOTAL">"c4126"</definedName>
    <definedName name="IQ_GEO_SEG_EARNINGS_OP">"c4073"</definedName>
    <definedName name="IQ_GEO_SEG_EARNINGS_OP_ABS">"c4095"</definedName>
    <definedName name="IQ_GEO_SEG_EARNINGS_OP_TOTAL">"c4119"</definedName>
    <definedName name="IQ_GEO_SEG_EBT">"c4072"</definedName>
    <definedName name="IQ_GEO_SEG_EBT_ABS">"c4094"</definedName>
    <definedName name="IQ_GEO_SEG_EBT_TOTAL">"c4121"</definedName>
    <definedName name="IQ_GEO_SEG_GP">"c4070"</definedName>
    <definedName name="IQ_GEO_SEG_GP_ABS">"c4092"</definedName>
    <definedName name="IQ_GEO_SEG_GP_TOTAL">"c4120"</definedName>
    <definedName name="IQ_GEO_SEG_INC_TAX">"c4081"</definedName>
    <definedName name="IQ_GEO_SEG_INC_TAX_ABS">"c4103"</definedName>
    <definedName name="IQ_GEO_SEG_INC_TAX_TOTAL">"c4125"</definedName>
    <definedName name="IQ_GEO_SEG_INTEREST_EXP">"c4080"</definedName>
    <definedName name="IQ_GEO_SEG_INTEREST_EXP_ABS">"c4102"</definedName>
    <definedName name="IQ_GEO_SEG_INTEREST_EXP_TOTAL">"c4124"</definedName>
    <definedName name="IQ_GEO_SEG_NAME">"c5484"</definedName>
    <definedName name="IQ_GEO_SEG_NAME_ABS">"c5485"</definedName>
    <definedName name="IQ_GEO_SEG_NI">"c4071"</definedName>
    <definedName name="IQ_GEO_SEG_NI_ABS">"c4093"</definedName>
    <definedName name="IQ_GEO_SEG_NI_TOTAL">"c4122"</definedName>
    <definedName name="IQ_GEO_SEG_OPER_INC">"c4075"</definedName>
    <definedName name="IQ_GEO_SEG_OPER_INC_ABS">"c4097"</definedName>
    <definedName name="IQ_GEO_SEG_OPER_INC_TOTAL">"c4118"</definedName>
    <definedName name="IQ_GEO_SEG_REV">"c4074"</definedName>
    <definedName name="IQ_GEO_SEG_REV_ABS">"c4096"</definedName>
    <definedName name="IQ_GEO_SEG_REV_TOTAL">"c4117"</definedName>
    <definedName name="IQ_GNMA_FDIC">"c6398"</definedName>
    <definedName name="IQ_GOODWILL_FDIC">"c6334"</definedName>
    <definedName name="IQ_GOODWILL_IMPAIRMENT_FDIC">"c6678"</definedName>
    <definedName name="IQ_GOODWILL_INTAN_FDIC">"c6333"</definedName>
    <definedName name="IQ_GOODWILL_NET">"c1380"</definedName>
    <definedName name="IQ_GP">"c511"</definedName>
    <definedName name="IQ_GP_10YR_ANN_CAGR">"c6090"</definedName>
    <definedName name="IQ_GP_10YR_ANN_GROWTH">"c512"</definedName>
    <definedName name="IQ_GP_1YR_ANN_GROWTH">"c513"</definedName>
    <definedName name="IQ_GP_2YR_ANN_CAGR">"c6091"</definedName>
    <definedName name="IQ_GP_2YR_ANN_GROWTH">"c514"</definedName>
    <definedName name="IQ_GP_3YR_ANN_CAGR">"c6092"</definedName>
    <definedName name="IQ_GP_3YR_ANN_GROWTH">"c515"</definedName>
    <definedName name="IQ_GP_5YR_ANN_CAGR">"c6093"</definedName>
    <definedName name="IQ_GP_5YR_ANN_GROWTH">"c516"</definedName>
    <definedName name="IQ_GP_7YR_ANN_CAGR">"c6094"</definedName>
    <definedName name="IQ_GP_7YR_ANN_GROWTH">"c517"</definedName>
    <definedName name="IQ_GPPE">"c518"</definedName>
    <definedName name="IQ_GROSS_AH_EARNED">"c2742"</definedName>
    <definedName name="IQ_GROSS_CLAIM_EXP_INCUR">"c2755"</definedName>
    <definedName name="IQ_GROSS_CLAIM_EXP_PAID">"c2758"</definedName>
    <definedName name="IQ_GROSS_CLAIM_EXP_RES">"c2752"</definedName>
    <definedName name="IQ_GROSS_DIVID">"c1446"</definedName>
    <definedName name="IQ_GROSS_EARNED">"c2732"</definedName>
    <definedName name="IQ_GROSS_LIFE_EARNED">"c2737"</definedName>
    <definedName name="IQ_GROSS_LIFE_IN_FORCE">"c2767"</definedName>
    <definedName name="IQ_GROSS_LOANS">"c521"</definedName>
    <definedName name="IQ_GROSS_LOANS_10YR_ANN_CAGR">"c6095"</definedName>
    <definedName name="IQ_GROSS_LOANS_10YR_ANN_GROWTH">"c522"</definedName>
    <definedName name="IQ_GROSS_LOANS_1YR_ANN_GROWTH">"c523"</definedName>
    <definedName name="IQ_GROSS_LOANS_2YR_ANN_CAGR">"c6096"</definedName>
    <definedName name="IQ_GROSS_LOANS_2YR_ANN_GROWTH">"c524"</definedName>
    <definedName name="IQ_GROSS_LOANS_3YR_ANN_CAGR">"c6097"</definedName>
    <definedName name="IQ_GROSS_LOANS_3YR_ANN_GROWTH">"c525"</definedName>
    <definedName name="IQ_GROSS_LOANS_5YR_ANN_CAGR">"c6098"</definedName>
    <definedName name="IQ_GROSS_LOANS_5YR_ANN_GROWTH">"c526"</definedName>
    <definedName name="IQ_GROSS_LOANS_7YR_ANN_CAGR">"c6099"</definedName>
    <definedName name="IQ_GROSS_LOANS_7YR_ANN_GROWTH">"c527"</definedName>
    <definedName name="IQ_GROSS_LOANS_TOTAL_DEPOSITS">"c528"</definedName>
    <definedName name="IQ_GROSS_MARGIN">"c529"</definedName>
    <definedName name="IQ_GROSS_PC_EARNED">"c2747"</definedName>
    <definedName name="IQ_GROSS_PROFIT">"c1378"</definedName>
    <definedName name="IQ_GROSS_SPRD">"c2155"</definedName>
    <definedName name="IQ_GROSS_WRITTEN">"c2726"</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"c6279"</definedName>
    <definedName name="IQ_GW_INTAN_AMORT_CF_REIT">"c1476"</definedName>
    <definedName name="IQ_GW_INTAN_AMORT_CF_UTI">"c1477"</definedName>
    <definedName name="IQ_GW_INTAN_AMORT_FIN">"c1478"</definedName>
    <definedName name="IQ_GW_INTAN_AMORT_INS">"c1479"</definedName>
    <definedName name="IQ_GW_INTAN_AMORT_RE">"c6280"</definedName>
    <definedName name="IQ_GW_INTAN_AMORT_REIT">"c1480"</definedName>
    <definedName name="IQ_GW_INTAN_AMORT_UTI">"c1481"</definedName>
    <definedName name="IQ_HC_ADMISSIONS">"c5953"</definedName>
    <definedName name="IQ_HC_ADMISSIONS_GROWTH">"c5997"</definedName>
    <definedName name="IQ_HC_ADMISSIONS_MANAGED_CARE">"c5956"</definedName>
    <definedName name="IQ_HC_ADMISSIONS_MEDICAID">"c5955"</definedName>
    <definedName name="IQ_HC_ADMISSIONS_MEDICARE">"c5954"</definedName>
    <definedName name="IQ_HC_ADMISSIONS_OTHER">"c5957"</definedName>
    <definedName name="IQ_HC_ADMISSIONS_SF">"c6006"</definedName>
    <definedName name="IQ_HC_ALFS">"c5952"</definedName>
    <definedName name="IQ_HC_AVG_BEDS_SVC">"c5951"</definedName>
    <definedName name="IQ_HC_AVG_DAILY_CENSUS">"c5965"</definedName>
    <definedName name="IQ_HC_AVG_LICENSED_BEDS">"c5949"</definedName>
    <definedName name="IQ_HC_AVG_LICENSED_BEDS_SF">"c6004"</definedName>
    <definedName name="IQ_HC_AVG_STAY">"c5966"</definedName>
    <definedName name="IQ_HC_AVG_STAY_SF">"c6016"</definedName>
    <definedName name="IQ_HC_BEDS_SVC">"c5950"</definedName>
    <definedName name="IQ_HC_DAYS_REV_OUT">"c5993"</definedName>
    <definedName name="IQ_HC_EQUIV_ADMISSIONS_GROWTH">"c5998"</definedName>
    <definedName name="IQ_HC_EQUIVALENT_ADMISSIONS">"c5958"</definedName>
    <definedName name="IQ_HC_EQUIVALENT_ADMISSIONS_SF">"c6007"</definedName>
    <definedName name="IQ_HC_ER_VISITS">"c5964"</definedName>
    <definedName name="IQ_HC_ER_VISITS_SF">"c6017"</definedName>
    <definedName name="IQ_HC_GROSS_INPATIENT_REV">"c5987"</definedName>
    <definedName name="IQ_HC_GROSS_OUTPATIENT_REV">"c5988"</definedName>
    <definedName name="IQ_HC_GROSS_PATIENT_REV">"c5989"</definedName>
    <definedName name="IQ_HC_HOSP_FACILITIES_CONSOL">"c5945"</definedName>
    <definedName name="IQ_HC_HOSP_FACILITIES_CONSOL_SF">"c6000"</definedName>
    <definedName name="IQ_HC_HOSP_FACILITIES_NON_CONSOL">"c5946"</definedName>
    <definedName name="IQ_HC_HOSP_FACILITIES_NON_CONSOL_SF">"c6001"</definedName>
    <definedName name="IQ_HC_HOSP_FACILITIES_TOTAL">"c5947"</definedName>
    <definedName name="IQ_HC_HOSP_FACILITIES_TOTAL_SF">"c6002"</definedName>
    <definedName name="IQ_HC_INPATIENT_PROCEDURES">"c5961"</definedName>
    <definedName name="IQ_HC_INPATIENT_PROCEDURES_SF">"c6011"</definedName>
    <definedName name="IQ_HC_INPATIENT_REV_PER_ADMISSION">"c5994"</definedName>
    <definedName name="IQ_HC_INTPATIENT_SVCS_PCT_REV">"c5975"</definedName>
    <definedName name="IQ_HC_INTPATIENT_SVCS_PCT_REV_SF">"c6015"</definedName>
    <definedName name="IQ_HC_LICENSED_BEDS">"c5948"</definedName>
    <definedName name="IQ_HC_LICENSED_BEDS_SF">"c6003"</definedName>
    <definedName name="IQ_HC_MANAGED_CARE_PCT_ADMISSIONS">"c5982"</definedName>
    <definedName name="IQ_HC_MANAGED_CARE_PCT_REV">"c5978"</definedName>
    <definedName name="IQ_HC_MEDICAID_PCT_ADMISSIONS">"c5981"</definedName>
    <definedName name="IQ_HC_MEDICAID_PCT_REV">"c5977"</definedName>
    <definedName name="IQ_HC_MEDICARE_PCT_ADMISSIONS">"c5980"</definedName>
    <definedName name="IQ_HC_MEDICARE_PCT_REV">"c5976"</definedName>
    <definedName name="IQ_HC_NET_INPATIENT_REV">"c5984"</definedName>
    <definedName name="IQ_HC_NET_OUTPATIENT_REV">"c5985"</definedName>
    <definedName name="IQ_HC_NET_PATIENT_REV">"c5986"</definedName>
    <definedName name="IQ_HC_NET_PATIENT_REV_SF">"c6005"</definedName>
    <definedName name="IQ_HC_OCC_RATE">"c5967"</definedName>
    <definedName name="IQ_HC_OCC_RATE_LICENSED_BEDS">"c5968"</definedName>
    <definedName name="IQ_HC_OCC_RATE_SF">"c6009"</definedName>
    <definedName name="IQ_HC_OPEX_SUPPLIES">"c5990"</definedName>
    <definedName name="IQ_HC_OTHER_OPEX_PCT_REV">"c5973"</definedName>
    <definedName name="IQ_HC_OUTPATIENT_PROCEDURES">"c5962"</definedName>
    <definedName name="IQ_HC_OUTPATIENT_PROCEDURES_SF">"c6012"</definedName>
    <definedName name="IQ_HC_OUTPATIENT_REV_PER_ADMISSION">"c5995"</definedName>
    <definedName name="IQ_HC_OUTPATIENT_SVCS_PCT_REV">"c5974"</definedName>
    <definedName name="IQ_HC_OUTPATIENT_SVCS_PCT_REV_SF">"c6014"</definedName>
    <definedName name="IQ_HC_PATIENT_DAYS">"c5960"</definedName>
    <definedName name="IQ_HC_PATIENT_DAYS_SF">"c6010"</definedName>
    <definedName name="IQ_HC_PROF_GEN_LIAB_CLAIM_PAID">"c5991"</definedName>
    <definedName name="IQ_HC_PROF_GEN_LIAB_EXP_BENEFIT">"c5992"</definedName>
    <definedName name="IQ_HC_PROVISION_DOUBTFUL_PCT_REV">"c5972"</definedName>
    <definedName name="IQ_HC_REV_GROWTH">"c5996"</definedName>
    <definedName name="IQ_HC_REV_PER_EQUIV_ADMISSION">"c5959"</definedName>
    <definedName name="IQ_HC_REV_PER_EQUIV_ADMISSION_SF">"c6008"</definedName>
    <definedName name="IQ_HC_REV_PER_EQUIV_ADMISSIONS_GROWTH">"c5999"</definedName>
    <definedName name="IQ_HC_REV_PER_PATIENT_DAY">"c5969"</definedName>
    <definedName name="IQ_HC_REV_PER_PATIENT_DAY_SF">"c6018"</definedName>
    <definedName name="IQ_HC_SALARIES_PCT_REV">"c5970"</definedName>
    <definedName name="IQ_HC_SUPPLIES_PCT_REV">"c5971"</definedName>
    <definedName name="IQ_HC_TOTAL_PROCEDURES">"c5963"</definedName>
    <definedName name="IQ_HC_TOTAL_PROCEDURES_SF">"c6013"</definedName>
    <definedName name="IQ_HC_UNINSURED_PCT_ADMISSIONS">"c5983"</definedName>
    <definedName name="IQ_HC_UNINSURED_PCT_REV">"c5979"</definedName>
    <definedName name="IQ_HELD_MATURITY_FDIC">"c6408"</definedName>
    <definedName name="IQ_HIGH_TARGET_PRICE">"c1651"</definedName>
    <definedName name="IQ_HIGH_TARGET_PRICE_REUT">"c5317"</definedName>
    <definedName name="IQ_HIGHPRICE">"c545"</definedName>
    <definedName name="IQ_HOME_AVG_LOAN_SIZE">"c5911"</definedName>
    <definedName name="IQ_HOME_BACKLOG">"c5844"</definedName>
    <definedName name="IQ_HOME_BACKLOG_AVG_JV">"c5848"</definedName>
    <definedName name="IQ_HOME_BACKLOG_AVG_JV_GROWTH">"c5928"</definedName>
    <definedName name="IQ_HOME_BACKLOG_AVG_JV_INC">"c5851"</definedName>
    <definedName name="IQ_HOME_BACKLOG_AVG_JV_INC_GROWTH">"c5931"</definedName>
    <definedName name="IQ_HOME_BACKLOG_AVG_PRICE">"c5845"</definedName>
    <definedName name="IQ_HOME_BACKLOG_AVG_PRICE_GROWTH">"c5925"</definedName>
    <definedName name="IQ_HOME_BACKLOG_GROWTH">"c5924"</definedName>
    <definedName name="IQ_HOME_BACKLOG_JV">"c5847"</definedName>
    <definedName name="IQ_HOME_BACKLOG_JV_GROWTH">"c5927"</definedName>
    <definedName name="IQ_HOME_BACKLOG_JV_INC">"c5850"</definedName>
    <definedName name="IQ_HOME_BACKLOG_JV_INC_GROWTH">"c5930"</definedName>
    <definedName name="IQ_HOME_BACKLOG_VALUE">"c5846"</definedName>
    <definedName name="IQ_HOME_BACKLOG_VALUE_GROWTH">"c5926"</definedName>
    <definedName name="IQ_HOME_BACKLOG_VALUE_JV">"c5849"</definedName>
    <definedName name="IQ_HOME_BACKLOG_VALUE_JV_GROWTH">"c5929"</definedName>
    <definedName name="IQ_HOME_BACKLOG_VALUE_JV_INC">"c5852"</definedName>
    <definedName name="IQ_HOME_BACKLOG_VALUE_JV_INC_GROWTH">"c5932"</definedName>
    <definedName name="IQ_HOME_COMMUNITIES_ACTIVE">"c5862"</definedName>
    <definedName name="IQ_HOME_COMMUNITIES_ACTIVE_GROWTH">"c5942"</definedName>
    <definedName name="IQ_HOME_COMMUNITIES_ACTIVE_JV">"c5863"</definedName>
    <definedName name="IQ_HOME_COMMUNITIES_ACTIVE_JV_GROWTH">"c5943"</definedName>
    <definedName name="IQ_HOME_COMMUNITIES_ACTIVE_JV_INC">"c5864"</definedName>
    <definedName name="IQ_HOME_COMMUNITIES_ACTIVE_JV_INC_GROWTH">"c5944"</definedName>
    <definedName name="IQ_HOME_COST_CONSTRUCTION_SVCS">"c5882"</definedName>
    <definedName name="IQ_HOME_COST_ELIMINATIONS_OTHER">"c5883"</definedName>
    <definedName name="IQ_HOME_COST_FINANCIAL_SVCS">"c5881"</definedName>
    <definedName name="IQ_HOME_COST_HOUSING">"c5877"</definedName>
    <definedName name="IQ_HOME_COST_LAND_LOT">"c5878"</definedName>
    <definedName name="IQ_HOME_COST_OTHER_HOMEBUILDING">"c5879"</definedName>
    <definedName name="IQ_HOME_COST_TOTAL">"c5884"</definedName>
    <definedName name="IQ_HOME_COST_TOTAL_HOMEBUILDING">"c5880"</definedName>
    <definedName name="IQ_HOME_DELIVERED">"c5835"</definedName>
    <definedName name="IQ_HOME_DELIVERED_AVG_PRICE">"c5836"</definedName>
    <definedName name="IQ_HOME_DELIVERED_AVG_PRICE_GROWTH">"c5916"</definedName>
    <definedName name="IQ_HOME_DELIVERED_AVG_PRICE_JV">"c5839"</definedName>
    <definedName name="IQ_HOME_DELIVERED_AVG_PRICE_JV_GROWTH">"c5919"</definedName>
    <definedName name="IQ_HOME_DELIVERED_AVG_PRICE_JV_INC">"c5842"</definedName>
    <definedName name="IQ_HOME_DELIVERED_AVG_PRICE_JV_INC_GROWTH">"c5922"</definedName>
    <definedName name="IQ_HOME_DELIVERED_GROWTH">"c5915"</definedName>
    <definedName name="IQ_HOME_DELIVERED_JV">"c5838"</definedName>
    <definedName name="IQ_HOME_DELIVERED_JV_GROWTH">"c5918"</definedName>
    <definedName name="IQ_HOME_DELIVERED_JV_INC">"c5841"</definedName>
    <definedName name="IQ_HOME_DELIVERED_JV_INC_GROWTH">"c5921"</definedName>
    <definedName name="IQ_HOME_DELIVERED_VALUE">"c5837"</definedName>
    <definedName name="IQ_HOME_DELIVERED_VALUE_GROWTH">"c5917"</definedName>
    <definedName name="IQ_HOME_DELIVERED_VALUE_JV">"c5840"</definedName>
    <definedName name="IQ_HOME_DELIVERED_VALUE_JV_GROWTH">"c5920"</definedName>
    <definedName name="IQ_HOME_DELIVERED_VALUE_JV_INC">"c5843"</definedName>
    <definedName name="IQ_HOME_DELIVERED_VALUE_JV_INC_GROWTH">"c5923"</definedName>
    <definedName name="IQ_HOME_EQUITY_LOC_NET_CHARGE_OFFS_FDIC">"c6644"</definedName>
    <definedName name="IQ_HOME_EQUITY_LOC_TOTAL_CHARGE_OFFS_FDIC">"c6606"</definedName>
    <definedName name="IQ_HOME_EQUITY_LOC_TOTAL_RECOVERIES_FDIC">"c6625"</definedName>
    <definedName name="IQ_HOME_FINISHED_HOMES_CIP">"c5865"</definedName>
    <definedName name="IQ_HOME_FIRSTLIEN_MORT_ORIGINATED">"c5905"</definedName>
    <definedName name="IQ_HOME_FIRSTLIEN_MORT_ORIGINATED_VOL">"c5908"</definedName>
    <definedName name="IQ_HOME_HUC">"c5822"</definedName>
    <definedName name="IQ_HOME_HUC_JV">"c5823"</definedName>
    <definedName name="IQ_HOME_HUC_JV_INC">"c5824"</definedName>
    <definedName name="IQ_HOME_INV_NOT_OWNED">"c5868"</definedName>
    <definedName name="IQ_HOME_LAND_DEVELOPMENT">"c5866"</definedName>
    <definedName name="IQ_HOME_LAND_FUTURE_DEVELOPMENT">"c5867"</definedName>
    <definedName name="IQ_HOME_LOAN_APPLICATIONS">"c5910"</definedName>
    <definedName name="IQ_HOME_LOANS_SOLD_COUNT">"c5912"</definedName>
    <definedName name="IQ_HOME_LOANS_SOLD_VALUE">"c5913"</definedName>
    <definedName name="IQ_HOME_LOTS_CONTROLLED">"c5831"</definedName>
    <definedName name="IQ_HOME_LOTS_FINISHED">"c5827"</definedName>
    <definedName name="IQ_HOME_LOTS_HELD_SALE">"c5830"</definedName>
    <definedName name="IQ_HOME_LOTS_JV">"c5833"</definedName>
    <definedName name="IQ_HOME_LOTS_JV_INC">"c5834"</definedName>
    <definedName name="IQ_HOME_LOTS_OTHER">"c5832"</definedName>
    <definedName name="IQ_HOME_LOTS_OWNED">"c5828"</definedName>
    <definedName name="IQ_HOME_LOTS_UNDER_DEVELOPMENT">"c5826"</definedName>
    <definedName name="IQ_HOME_LOTS_UNDER_OPTION">"c5829"</definedName>
    <definedName name="IQ_HOME_LOTS_UNDEVELOPED">"c5825"</definedName>
    <definedName name="IQ_HOME_MORT_CAPTURE_RATE">"c5906"</definedName>
    <definedName name="IQ_HOME_MORT_ORIGINATED">"c5907"</definedName>
    <definedName name="IQ_HOME_OBLIGATIONS_INV_NOT_OWNED">"c5914"</definedName>
    <definedName name="IQ_HOME_ORDERS">"c5853"</definedName>
    <definedName name="IQ_HOME_ORDERS_AVG_PRICE">"c5854"</definedName>
    <definedName name="IQ_HOME_ORDERS_AVG_PRICE_GROWTH">"c5934"</definedName>
    <definedName name="IQ_HOME_ORDERS_AVG_PRICE_JV">"c5857"</definedName>
    <definedName name="IQ_HOME_ORDERS_AVG_PRICE_JV_GROWTH">"c5937"</definedName>
    <definedName name="IQ_HOME_ORDERS_AVG_PRICE_JV_INC">"c5860"</definedName>
    <definedName name="IQ_HOME_ORDERS_AVG_PRICE_JV_INC_GROWTH">"c5940"</definedName>
    <definedName name="IQ_HOME_ORDERS_GROWTH">"c5933"</definedName>
    <definedName name="IQ_HOME_ORDERS_JV">"c5856"</definedName>
    <definedName name="IQ_HOME_ORDERS_JV_GROWTH">"c5936"</definedName>
    <definedName name="IQ_HOME_ORDERS_JV_INC">"c5859"</definedName>
    <definedName name="IQ_HOME_ORDERS_JV_INC_GROWTH">"c5939"</definedName>
    <definedName name="IQ_HOME_ORDERS_VALUE">"c5855"</definedName>
    <definedName name="IQ_HOME_ORDERS_VALUE_GROWTH">"c5935"</definedName>
    <definedName name="IQ_HOME_ORDERS_VALUE_JV">"c5858"</definedName>
    <definedName name="IQ_HOME_ORDERS_VALUE_JV_GROWTH">"c5938"</definedName>
    <definedName name="IQ_HOME_ORDERS_VALUE_JV_INC">"c5861"</definedName>
    <definedName name="IQ_HOME_ORDERS_VALUE_JV_INC_GROWTH">"c5941"</definedName>
    <definedName name="IQ_HOME_ORIGINATION_TOTAL">"c5909"</definedName>
    <definedName name="IQ_HOME_PRETAX_INC_CONSTRUCTION_SVCS">"c5890"</definedName>
    <definedName name="IQ_HOME_PRETAX_INC_ELIMINATIONS_OTHER">"c5891"</definedName>
    <definedName name="IQ_HOME_PRETAX_INC_FINANCIAL_SVCS">"c5889"</definedName>
    <definedName name="IQ_HOME_PRETAX_INC_HOUSING">"c5885"</definedName>
    <definedName name="IQ_HOME_PRETAX_INC_LAND_LOT">"c5886"</definedName>
    <definedName name="IQ_HOME_PRETAX_INC_OTHER_HOMEBUILDING">"c5887"</definedName>
    <definedName name="IQ_HOME_PRETAX_INC_TOTAL">"c5892"</definedName>
    <definedName name="IQ_HOME_PRETAX_INC_TOTAL_HOMEBUILDING">"c5888"</definedName>
    <definedName name="IQ_HOME_PURCH_OBLIGATION_1YR">"c5898"</definedName>
    <definedName name="IQ_HOME_PURCH_OBLIGATION_2YR">"c5899"</definedName>
    <definedName name="IQ_HOME_PURCH_OBLIGATION_3YR">"c5900"</definedName>
    <definedName name="IQ_HOME_PURCH_OBLIGATION_4YR">"c5901"</definedName>
    <definedName name="IQ_HOME_PURCH_OBLIGATION_5YR">"c5902"</definedName>
    <definedName name="IQ_HOME_PURCH_OBLIGATION_AFTER5">"c5903"</definedName>
    <definedName name="IQ_HOME_PURCH_OBLIGATION_TOTAL">"c5904"</definedName>
    <definedName name="IQ_HOME_REV_CONSTRUCTION_SERVICES">"c5874"</definedName>
    <definedName name="IQ_HOME_REV_ELIMINATIONS_OTHER">"c5875"</definedName>
    <definedName name="IQ_HOME_REV_FINANCIAL_SERVICES">"c5873"</definedName>
    <definedName name="IQ_HOME_REV_HOUSING">"c5872"</definedName>
    <definedName name="IQ_HOME_REV_LAND_LOT">"c5870"</definedName>
    <definedName name="IQ_HOME_REV_OTHER_HOMEBUILDING">"c5871"</definedName>
    <definedName name="IQ_HOME_REV_TOTAL">"c5876"</definedName>
    <definedName name="IQ_HOME_TOTAL_INV">"c5869"</definedName>
    <definedName name="IQ_HOME_WARRANTY_RES_BEG">"c5893"</definedName>
    <definedName name="IQ_HOME_WARRANTY_RES_END">"c5897"</definedName>
    <definedName name="IQ_HOME_WARRANTY_RES_ISS">"c5894"</definedName>
    <definedName name="IQ_HOME_WARRANTY_RES_OTHER">"c5896"</definedName>
    <definedName name="IQ_HOME_WARRANTY_RES_PAY">"c5895"</definedName>
    <definedName name="IQ_HOMEOWNERS_WRITTEN">"c546"</definedName>
    <definedName name="IQ_IMPAIR_OIL">"c547"</definedName>
    <definedName name="IQ_IMPAIRMENT_GW">"c548"</definedName>
    <definedName name="IQ_IMPUT_OPER_LEASE_DEPR">"c2987"</definedName>
    <definedName name="IQ_IMPUT_OPER_LEASE_INT_EXP">"c2986"</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"c6222"</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CIDENTAL_CHANGES_BUSINESS_COMBINATIONS_FDIC">"c6502"</definedName>
    <definedName name="IQ_INCOME_BEFORE_EXTRA_FDIC">"c6585"</definedName>
    <definedName name="IQ_INCOME_EARNED_FDIC">"c6359"</definedName>
    <definedName name="IQ_INCOME_TAXES_FDIC">"c6582"</definedName>
    <definedName name="IQ_INDIVIDUALS_CHARGE_OFFS_FDIC">"c6599"</definedName>
    <definedName name="IQ_INDIVIDUALS_LOANS_FDIC">"c6318"</definedName>
    <definedName name="IQ_INDIVIDUALS_NET_CHARGE_OFFS_FDIC">"c6637"</definedName>
    <definedName name="IQ_INDIVIDUALS_OTHER_LOANS_FDIC">"c6321"</definedName>
    <definedName name="IQ_INDIVIDUALS_PARTNERSHIPS_CORP_DEPOSITS_FOREIGN_FDIC">"c6479"</definedName>
    <definedName name="IQ_INDIVIDUALS_PARTNERSHIPS_CORP_NONTRANSACTION_ACCOUNTS_FDIC">"c6545"</definedName>
    <definedName name="IQ_INDIVIDUALS_PARTNERSHIPS_CORP_TOTAL_DEPOSITS_FDIC">"c6471"</definedName>
    <definedName name="IQ_INDIVIDUALS_PARTNERSHIPS_CORP_TRANSACTION_ACCOUNTS_FDIC">"c6537"</definedName>
    <definedName name="IQ_INDIVIDUALS_RECOVERIES_FDIC">"c6618"</definedName>
    <definedName name="IQ_INDUSTRY">"c3601"</definedName>
    <definedName name="IQ_INDUSTRY_GROUP">"c3602"</definedName>
    <definedName name="IQ_INDUSTRY_SECTOR">"c3603"</definedName>
    <definedName name="IQ_INS_ANNUITY_LIAB">"c563"</definedName>
    <definedName name="IQ_INS_ANNUITY_REV">"c2788"</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"c6223"</definedName>
    <definedName name="IQ_INS_SETTLE_REIT">"c575"</definedName>
    <definedName name="IQ_INS_SETTLE_UTI">"c576"</definedName>
    <definedName name="IQ_INSIDER_3MTH_BOUGHT_PCT">"c1534"</definedName>
    <definedName name="IQ_INSIDER_3MTH_NET_PCT">"c1535"</definedName>
    <definedName name="IQ_INSIDER_3MTH_SOLD_PCT">"c1533"</definedName>
    <definedName name="IQ_INSIDER_6MTH_BOUGHT_PCT">"c1537"</definedName>
    <definedName name="IQ_INSIDER_6MTH_NET_PCT">"c1538"</definedName>
    <definedName name="IQ_INSIDER_6MTH_SOLD_PCT">"c1536"</definedName>
    <definedName name="IQ_INSIDER_LOANS_FDIC">"c6365"</definedName>
    <definedName name="IQ_INSIDER_OVER_TOTAL">"c1581"</definedName>
    <definedName name="IQ_INSIDER_OWNER">"c577"</definedName>
    <definedName name="IQ_INSIDER_PERCENT">"c578"</definedName>
    <definedName name="IQ_INSIDER_SHARES">"c579"</definedName>
    <definedName name="IQ_INSTITUTIONAL_OVER_TOTAL">"c1580"</definedName>
    <definedName name="IQ_INSTITUTIONAL_OWNER">"c580"</definedName>
    <definedName name="IQ_INSTITUTIONAL_PERCENT">"c581"</definedName>
    <definedName name="IQ_INSTITUTIONAL_SHARES">"c582"</definedName>
    <definedName name="IQ_INSTITUTIONS_EARNINGS_GAINS_FDIC">"c6723"</definedName>
    <definedName name="IQ_INSUR_RECEIV">"c1600"</definedName>
    <definedName name="IQ_INSURANCE_COMMISSION_FEES_FDIC">"c6670"</definedName>
    <definedName name="IQ_INSURANCE_UNDERWRITING_INCOME_FDIC">"c6671"</definedName>
    <definedName name="IQ_INT_BORROW">"c583"</definedName>
    <definedName name="IQ_INT_DEMAND_NOTES_FDIC">"c6567"</definedName>
    <definedName name="IQ_INT_DEPOSITS">"c584"</definedName>
    <definedName name="IQ_INT_DIV_INC">"c585"</definedName>
    <definedName name="IQ_INT_DOMESTIC_DEPOSITS_FDIC">"c6564"</definedName>
    <definedName name="IQ_INT_EXP_BR">"c586"</definedName>
    <definedName name="IQ_INT_EXP_COVERAGE">"c587"</definedName>
    <definedName name="IQ_INT_EXP_FIN">"c588"</definedName>
    <definedName name="IQ_INT_EXP_INCL_CAP">"c2988"</definedName>
    <definedName name="IQ_INT_EXP_INS">"c589"</definedName>
    <definedName name="IQ_INT_EXP_LTD">"c2086"</definedName>
    <definedName name="IQ_INT_EXP_RE">"c6224"</definedName>
    <definedName name="IQ_INT_EXP_REIT">"c590"</definedName>
    <definedName name="IQ_INT_EXP_TOTAL">"c591"</definedName>
    <definedName name="IQ_INT_EXP_TOTAL_FDIC">"c6569"</definedName>
    <definedName name="IQ_INT_EXP_UTI">"c592"</definedName>
    <definedName name="IQ_INT_FED_FUNDS_FDIC">"c6566"</definedName>
    <definedName name="IQ_INT_FOREIGN_DEPOSITS_FDIC">"c6565"</definedName>
    <definedName name="IQ_INT_INC_BR">"c593"</definedName>
    <definedName name="IQ_INT_INC_DEPOSITORY_INST_FDIC">"c6558"</definedName>
    <definedName name="IQ_INT_INC_DOM_LOANS_FDIC">"c6555"</definedName>
    <definedName name="IQ_INT_INC_FED_FUNDS_FDIC">"c6561"</definedName>
    <definedName name="IQ_INT_INC_FIN">"c594"</definedName>
    <definedName name="IQ_INT_INC_FOREIGN_LOANS_FDIC">"c6556"</definedName>
    <definedName name="IQ_INT_INC_INVEST">"c595"</definedName>
    <definedName name="IQ_INT_INC_LEASE_RECEIVABLES_FDIC">"c6557"</definedName>
    <definedName name="IQ_INT_INC_LOANS">"c596"</definedName>
    <definedName name="IQ_INT_INC_OTHER_FDIC">"c6562"</definedName>
    <definedName name="IQ_INT_INC_RE">"c6225"</definedName>
    <definedName name="IQ_INT_INC_REIT">"c597"</definedName>
    <definedName name="IQ_INT_INC_SECURITIES_FDIC">"c6559"</definedName>
    <definedName name="IQ_INT_INC_TOTAL">"c598"</definedName>
    <definedName name="IQ_INT_INC_TOTAL_FDIC">"c6563"</definedName>
    <definedName name="IQ_INT_INC_TRADING_ACCOUNTS_FDIC">"c6560"</definedName>
    <definedName name="IQ_INT_INC_UTI">"c599"</definedName>
    <definedName name="IQ_INT_INV_INC">"c600"</definedName>
    <definedName name="IQ_INT_INV_INC_RE">"c6226"</definedName>
    <definedName name="IQ_INT_INV_INC_REIT">"c601"</definedName>
    <definedName name="IQ_INT_INV_INC_UTI">"c602"</definedName>
    <definedName name="IQ_INT_ON_BORROWING_COVERAGE">"c603"</definedName>
    <definedName name="IQ_INT_RATE_SPREAD">"c604"</definedName>
    <definedName name="IQ_INT_SUB_NOTES_FDIC">"c6568"</definedName>
    <definedName name="IQ_INTANGIBLES_NET">"c1407"</definedName>
    <definedName name="IQ_INTEREST_BEARING_BALANCES_FDIC">"c6371"</definedName>
    <definedName name="IQ_INTEREST_BEARING_DEPOSITS_DOMESTIC_FDIC">"c6478"</definedName>
    <definedName name="IQ_INTEREST_BEARING_DEPOSITS_FDIC">"c6373"</definedName>
    <definedName name="IQ_INTEREST_BEARING_DEPOSITS_FOREIGN_FDIC">"c6485"</definedName>
    <definedName name="IQ_INTEREST_CASH_DEPOSITS">"c2255"</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NON">"c1384"</definedName>
    <definedName name="IQ_INTEREST_INVEST_INC">"c619"</definedName>
    <definedName name="IQ_INTEREST_RATE_CONTRACTS_FDIC">"c6512"</definedName>
    <definedName name="IQ_INTEREST_RATE_EXPOSURES_FDIC">"c6662"</definedName>
    <definedName name="IQ_INV_10YR_ANN_CAGR">"c6164"</definedName>
    <definedName name="IQ_INV_10YR_ANN_GROWTH">"c1930"</definedName>
    <definedName name="IQ_INV_1YR_ANN_GROWTH">"c1925"</definedName>
    <definedName name="IQ_INV_2YR_ANN_CAGR">"c6160"</definedName>
    <definedName name="IQ_INV_2YR_ANN_GROWTH">"c1926"</definedName>
    <definedName name="IQ_INV_3YR_ANN_CAGR">"c6161"</definedName>
    <definedName name="IQ_INV_3YR_ANN_GROWTH">"c1927"</definedName>
    <definedName name="IQ_INV_5YR_ANN_CAGR">"c6162"</definedName>
    <definedName name="IQ_INV_5YR_ANN_GROWTH">"c1928"</definedName>
    <definedName name="IQ_INV_7YR_ANN_CAGR">"c6163"</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GOV_SECURITY">"c5510"</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"c6227"</definedName>
    <definedName name="IQ_INVEST_LOANS_CF_REIT">"c633"</definedName>
    <definedName name="IQ_INVEST_LOANS_CF_UTI">"c634"</definedName>
    <definedName name="IQ_INVEST_MUNI_SECURITY">"c5512"</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"c6228"</definedName>
    <definedName name="IQ_INVEST_SECURITY_CF_REIT">"c642"</definedName>
    <definedName name="IQ_INVEST_SECURITY_CF_UTI">"c643"</definedName>
    <definedName name="IQ_INVEST_SECURITY_SUPPL">"c5511"</definedName>
    <definedName name="IQ_INVESTMENT_BANKING_OTHER_FEES_FDIC">"c6666"</definedName>
    <definedName name="IQ_IPRD">"c644"</definedName>
    <definedName name="IQ_IRA_KEOGH_ACCOUNTS_FDIC">"c6496"</definedName>
    <definedName name="IQ_ISS_DEBT_NET">"c1391"</definedName>
    <definedName name="IQ_ISS_STOCK_NET">"c1601"</definedName>
    <definedName name="IQ_ISSUE_CURRENCY">"c2156"</definedName>
    <definedName name="IQ_ISSUE_NAME">"c2142"</definedName>
    <definedName name="IQ_ISSUED_GUARANTEED_US_FDIC">"c6404"</definedName>
    <definedName name="IQ_ISSUER">"c2143"</definedName>
    <definedName name="IQ_ISSUER_CIQID">"c2258"</definedName>
    <definedName name="IQ_ISSUER_PARENT">"c2144"</definedName>
    <definedName name="IQ_ISSUER_PARENT_CIQID">"c2260"</definedName>
    <definedName name="IQ_ISSUER_PARENT_TICKER">"c2259"</definedName>
    <definedName name="IQ_ISSUER_TICKER">"c2252"</definedName>
    <definedName name="IQ_JR_SUB_DEBT">"c2534"</definedName>
    <definedName name="IQ_JR_SUB_DEBT_EBITDA">"c2560"</definedName>
    <definedName name="IQ_JR_SUB_DEBT_EBITDA_CAPEX">"c2561"</definedName>
    <definedName name="IQ_JR_SUB_DEBT_PCT">"c2535"</definedName>
    <definedName name="IQ_LAND">"c645"</definedName>
    <definedName name="IQ_LAST_PMT_DATE">"c2188"</definedName>
    <definedName name="IQ_LAST_SPLIT_DATE">"c2095"</definedName>
    <definedName name="IQ_LAST_SPLIT_FACTOR">"c2093"</definedName>
    <definedName name="IQ_LASTPRICINGDATE">"c3051"</definedName>
    <definedName name="IQ_LASTSALEPRICE">"c646"</definedName>
    <definedName name="IQ_LASTSALEPRICE_DATE">"c2109"</definedName>
    <definedName name="IQ_LATESTK">1000</definedName>
    <definedName name="IQ_LATESTQ">500</definedName>
    <definedName name="IQ_LEASE_FINANCING_RECEIVABLES_CHARGE_OFFS_FDIC">"c6602"</definedName>
    <definedName name="IQ_LEASE_FINANCING_RECEIVABLES_FDIC">"c6433"</definedName>
    <definedName name="IQ_LEASE_FINANCING_RECEIVABLES_NET_CHARGE_OFFS_FDIC">"c6640"</definedName>
    <definedName name="IQ_LEASE_FINANCING_RECEIVABLES_RECOVERIES_FDIC">"c6621"</definedName>
    <definedName name="IQ_LEASE_FINANCING_RECEIVABLES_TOTAL_LOANS_FOREIGN_FDIC">"c6449"</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"c6229"</definedName>
    <definedName name="IQ_LEGAL_SETTLE_REIT">"c652"</definedName>
    <definedName name="IQ_LEGAL_SETTLE_UTI">"c653"</definedName>
    <definedName name="IQ_LEVERAGE_RATIO">"c654"</definedName>
    <definedName name="IQ_LEVERED_FCF">"c1907"</definedName>
    <definedName name="IQ_LFCF_10YR_ANN_CAGR">"c6174"</definedName>
    <definedName name="IQ_LFCF_10YR_ANN_GROWTH">"c1942"</definedName>
    <definedName name="IQ_LFCF_1YR_ANN_GROWTH">"c1937"</definedName>
    <definedName name="IQ_LFCF_2YR_ANN_CAGR">"c6170"</definedName>
    <definedName name="IQ_LFCF_2YR_ANN_GROWTH">"c1938"</definedName>
    <definedName name="IQ_LFCF_3YR_ANN_CAGR">"c6171"</definedName>
    <definedName name="IQ_LFCF_3YR_ANN_GROWTH">"c1939"</definedName>
    <definedName name="IQ_LFCF_5YR_ANN_CAGR">"c6172"</definedName>
    <definedName name="IQ_LFCF_5YR_ANN_GROWTH">"c1940"</definedName>
    <definedName name="IQ_LFCF_7YR_ANN_CAGR">"c6173"</definedName>
    <definedName name="IQ_LFCF_7YR_ANN_GROWTH">"c1941"</definedName>
    <definedName name="IQ_LFCF_MARGIN">"c1961"</definedName>
    <definedName name="IQ_LH_STATUTORY_SURPLUS">"c2771"</definedName>
    <definedName name="IQ_LICENSED_POPS">"c2123"</definedName>
    <definedName name="IQ_LIFE_EARNED">"c2739"</definedName>
    <definedName name="IQ_LIFE_INSURANCE_ASSETS_FDIC">"c6372"</definedName>
    <definedName name="IQ_LIFOR">"c655"</definedName>
    <definedName name="IQ_LL">"c656"</definedName>
    <definedName name="IQ_LOAN_COMMITMENTS_REVOLVING_FDIC">"c6524"</definedName>
    <definedName name="IQ_LOAN_LEASE_RECEIV">"c657"</definedName>
    <definedName name="IQ_LOAN_LOSS">"c1386"</definedName>
    <definedName name="IQ_LOAN_LOSS_ALLOW_FDIC">"c6326"</definedName>
    <definedName name="IQ_LOAN_LOSS_ALLOWANCE_NONCURRENT_LOANS_FDIC">"c6740"</definedName>
    <definedName name="IQ_LOAN_LOSSES_FDIC">"c6580"</definedName>
    <definedName name="IQ_LOAN_SERVICE_REV">"c658"</definedName>
    <definedName name="IQ_LOANS_AND_LEASES_HELD_FDIC">"c6367"</definedName>
    <definedName name="IQ_LOANS_CF">"c659"</definedName>
    <definedName name="IQ_LOANS_CF_BNK">"c660"</definedName>
    <definedName name="IQ_LOANS_CF_BR">"c661"</definedName>
    <definedName name="IQ_LOANS_CF_FIN">"c662"</definedName>
    <definedName name="IQ_LOANS_CF_INS">"c663"</definedName>
    <definedName name="IQ_LOANS_CF_RE">"c6230"</definedName>
    <definedName name="IQ_LOANS_CF_REIT">"c664"</definedName>
    <definedName name="IQ_LOANS_CF_UTI">"c665"</definedName>
    <definedName name="IQ_LOANS_DEPOSITORY_INSTITUTIONS_FDIC">"c6382"</definedName>
    <definedName name="IQ_LOANS_FOR_SALE">"c666"</definedName>
    <definedName name="IQ_LOANS_HELD_FOREIGN_FDIC">"c6315"</definedName>
    <definedName name="IQ_LOANS_LEASES_FOREIGN_FDIC">"c6383"</definedName>
    <definedName name="IQ_LOANS_LEASES_GROSS_FDIC">"c6323"</definedName>
    <definedName name="IQ_LOANS_LEASES_GROSS_FOREIGN_FDIC">"c6384"</definedName>
    <definedName name="IQ_LOANS_LEASES_NET_FDIC">"c6327"</definedName>
    <definedName name="IQ_LOANS_LEASES_NET_UNEARNED_FDIC">"c6325"</definedName>
    <definedName name="IQ_LOANS_NOT_SECURED_RE_FDIC">"c6381"</definedName>
    <definedName name="IQ_LOANS_PAST_DUE">"c667"</definedName>
    <definedName name="IQ_LOANS_RECEIV_CURRENT">"c668"</definedName>
    <definedName name="IQ_LOANS_RECEIV_LT">"c669"</definedName>
    <definedName name="IQ_LOANS_RECEIV_LT_UTI">"c670"</definedName>
    <definedName name="IQ_LOANS_SECURED_BY_RE_CHARGE_OFFS_FDIC">"c6588"</definedName>
    <definedName name="IQ_LOANS_SECURED_BY_RE_RECOVERIES_FDIC">"c6607"</definedName>
    <definedName name="IQ_LOANS_SECURED_NON_US_FDIC">"c6380"</definedName>
    <definedName name="IQ_LOANS_SECURED_RE_NET_CHARGE_OFFS_FDIC">"c6626"</definedName>
    <definedName name="IQ_LOANS_TO_DEPOSITORY_INSTITUTIONS_FOREIGN_FDIC">"c6453"</definedName>
    <definedName name="IQ_LOANS_TO_FOREIGN_GOVERNMENTS_FDIC">"c6448"</definedName>
    <definedName name="IQ_LOANS_TO_INDIVIDUALS_FOREIGN_FDIC">"c6452"</definedName>
    <definedName name="IQ_LONG_TERM_ASSETS_FDIC">"c6361"</definedName>
    <definedName name="IQ_LONG_TERM_DEBT">"c1387"</definedName>
    <definedName name="IQ_LONG_TERM_DEBT_OVER_TOTAL_CAP">"c1388"</definedName>
    <definedName name="IQ_LONG_TERM_GROWTH">"c671"</definedName>
    <definedName name="IQ_LONG_TERM_INV">"c1389"</definedName>
    <definedName name="IQ_LOSS_ALLOWANCE_LOANS_FDIC">"c6739"</definedName>
    <definedName name="IQ_LOSS_LOSS_EXP">"c672"</definedName>
    <definedName name="IQ_LOSS_TO_NET_EARNED">"c2751"</definedName>
    <definedName name="IQ_LOW_TARGET_PRICE">"c1652"</definedName>
    <definedName name="IQ_LOW_TARGET_PRICE_REUT">"c5318"</definedName>
    <definedName name="IQ_LOWPRICE">"c673"</definedName>
    <definedName name="IQ_LT_DEBT">"c674"</definedName>
    <definedName name="IQ_LT_DEBT_BNK">"c675"</definedName>
    <definedName name="IQ_LT_DEBT_BR">"c676"</definedName>
    <definedName name="IQ_LT_DEBT_CAPITAL">"c677"</definedName>
    <definedName name="IQ_LT_DEBT_CAPITAL_LEASES">"c2542"</definedName>
    <definedName name="IQ_LT_DEBT_CAPITAL_LEASES_PCT">"c2543"</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"c6231"</definedName>
    <definedName name="IQ_LT_DEBT_ISSUED_REIT">"c686"</definedName>
    <definedName name="IQ_LT_DEBT_ISSUED_UTI">"c687"</definedName>
    <definedName name="IQ_LT_DEBT_RE">"c6232"</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"c6233"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"c6234"</definedName>
    <definedName name="IQ_LT_INVEST_REIT">"c700"</definedName>
    <definedName name="IQ_LT_INVEST_UTI">"c701"</definedName>
    <definedName name="IQ_LT_NOTE_RECEIV">"c1602"</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REVENUE_OVER_EMPLOYEES">"c1437"</definedName>
    <definedName name="IQ_LTMMONTH">120000</definedName>
    <definedName name="IQ_MACHINERY">"c711"</definedName>
    <definedName name="IQ_MAINT_CAPEX">"c2947"</definedName>
    <definedName name="IQ_MAINT_CAPEX_ACT_OR_EST">"c4458"</definedName>
    <definedName name="IQ_MAINT_REPAIR">"c2087"</definedName>
    <definedName name="IQ_MAKE_WHOLE_END_DATE">"c2493"</definedName>
    <definedName name="IQ_MAKE_WHOLE_SPREAD">"c2494"</definedName>
    <definedName name="IQ_MAKE_WHOLE_START_DATE">"c2492"</definedName>
    <definedName name="IQ_MARKET_CAP_LFCF">"c2209"</definedName>
    <definedName name="IQ_MARKETCAP">"c712"</definedName>
    <definedName name="IQ_MARKETING">"c2239"</definedName>
    <definedName name="IQ_MATURITY_DATE">"c2146"</definedName>
    <definedName name="IQ_MATURITY_ONE_YEAR_LESS_FDIC">"c6425"</definedName>
    <definedName name="IQ_MC_RATIO">"c2783"</definedName>
    <definedName name="IQ_MC_STATUTORY_SURPLUS">"c2772"</definedName>
    <definedName name="IQ_MEDIAN_TARGET_PRICE">"c1650"</definedName>
    <definedName name="IQ_MEDIAN_TARGET_PRICE_REUT">"c5316"</definedName>
    <definedName name="IQ_MERGER">"c713"</definedName>
    <definedName name="IQ_MERGER_BNK">"c714"</definedName>
    <definedName name="IQ_MERGER_BR">"c715"</definedName>
    <definedName name="IQ_MERGER_FIN">"c716"</definedName>
    <definedName name="IQ_MERGER_INS">"c717"</definedName>
    <definedName name="IQ_MERGER_RE">"c6235"</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"c6236"</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"c6237"</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KTCAP_TOTAL_REV_FWD">"c742"</definedName>
    <definedName name="IQ_MKTCAP_TOTAL_REV_FWD_REUT">"c4048"</definedName>
    <definedName name="IQ_MM_ACCOUNT">"c743"</definedName>
    <definedName name="IQ_MONEY_MARKET_DEPOSIT_ACCOUNTS_FDIC">"c6553"</definedName>
    <definedName name="IQ_MONTH">15000</definedName>
    <definedName name="IQ_MORT_BANK_ACT">"c744"</definedName>
    <definedName name="IQ_MORT_BANKING_FEE">"c745"</definedName>
    <definedName name="IQ_MORT_INT_INC">"c746"</definedName>
    <definedName name="IQ_MORT_LOANS">"c747"</definedName>
    <definedName name="IQ_MORT_SECURITY">"c748"</definedName>
    <definedName name="IQ_MORTGAGE_BACKED_SECURITIES_FDIC">"c6402"</definedName>
    <definedName name="IQ_MORTGAGE_SERV_RIGHTS">"c2242"</definedName>
    <definedName name="IQ_MORTGAGE_SERVICING_FDIC">"c6335"</definedName>
    <definedName name="IQ_MTD">800000</definedName>
    <definedName name="IQ_MULTIFAMILY_RESIDENTIAL_LOANS_FDIC">"c6311"</definedName>
    <definedName name="IQ_NAMES_REVISION_DATE_">42375.0142592593</definedName>
    <definedName name="IQ_NAV_ACT_OR_EST">"c2225"</definedName>
    <definedName name="IQ_NAV_EST">"c1751"</definedName>
    <definedName name="IQ_NAV_HIGH_EST">"c1753"</definedName>
    <definedName name="IQ_NAV_LOW_EST">"c1754"</definedName>
    <definedName name="IQ_NAV_MEDIAN_EST">"c1752"</definedName>
    <definedName name="IQ_NAV_NUM_EST">"c1755"</definedName>
    <definedName name="IQ_NAV_STDDEV_EST">"c1756"</definedName>
    <definedName name="IQ_NET_CHANGE">"c749"</definedName>
    <definedName name="IQ_NET_CHARGE_OFFS_FDIC">"c6641"</definedName>
    <definedName name="IQ_NET_CHARGE_OFFS_LOANS_FDIC">"c6751"</definedName>
    <definedName name="IQ_NET_CLAIM_EXP_INCUR">"c2757"</definedName>
    <definedName name="IQ_NET_CLAIM_EXP_INCUR_CY">"c2761"</definedName>
    <definedName name="IQ_NET_CLAIM_EXP_INCUR_PY">"c2762"</definedName>
    <definedName name="IQ_NET_CLAIM_EXP_PAID">"c2760"</definedName>
    <definedName name="IQ_NET_CLAIM_EXP_PAID_CY">"c2763"</definedName>
    <definedName name="IQ_NET_CLAIM_EXP_PAID_PY">"c2764"</definedName>
    <definedName name="IQ_NET_CLAIM_EXP_RES">"c2754"</definedName>
    <definedName name="IQ_NET_DEBT">"c1584"</definedName>
    <definedName name="IQ_NET_DEBT_EBITDA">"c750"</definedName>
    <definedName name="IQ_NET_DEBT_EBITDA_CAPEX">"c2949"</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"c6238"</definedName>
    <definedName name="IQ_NET_DEBT_ISSUED_REIT">"c756"</definedName>
    <definedName name="IQ_NET_DEBT_ISSUED_UTI">"c757"</definedName>
    <definedName name="IQ_NET_EARNED">"c2734"</definedName>
    <definedName name="IQ_NET_INC">"c1394"</definedName>
    <definedName name="IQ_NET_INC_BEFORE">"c1368"</definedName>
    <definedName name="IQ_NET_INC_CF">"c1397"</definedName>
    <definedName name="IQ_NET_INC_MARGIN">"c1398"</definedName>
    <definedName name="IQ_NET_INCOME_FDIC">"c6587"</definedName>
    <definedName name="IQ_NET_INT_INC_10YR_ANN_CAGR">"c6100"</definedName>
    <definedName name="IQ_NET_INT_INC_10YR_ANN_GROWTH">"c758"</definedName>
    <definedName name="IQ_NET_INT_INC_1YR_ANN_GROWTH">"c759"</definedName>
    <definedName name="IQ_NET_INT_INC_2YR_ANN_CAGR">"c6101"</definedName>
    <definedName name="IQ_NET_INT_INC_2YR_ANN_GROWTH">"c760"</definedName>
    <definedName name="IQ_NET_INT_INC_3YR_ANN_CAGR">"c6102"</definedName>
    <definedName name="IQ_NET_INT_INC_3YR_ANN_GROWTH">"c761"</definedName>
    <definedName name="IQ_NET_INT_INC_5YR_ANN_CAGR">"c6103"</definedName>
    <definedName name="IQ_NET_INT_INC_5YR_ANN_GROWTH">"c762"</definedName>
    <definedName name="IQ_NET_INT_INC_7YR_ANN_CAGR">"c6104"</definedName>
    <definedName name="IQ_NET_INT_INC_7YR_ANN_GROWTH">"c763"</definedName>
    <definedName name="IQ_NET_INT_INC_BNK">"c764"</definedName>
    <definedName name="IQ_NET_INT_INC_BNK_FDIC">"c6570"</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"c6239"</definedName>
    <definedName name="IQ_NET_INTEREST_EXP_REIT">"c770"</definedName>
    <definedName name="IQ_NET_INTEREST_EXP_UTI">"c771"</definedName>
    <definedName name="IQ_NET_INTEREST_INC">"c1392"</definedName>
    <definedName name="IQ_NET_INTEREST_INC_AFTER_LL">"c1604"</definedName>
    <definedName name="IQ_NET_INTEREST_MARGIN_FDIC">"c6726"</definedName>
    <definedName name="IQ_NET_LIFE_INS_IN_FORCE">"c2769"</definedName>
    <definedName name="IQ_NET_LOANS">"c772"</definedName>
    <definedName name="IQ_NET_LOANS_10YR_ANN_CAGR">"c6105"</definedName>
    <definedName name="IQ_NET_LOANS_10YR_ANN_GROWTH">"c773"</definedName>
    <definedName name="IQ_NET_LOANS_1YR_ANN_GROWTH">"c774"</definedName>
    <definedName name="IQ_NET_LOANS_2YR_ANN_CAGR">"c6106"</definedName>
    <definedName name="IQ_NET_LOANS_2YR_ANN_GROWTH">"c775"</definedName>
    <definedName name="IQ_NET_LOANS_3YR_ANN_CAGR">"c6107"</definedName>
    <definedName name="IQ_NET_LOANS_3YR_ANN_GROWTH">"c776"</definedName>
    <definedName name="IQ_NET_LOANS_5YR_ANN_CAGR">"c6108"</definedName>
    <definedName name="IQ_NET_LOANS_5YR_ANN_GROWTH">"c777"</definedName>
    <definedName name="IQ_NET_LOANS_7YR_ANN_CAGR">"c6109"</definedName>
    <definedName name="IQ_NET_LOANS_7YR_ANN_GROWTH">"c778"</definedName>
    <definedName name="IQ_NET_LOANS_LEASES_CORE_DEPOSITS_FDIC">"c6743"</definedName>
    <definedName name="IQ_NET_LOANS_LEASES_DEPOSITS_FDIC">"c6742"</definedName>
    <definedName name="IQ_NET_LOANS_TOTAL_DEPOSITS">"c779"</definedName>
    <definedName name="IQ_NET_OPERATING_INCOME_ASSETS_FDIC">"c6729"</definedName>
    <definedName name="IQ_NET_RENTAL_EXP_FN">"c780"</definedName>
    <definedName name="IQ_NET_SECURITIZATION_INCOME_FDIC">"c6669"</definedName>
    <definedName name="IQ_NET_SERVICING_FEES_FDIC">"c6668"</definedName>
    <definedName name="IQ_NET_TO_GROSS_EARNED">"c2750"</definedName>
    <definedName name="IQ_NET_TO_GROSS_WRITTEN">"c2729"</definedName>
    <definedName name="IQ_NET_WORKING_CAP">"c3493"</definedName>
    <definedName name="IQ_NET_WRITTEN">"c2728"</definedName>
    <definedName name="IQ_NEW_PREM">"c2785"</definedName>
    <definedName name="IQ_NEXT_CALL_DATE">"c2198"</definedName>
    <definedName name="IQ_NEXT_CALL_PRICE">"c2199"</definedName>
    <definedName name="IQ_NEXT_INT_DATE">"c2187"</definedName>
    <definedName name="IQ_NEXT_PUT_DATE">"c2200"</definedName>
    <definedName name="IQ_NEXT_PUT_PRICE">"c2201"</definedName>
    <definedName name="IQ_NEXT_SINK_FUND_AMOUNT">"c2490"</definedName>
    <definedName name="IQ_NEXT_SINK_FUND_DATE">"c2489"</definedName>
    <definedName name="IQ_NEXT_SINK_FUND_PRICE">"c2491"</definedName>
    <definedName name="IQ_NI">"c781"</definedName>
    <definedName name="IQ_NI_10YR_ANN_CAGR">"c6110"</definedName>
    <definedName name="IQ_NI_10YR_ANN_GROWTH">"c782"</definedName>
    <definedName name="IQ_NI_1YR_ANN_GROWTH">"c783"</definedName>
    <definedName name="IQ_NI_2YR_ANN_CAGR">"c6111"</definedName>
    <definedName name="IQ_NI_2YR_ANN_GROWTH">"c784"</definedName>
    <definedName name="IQ_NI_3YR_ANN_CAGR">"c6112"</definedName>
    <definedName name="IQ_NI_3YR_ANN_GROWTH">"c785"</definedName>
    <definedName name="IQ_NI_5YR_ANN_CAGR">"c6113"</definedName>
    <definedName name="IQ_NI_5YR_ANN_GROWTH">"c786"</definedName>
    <definedName name="IQ_NI_7YR_ANN_CAGR">"c6114"</definedName>
    <definedName name="IQ_NI_7YR_ANN_GROWTH">"c787"</definedName>
    <definedName name="IQ_NI_ACT_OR_EST">"c2222"</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EST">"c1716"</definedName>
    <definedName name="IQ_NI_GW_EST">"c1723"</definedName>
    <definedName name="IQ_NI_GW_HIGH_EST">"c1725"</definedName>
    <definedName name="IQ_NI_GW_LOW_EST">"c1726"</definedName>
    <definedName name="IQ_NI_GW_MEDIAN_EST">"c1724"</definedName>
    <definedName name="IQ_NI_GW_NUM_EST">"c1727"</definedName>
    <definedName name="IQ_NI_GW_STDDEV_EST">"c1728"</definedName>
    <definedName name="IQ_NI_HIGH_EST">"c1718"</definedName>
    <definedName name="IQ_NI_LOW_EST">"c1719"</definedName>
    <definedName name="IQ_NI_MARGIN">"c794"</definedName>
    <definedName name="IQ_NI_MEDIAN_EST">"c1717"</definedName>
    <definedName name="IQ_NI_NORM">"c1901"</definedName>
    <definedName name="IQ_NI_NORM_10YR_ANN_CAGR">"c6189"</definedName>
    <definedName name="IQ_NI_NORM_10YR_ANN_GROWTH">"c1960"</definedName>
    <definedName name="IQ_NI_NORM_1YR_ANN_GROWTH">"c1955"</definedName>
    <definedName name="IQ_NI_NORM_2YR_ANN_CAGR">"c6185"</definedName>
    <definedName name="IQ_NI_NORM_2YR_ANN_GROWTH">"c1956"</definedName>
    <definedName name="IQ_NI_NORM_3YR_ANN_CAGR">"c6186"</definedName>
    <definedName name="IQ_NI_NORM_3YR_ANN_GROWTH">"c1957"</definedName>
    <definedName name="IQ_NI_NORM_5YR_ANN_CAGR">"c6187"</definedName>
    <definedName name="IQ_NI_NORM_5YR_ANN_GROWTH">"c1958"</definedName>
    <definedName name="IQ_NI_NORM_7YR_ANN_CAGR">"c6188"</definedName>
    <definedName name="IQ_NI_NORM_7YR_ANN_GROWTH">"c1959"</definedName>
    <definedName name="IQ_NI_NORM_MARGIN">"c1964"</definedName>
    <definedName name="IQ_NI_NUM_EST">"c1720"</definedName>
    <definedName name="IQ_NI_REPORTED_EST">"c1730"</definedName>
    <definedName name="IQ_NI_REPORTED_HIGH_EST">"c1732"</definedName>
    <definedName name="IQ_NI_REPORTED_LOW_EST">"c1733"</definedName>
    <definedName name="IQ_NI_REPORTED_MEDIAN_EST">"c1731"</definedName>
    <definedName name="IQ_NI_REPORTED_NUM_EST">"c1734"</definedName>
    <definedName name="IQ_NI_REPORTED_STDDEV_EST">"c1735"</definedName>
    <definedName name="IQ_NI_SBC_ACT_OR_EST">"c4474"</definedName>
    <definedName name="IQ_NI_SBC_GW_ACT_OR_EST">"c4478"</definedName>
    <definedName name="IQ_NI_SFAS">"c795"</definedName>
    <definedName name="IQ_NI_STDDEV_EST">"c1721"</definedName>
    <definedName name="IQ_NOL_CF_1YR">"c3465"</definedName>
    <definedName name="IQ_NOL_CF_2YR">"c3466"</definedName>
    <definedName name="IQ_NOL_CF_3YR">"c3467"</definedName>
    <definedName name="IQ_NOL_CF_4YR">"c3468"</definedName>
    <definedName name="IQ_NOL_CF_5YR">"c3469"</definedName>
    <definedName name="IQ_NOL_CF_AFTER_FIVE">"c3470"</definedName>
    <definedName name="IQ_NOL_CF_MAX_YEAR">"c3473"</definedName>
    <definedName name="IQ_NOL_CF_NO_EXP">"c3471"</definedName>
    <definedName name="IQ_NOL_CF_TOTAL">"c3472"</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EXP_FDIC">"c6579"</definedName>
    <definedName name="IQ_NON_INT_INC">"c802"</definedName>
    <definedName name="IQ_NON_INT_INC_10YR_ANN_CAGR">"c6115"</definedName>
    <definedName name="IQ_NON_INT_INC_10YR_ANN_GROWTH">"c803"</definedName>
    <definedName name="IQ_NON_INT_INC_1YR_ANN_GROWTH">"c804"</definedName>
    <definedName name="IQ_NON_INT_INC_2YR_ANN_CAGR">"c6116"</definedName>
    <definedName name="IQ_NON_INT_INC_2YR_ANN_GROWTH">"c805"</definedName>
    <definedName name="IQ_NON_INT_INC_3YR_ANN_CAGR">"c6117"</definedName>
    <definedName name="IQ_NON_INT_INC_3YR_ANN_GROWTH">"c806"</definedName>
    <definedName name="IQ_NON_INT_INC_5YR_ANN_CAGR">"c6118"</definedName>
    <definedName name="IQ_NON_INT_INC_5YR_ANN_GROWTH">"c807"</definedName>
    <definedName name="IQ_NON_INT_INC_7YR_ANN_CAGR">"c6119"</definedName>
    <definedName name="IQ_NON_INT_INC_7YR_ANN_GROWTH">"c808"</definedName>
    <definedName name="IQ_NON_INT_INC_FDIC">"c6575"</definedName>
    <definedName name="IQ_NON_INTEREST_EXP">"c1400"</definedName>
    <definedName name="IQ_NON_INTEREST_INC">"c1401"</definedName>
    <definedName name="IQ_NON_OPER_EXP">"c809"</definedName>
    <definedName name="IQ_NON_OPER_INC">"c810"</definedName>
    <definedName name="IQ_NON_PERF_ASSETS_10YR_ANN_CAGR">"c6120"</definedName>
    <definedName name="IQ_NON_PERF_ASSETS_10YR_ANN_GROWTH">"c811"</definedName>
    <definedName name="IQ_NON_PERF_ASSETS_1YR_ANN_GROWTH">"c812"</definedName>
    <definedName name="IQ_NON_PERF_ASSETS_2YR_ANN_CAGR">"c6121"</definedName>
    <definedName name="IQ_NON_PERF_ASSETS_2YR_ANN_GROWTH">"c813"</definedName>
    <definedName name="IQ_NON_PERF_ASSETS_3YR_ANN_CAGR">"c6122"</definedName>
    <definedName name="IQ_NON_PERF_ASSETS_3YR_ANN_GROWTH">"c814"</definedName>
    <definedName name="IQ_NON_PERF_ASSETS_5YR_ANN_CAGR">"c6123"</definedName>
    <definedName name="IQ_NON_PERF_ASSETS_5YR_ANN_GROWTH">"c815"</definedName>
    <definedName name="IQ_NON_PERF_ASSETS_7YR_ANN_CAGR">"c6124"</definedName>
    <definedName name="IQ_NON_PERF_ASSETS_7YR_ANN_GROWTH">"c816"</definedName>
    <definedName name="IQ_NON_PERF_ASSETS_TOTAL_ASSETS">"c817"</definedName>
    <definedName name="IQ_NON_PERF_LOANS_10YR_ANN_CAGR">"c6125"</definedName>
    <definedName name="IQ_NON_PERF_LOANS_10YR_ANN_GROWTH">"c818"</definedName>
    <definedName name="IQ_NON_PERF_LOANS_1YR_ANN_GROWTH">"c819"</definedName>
    <definedName name="IQ_NON_PERF_LOANS_2YR_ANN_CAGR">"c6126"</definedName>
    <definedName name="IQ_NON_PERF_LOANS_2YR_ANN_GROWTH">"c820"</definedName>
    <definedName name="IQ_NON_PERF_LOANS_3YR_ANN_CAGR">"c6127"</definedName>
    <definedName name="IQ_NON_PERF_LOANS_3YR_ANN_GROWTH">"c821"</definedName>
    <definedName name="IQ_NON_PERF_LOANS_5YR_ANN_CAGR">"c6128"</definedName>
    <definedName name="IQ_NON_PERF_LOANS_5YR_ANN_GROWTH">"c822"</definedName>
    <definedName name="IQ_NON_PERF_LOANS_7YR_ANN_CAGR">"c6129"</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_US_ADDRESSEES_TOTAL_LOANS_FOREIGN_FDIC">"c6443"</definedName>
    <definedName name="IQ_NON_US_CHARGE_OFFS_AND_RECOVERIES_FDIC">"c6650"</definedName>
    <definedName name="IQ_NON_US_CHARGE_OFFS_FDIC">"c6648"</definedName>
    <definedName name="IQ_NON_US_COMMERCIAL_INDUSTRIAL_CHARGE_OFFS_FDIC">"c6651"</definedName>
    <definedName name="IQ_NON_US_NET_LOANS_FDIC">"c6376"</definedName>
    <definedName name="IQ_NON_US_RECOVERIES_FDIC">"c6649"</definedName>
    <definedName name="IQ_NONCASH_PENSION_EXP">"c3000"</definedName>
    <definedName name="IQ_NONCURRENT_LOANS_1_4_FAMILY_FDIC">"c6770"</definedName>
    <definedName name="IQ_NONCURRENT_LOANS_COMMERCIAL_INDUSTRIAL_FDIC">"c6773"</definedName>
    <definedName name="IQ_NONCURRENT_LOANS_COMMERCIAL_RE_FDIC">"c6768"</definedName>
    <definedName name="IQ_NONCURRENT_LOANS_COMMERCIAL_RE_NOT_SECURED_FDIC">"c6778"</definedName>
    <definedName name="IQ_NONCURRENT_LOANS_CONSTRUCTION_LAND_DEV_FDIC">"c6767"</definedName>
    <definedName name="IQ_NONCURRENT_LOANS_CREDIT_CARD_FDIC">"c6775"</definedName>
    <definedName name="IQ_NONCURRENT_LOANS_GUARANTEED_FDIC">"c6358"</definedName>
    <definedName name="IQ_NONCURRENT_LOANS_HOME_EQUITY_FDIC">"c6771"</definedName>
    <definedName name="IQ_NONCURRENT_LOANS_INDIVIDUALS_FDIC">"c6774"</definedName>
    <definedName name="IQ_NONCURRENT_LOANS_LEASES_FDIC">"c6357"</definedName>
    <definedName name="IQ_NONCURRENT_LOANS_MULTIFAMILY_FDIC">"c6769"</definedName>
    <definedName name="IQ_NONCURRENT_LOANS_OTHER_FAMILY_FDIC">"c6772"</definedName>
    <definedName name="IQ_NONCURRENT_LOANS_OTHER_INDIVIDUAL_FDIC">"c6776"</definedName>
    <definedName name="IQ_NONCURRENT_LOANS_OTHER_LOANS_FDIC">"c6777"</definedName>
    <definedName name="IQ_NONCURRENT_LOANS_RE_FDIC">"c6766"</definedName>
    <definedName name="IQ_NONCURRENT_LOANS_TOTAL_LOANS_FDIC">"c6765"</definedName>
    <definedName name="IQ_NONCURRENT_OREO_ASSETS_FDIC">"c6741"</definedName>
    <definedName name="IQ_NONINTEREST_BEARING_BALANCES_FDIC">"c6394"</definedName>
    <definedName name="IQ_NONINTEREST_BEARING_DEPOSITS_DOMESTIC_FDIC">"c6477"</definedName>
    <definedName name="IQ_NONINTEREST_BEARING_DEPOSITS_FOREIGN_FDIC">"c6484"</definedName>
    <definedName name="IQ_NONINTEREST_EXPENSE_EARNING_ASSETS_FDIC">"c6728"</definedName>
    <definedName name="IQ_NONINTEREST_INCOME_EARNING_ASSETS_FDIC">"c6727"</definedName>
    <definedName name="IQ_NONMORTGAGE_SERVICING_FDIC">"c6336"</definedName>
    <definedName name="IQ_NONRECOURSE_DEBT">"c2550"</definedName>
    <definedName name="IQ_NONRECOURSE_DEBT_PCT">"c2551"</definedName>
    <definedName name="IQ_NONTRANSACTION_ACCOUNTS_FDIC">"c6552"</definedName>
    <definedName name="IQ_NONUTIL_REV">"c2089"</definedName>
    <definedName name="IQ_NORM_EPS_ACT_OR_EST">"c2249"</definedName>
    <definedName name="IQ_NORMAL_INC_AFTER">"c1605"</definedName>
    <definedName name="IQ_NORMAL_INC_AVAIL">"c1606"</definedName>
    <definedName name="IQ_NORMAL_INC_BEFORE">"c1607"</definedName>
    <definedName name="IQ_NOTES_PAY">"c1423"</definedName>
    <definedName name="IQ_NOTIONAL_AMOUNT_CREDIT_DERIVATIVES_FDIC">"c6507"</definedName>
    <definedName name="IQ_NOTIONAL_VALUE_EXCHANGE_SWAPS_FDIC">"c6516"</definedName>
    <definedName name="IQ_NOTIONAL_VALUE_OTHER_SWAPS_FDIC">"c6521"</definedName>
    <definedName name="IQ_NOTIONAL_VALUE_RATE_SWAPS_FDIC">"c6511"</definedName>
    <definedName name="IQ_NOW_ACCOUNT">"c828"</definedName>
    <definedName name="IQ_NPPE">"c829"</definedName>
    <definedName name="IQ_NPPE_10YR_ANN_CAGR">"c6130"</definedName>
    <definedName name="IQ_NPPE_10YR_ANN_GROWTH">"c830"</definedName>
    <definedName name="IQ_NPPE_1YR_ANN_GROWTH">"c831"</definedName>
    <definedName name="IQ_NPPE_2YR_ANN_CAGR">"c6131"</definedName>
    <definedName name="IQ_NPPE_2YR_ANN_GROWTH">"c832"</definedName>
    <definedName name="IQ_NPPE_3YR_ANN_CAGR">"c6132"</definedName>
    <definedName name="IQ_NPPE_3YR_ANN_GROWTH">"c833"</definedName>
    <definedName name="IQ_NPPE_5YR_ANN_CAGR">"c6133"</definedName>
    <definedName name="IQ_NPPE_5YR_ANN_GROWTH">"c834"</definedName>
    <definedName name="IQ_NPPE_7YR_ANN_CAGR">"c6134"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BER_ADRHOLDERS">"c1970"</definedName>
    <definedName name="IQ_NUMBER_DAYS">"c1904"</definedName>
    <definedName name="IQ_NUMBER_DEPOSITS_LESS_THAN_100K_FDIC">"c6495"</definedName>
    <definedName name="IQ_NUMBER_DEPOSITS_MORE_THAN_100K_FDIC">"c6493"</definedName>
    <definedName name="IQ_NUMBER_SHAREHOLDERS">"c1967"</definedName>
    <definedName name="IQ_NUMBER_SHAREHOLDERS_CLASSA">"c1968"</definedName>
    <definedName name="IQ_NUMBER_SHAREHOLDERS_OTHER">"c1969"</definedName>
    <definedName name="IQ_OBLIGATIONS_OF_STATES_TOTAL_LOANS_FOREIGN_FDIC">"c6447"</definedName>
    <definedName name="IQ_OBLIGATIONS_STATES_FDIC">"c6431"</definedName>
    <definedName name="IQ_OCCUPY_EXP">"c839"</definedName>
    <definedName name="IQ_OFFER_AMOUNT">"c2152"</definedName>
    <definedName name="IQ_OFFER_COUPON">"c2147"</definedName>
    <definedName name="IQ_OFFER_COUPON_TYPE">"c2148"</definedName>
    <definedName name="IQ_OFFER_DATE">"c2149"</definedName>
    <definedName name="IQ_OFFER_PRICE">"c2150"</definedName>
    <definedName name="IQ_OFFER_YIELD">"c2151"</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AVG_DAILY_PROD_GAS">"c2910"</definedName>
    <definedName name="IQ_OG_AVG_DAILY_PROD_NGL">"c2911"</definedName>
    <definedName name="IQ_OG_AVG_DAILY_PROD_OIL">"c2909"</definedName>
    <definedName name="IQ_OG_AVG_DAILY_SALES_VOL_EQ_INC_GAS">"c5797"</definedName>
    <definedName name="IQ_OG_AVG_DAILY_SALES_VOL_EQ_INC_NGL">"c5798"</definedName>
    <definedName name="IQ_OG_AVG_DAILY_SALES_VOL_EQ_INC_OIL">"c5796"</definedName>
    <definedName name="IQ_OG_CLOSE_BALANCE_GAS">"c2049"</definedName>
    <definedName name="IQ_OG_CLOSE_BALANCE_NGL">"c2920"</definedName>
    <definedName name="IQ_OG_CLOSE_BALANCE_OIL">"c2037"</definedName>
    <definedName name="IQ_OG_DCF_BEFORE_TAXES">"c2023"</definedName>
    <definedName name="IQ_OG_DCF_BEFORE_TAXES_GAS">"c2025"</definedName>
    <definedName name="IQ_OG_DCF_BEFORE_TAXES_OIL">"c2024"</definedName>
    <definedName name="IQ_OG_DEVELOPED_ACRE_GROSS_EQ_INC">"c5802"</definedName>
    <definedName name="IQ_OG_DEVELOPED_ACRE_NET_EQ_INC">"c5803"</definedName>
    <definedName name="IQ_OG_DEVELOPED_RESERVES_GAS">"c2053"</definedName>
    <definedName name="IQ_OG_DEVELOPED_RESERVES_NGL">"c2922"</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NGL">"c2921"</definedName>
    <definedName name="IQ_OG_EQUTY_RESERVES_OIL">"c2038"</definedName>
    <definedName name="IQ_OG_EXPLORATION_COSTS">"c1977"</definedName>
    <definedName name="IQ_OG_EXPLORATION_COSTS_GAS">"c1989"</definedName>
    <definedName name="IQ_OG_EXPLORATION_COSTS_OIL">"c1983"</definedName>
    <definedName name="IQ_OG_EXT_DISC_GAS">"c2043"</definedName>
    <definedName name="IQ_OG_EXT_DISC_NGL">"c2914"</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NGL">"c2915"</definedName>
    <definedName name="IQ_OG_IMPROVED_RECOVERY_OIL">"c2032"</definedName>
    <definedName name="IQ_OG_LIQUID_GAS_PRICE_HEDGED">"c2233"</definedName>
    <definedName name="IQ_OG_LIQUID_GAS_PRICE_UNHEDGED">"c2234"</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NGL">"c2912"</definedName>
    <definedName name="IQ_OG_OPEN_BALANCE_OIL">"c2029"</definedName>
    <definedName name="IQ_OG_OTHER_ADJ_FCF">"c1999"</definedName>
    <definedName name="IQ_OG_OTHER_ADJ_FCF_GAS">"c2019"</definedName>
    <definedName name="IQ_OG_OTHER_ADJ_FCF_OIL">"c2009"</definedName>
    <definedName name="IQ_OG_OTHER_ADJ_GAS">"c2048"</definedName>
    <definedName name="IQ_OG_OTHER_ADJ_NGL">"c2919"</definedName>
    <definedName name="IQ_OG_OTHER_ADJ_OIL">"c2036"</definedName>
    <definedName name="IQ_OG_OTHER_COSTS">"c1979"</definedName>
    <definedName name="IQ_OG_OTHER_COSTS_GAS">"c1991"</definedName>
    <definedName name="IQ_OG_OTHER_COSTS_OIL">"c1985"</definedName>
    <definedName name="IQ_OG_PRODUCTION_GAS">"c2047"</definedName>
    <definedName name="IQ_OG_PRODUCTION_NGL">"c2918"</definedName>
    <definedName name="IQ_OG_PRODUCTION_OIL">"c2035"</definedName>
    <definedName name="IQ_OG_PURCHASES_GAS">"c2045"</definedName>
    <definedName name="IQ_OG_PURCHASES_NGL">"c2916"</definedName>
    <definedName name="IQ_OG_PURCHASES_OIL">"c2033"</definedName>
    <definedName name="IQ_OG_RESERVE_REPLACEMENT_RATIO">"c5799"</definedName>
    <definedName name="IQ_OG_REVISIONS_GAS">"c2042"</definedName>
    <definedName name="IQ_OG_REVISIONS_NGL">"c2913"</definedName>
    <definedName name="IQ_OG_REVISIONS_OIL">"c2030"</definedName>
    <definedName name="IQ_OG_SALES_IN_PLACE_GAS">"c2046"</definedName>
    <definedName name="IQ_OG_SALES_IN_PLACE_NGL">"c2917"</definedName>
    <definedName name="IQ_OG_SALES_IN_PLACE_OIL">"c2034"</definedName>
    <definedName name="IQ_OG_SALES_VOL_EQ_INC_GAS">"c5794"</definedName>
    <definedName name="IQ_OG_SALES_VOL_EQ_INC_NGL">"c5795"</definedName>
    <definedName name="IQ_OG_SALES_VOL_EQ_INC_OIL">"c5793"</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LIQUID_GAS_PRODUCTION">"c2235"</definedName>
    <definedName name="IQ_OG_TOTAL_OIL_PRODUCTION">"c2059"</definedName>
    <definedName name="IQ_OG_TOTAL_OIL_PRODUCTON">"c2059"</definedName>
    <definedName name="IQ_OG_UNDEVELOPED_ACRE_GROSS_EQ_INC">"c5800"</definedName>
    <definedName name="IQ_OG_UNDEVELOPED_ACRE_NET_EQ_INC">"c5801"</definedName>
    <definedName name="IQ_OG_UNDEVELOPED_RESERVES_GAS">"c2051"</definedName>
    <definedName name="IQ_OG_UNDEVELOPED_RESERVES_NGL">"c2923"</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B_ACCRUED_LIAB">"c3308"</definedName>
    <definedName name="IQ_OPEB_ACCRUED_LIAB_DOM">"c3306"</definedName>
    <definedName name="IQ_OPEB_ACCRUED_LIAB_FOREIGN">"c3307"</definedName>
    <definedName name="IQ_OPEB_ACCUM_OTHER_CI">"c3314"</definedName>
    <definedName name="IQ_OPEB_ACCUM_OTHER_CI_DOM">"c3312"</definedName>
    <definedName name="IQ_OPEB_ACCUM_OTHER_CI_FOREIGN">"c3313"</definedName>
    <definedName name="IQ_OPEB_ACT_NEXT">"c5774"</definedName>
    <definedName name="IQ_OPEB_ACT_NEXT_DOM">"c5772"</definedName>
    <definedName name="IQ_OPEB_ACT_NEXT_FOREIGN">"c5773"</definedName>
    <definedName name="IQ_OPEB_AMT_RECOG_NEXT">"c5783"</definedName>
    <definedName name="IQ_OPEB_AMT_RECOG_NEXT_DOM">"c5781"</definedName>
    <definedName name="IQ_OPEB_AMT_RECOG_NEXT_FOREIGN">"c5782"</definedName>
    <definedName name="IQ_OPEB_ASSETS">"c3356"</definedName>
    <definedName name="IQ_OPEB_ASSETS_ACQ">"c3347"</definedName>
    <definedName name="IQ_OPEB_ASSETS_ACQ_DOM">"c3345"</definedName>
    <definedName name="IQ_OPEB_ASSETS_ACQ_FOREIGN">"c3346"</definedName>
    <definedName name="IQ_OPEB_ASSETS_ACTUAL_RETURN">"c3332"</definedName>
    <definedName name="IQ_OPEB_ASSETS_ACTUAL_RETURN_DOM">"c3330"</definedName>
    <definedName name="IQ_OPEB_ASSETS_ACTUAL_RETURN_FOREIGN">"c3331"</definedName>
    <definedName name="IQ_OPEB_ASSETS_BEG">"c3329"</definedName>
    <definedName name="IQ_OPEB_ASSETS_BEG_DOM">"c3327"</definedName>
    <definedName name="IQ_OPEB_ASSETS_BEG_FOREIGN">"c3328"</definedName>
    <definedName name="IQ_OPEB_ASSETS_BENEFITS_PAID">"c3341"</definedName>
    <definedName name="IQ_OPEB_ASSETS_BENEFITS_PAID_DOM">"c3339"</definedName>
    <definedName name="IQ_OPEB_ASSETS_BENEFITS_PAID_FOREIGN">"c3340"</definedName>
    <definedName name="IQ_OPEB_ASSETS_CURTAIL">"c3350"</definedName>
    <definedName name="IQ_OPEB_ASSETS_CURTAIL_DOM">"c3348"</definedName>
    <definedName name="IQ_OPEB_ASSETS_CURTAIL_FOREIGN">"c3349"</definedName>
    <definedName name="IQ_OPEB_ASSETS_DOM">"c3354"</definedName>
    <definedName name="IQ_OPEB_ASSETS_EMPLOYER_CONTRIBUTIONS">"c3335"</definedName>
    <definedName name="IQ_OPEB_ASSETS_EMPLOYER_CONTRIBUTIONS_DOM">"c3333"</definedName>
    <definedName name="IQ_OPEB_ASSETS_EMPLOYER_CONTRIBUTIONS_FOREIGN">"c3334"</definedName>
    <definedName name="IQ_OPEB_ASSETS_FOREIGN">"c3355"</definedName>
    <definedName name="IQ_OPEB_ASSETS_FX_ADJ">"c3344"</definedName>
    <definedName name="IQ_OPEB_ASSETS_FX_ADJ_DOM">"c3342"</definedName>
    <definedName name="IQ_OPEB_ASSETS_FX_ADJ_FOREIGN">"c3343"</definedName>
    <definedName name="IQ_OPEB_ASSETS_OTHER_PLAN_ADJ">"c3353"</definedName>
    <definedName name="IQ_OPEB_ASSETS_OTHER_PLAN_ADJ_DOM">"c3351"</definedName>
    <definedName name="IQ_OPEB_ASSETS_OTHER_PLAN_ADJ_FOREIGN">"c3352"</definedName>
    <definedName name="IQ_OPEB_ASSETS_PARTICIP_CONTRIBUTIONS">"c3338"</definedName>
    <definedName name="IQ_OPEB_ASSETS_PARTICIP_CONTRIBUTIONS_DOM">"c3336"</definedName>
    <definedName name="IQ_OPEB_ASSETS_PARTICIP_CONTRIBUTIONS_FOREIGN">"c3337"</definedName>
    <definedName name="IQ_OPEB_BENEFIT_INFO_DATE">"c3410"</definedName>
    <definedName name="IQ_OPEB_BENEFIT_INFO_DATE_DOM">"c3408"</definedName>
    <definedName name="IQ_OPEB_BENEFIT_INFO_DATE_FOREIGN">"c3409"</definedName>
    <definedName name="IQ_OPEB_BREAKDOWN_EQ">"c3275"</definedName>
    <definedName name="IQ_OPEB_BREAKDOWN_EQ_DOM">"c3273"</definedName>
    <definedName name="IQ_OPEB_BREAKDOWN_EQ_FOREIGN">"c3274"</definedName>
    <definedName name="IQ_OPEB_BREAKDOWN_FI">"c3278"</definedName>
    <definedName name="IQ_OPEB_BREAKDOWN_FI_DOM">"c3276"</definedName>
    <definedName name="IQ_OPEB_BREAKDOWN_FI_FOREIGN">"c3277"</definedName>
    <definedName name="IQ_OPEB_BREAKDOWN_OTHER">"c3284"</definedName>
    <definedName name="IQ_OPEB_BREAKDOWN_OTHER_DOM">"c3282"</definedName>
    <definedName name="IQ_OPEB_BREAKDOWN_OTHER_FOREIGN">"c3283"</definedName>
    <definedName name="IQ_OPEB_BREAKDOWN_PCT_EQ">"c3263"</definedName>
    <definedName name="IQ_OPEB_BREAKDOWN_PCT_EQ_DOM">"c3261"</definedName>
    <definedName name="IQ_OPEB_BREAKDOWN_PCT_EQ_FOREIGN">"c3262"</definedName>
    <definedName name="IQ_OPEB_BREAKDOWN_PCT_FI">"c3266"</definedName>
    <definedName name="IQ_OPEB_BREAKDOWN_PCT_FI_DOM">"c3264"</definedName>
    <definedName name="IQ_OPEB_BREAKDOWN_PCT_FI_FOREIGN">"c3265"</definedName>
    <definedName name="IQ_OPEB_BREAKDOWN_PCT_OTHER">"c3272"</definedName>
    <definedName name="IQ_OPEB_BREAKDOWN_PCT_OTHER_DOM">"c3270"</definedName>
    <definedName name="IQ_OPEB_BREAKDOWN_PCT_OTHER_FOREIGN">"c3271"</definedName>
    <definedName name="IQ_OPEB_BREAKDOWN_PCT_RE">"c3269"</definedName>
    <definedName name="IQ_OPEB_BREAKDOWN_PCT_RE_DOM">"c3267"</definedName>
    <definedName name="IQ_OPEB_BREAKDOWN_PCT_RE_FOREIGN">"c3268"</definedName>
    <definedName name="IQ_OPEB_BREAKDOWN_RE">"c3281"</definedName>
    <definedName name="IQ_OPEB_BREAKDOWN_RE_DOM">"c3279"</definedName>
    <definedName name="IQ_OPEB_BREAKDOWN_RE_FOREIGN">"c3280"</definedName>
    <definedName name="IQ_OPEB_CI_ACT">"c5759"</definedName>
    <definedName name="IQ_OPEB_CI_ACT_DOM">"c5757"</definedName>
    <definedName name="IQ_OPEB_CI_ACT_FOREIGN">"c5758"</definedName>
    <definedName name="IQ_OPEB_CI_NET_AMT_RECOG">"c5771"</definedName>
    <definedName name="IQ_OPEB_CI_NET_AMT_RECOG_DOM">"c5769"</definedName>
    <definedName name="IQ_OPEB_CI_NET_AMT_RECOG_FOREIGN">"c5770"</definedName>
    <definedName name="IQ_OPEB_CI_OTHER_MISC_ADJ">"c5768"</definedName>
    <definedName name="IQ_OPEB_CI_OTHER_MISC_ADJ_DOM">"c5766"</definedName>
    <definedName name="IQ_OPEB_CI_OTHER_MISC_ADJ_FOREIGN">"c5767"</definedName>
    <definedName name="IQ_OPEB_CI_PRIOR_SERVICE">"c5762"</definedName>
    <definedName name="IQ_OPEB_CI_PRIOR_SERVICE_DOM">"c5760"</definedName>
    <definedName name="IQ_OPEB_CI_PRIOR_SERVICE_FOREIGN">"c5761"</definedName>
    <definedName name="IQ_OPEB_CI_TRANSITION">"c5765"</definedName>
    <definedName name="IQ_OPEB_CI_TRANSITION_DOM">"c5763"</definedName>
    <definedName name="IQ_OPEB_CI_TRANSITION_FOREIGN">"c5764"</definedName>
    <definedName name="IQ_OPEB_CL">"c5789"</definedName>
    <definedName name="IQ_OPEB_CL_DOM">"c5787"</definedName>
    <definedName name="IQ_OPEB_CL_FOREIGN">"c5788"</definedName>
    <definedName name="IQ_OPEB_DECREASE_EFFECT_PBO">"c3458"</definedName>
    <definedName name="IQ_OPEB_DECREASE_EFFECT_PBO_DOM">"c3456"</definedName>
    <definedName name="IQ_OPEB_DECREASE_EFFECT_PBO_FOREIGN">"c3457"</definedName>
    <definedName name="IQ_OPEB_DECREASE_EFFECT_SERVICE_INT_COST">"c3455"</definedName>
    <definedName name="IQ_OPEB_DECREASE_EFFECT_SERVICE_INT_COST_DOM">"c3453"</definedName>
    <definedName name="IQ_OPEB_DECREASE_EFFECT_SERVICE_INT_COST_FOREIGN">"c3454"</definedName>
    <definedName name="IQ_OPEB_DISC_RATE_MAX">"c3422"</definedName>
    <definedName name="IQ_OPEB_DISC_RATE_MAX_DOM">"c3420"</definedName>
    <definedName name="IQ_OPEB_DISC_RATE_MAX_FOREIGN">"c3421"</definedName>
    <definedName name="IQ_OPEB_DISC_RATE_MIN">"c3419"</definedName>
    <definedName name="IQ_OPEB_DISC_RATE_MIN_DOM">"c3417"</definedName>
    <definedName name="IQ_OPEB_DISC_RATE_MIN_FOREIGN">"c3418"</definedName>
    <definedName name="IQ_OPEB_EST_BENEFIT_1YR">"c3287"</definedName>
    <definedName name="IQ_OPEB_EST_BENEFIT_1YR_DOM">"c3285"</definedName>
    <definedName name="IQ_OPEB_EST_BENEFIT_1YR_FOREIGN">"c3286"</definedName>
    <definedName name="IQ_OPEB_EST_BENEFIT_2YR">"c3290"</definedName>
    <definedName name="IQ_OPEB_EST_BENEFIT_2YR_DOM">"c3288"</definedName>
    <definedName name="IQ_OPEB_EST_BENEFIT_2YR_FOREIGN">"c3289"</definedName>
    <definedName name="IQ_OPEB_EST_BENEFIT_3YR">"c3293"</definedName>
    <definedName name="IQ_OPEB_EST_BENEFIT_3YR_DOM">"c3291"</definedName>
    <definedName name="IQ_OPEB_EST_BENEFIT_3YR_FOREIGN">"c3292"</definedName>
    <definedName name="IQ_OPEB_EST_BENEFIT_4YR">"c3296"</definedName>
    <definedName name="IQ_OPEB_EST_BENEFIT_4YR_DOM">"c3294"</definedName>
    <definedName name="IQ_OPEB_EST_BENEFIT_4YR_FOREIGN">"c3295"</definedName>
    <definedName name="IQ_OPEB_EST_BENEFIT_5YR">"c3299"</definedName>
    <definedName name="IQ_OPEB_EST_BENEFIT_5YR_DOM">"c3297"</definedName>
    <definedName name="IQ_OPEB_EST_BENEFIT_5YR_FOREIGN">"c3298"</definedName>
    <definedName name="IQ_OPEB_EST_BENEFIT_AFTER5">"c3302"</definedName>
    <definedName name="IQ_OPEB_EST_BENEFIT_AFTER5_DOM">"c3300"</definedName>
    <definedName name="IQ_OPEB_EST_BENEFIT_AFTER5_FOREIGN">"c3301"</definedName>
    <definedName name="IQ_OPEB_EXP_RATE_RETURN_MAX">"c3434"</definedName>
    <definedName name="IQ_OPEB_EXP_RATE_RETURN_MAX_DOM">"c3432"</definedName>
    <definedName name="IQ_OPEB_EXP_RATE_RETURN_MAX_FOREIGN">"c3433"</definedName>
    <definedName name="IQ_OPEB_EXP_RATE_RETURN_MIN">"c3431"</definedName>
    <definedName name="IQ_OPEB_EXP_RATE_RETURN_MIN_DOM">"c3429"</definedName>
    <definedName name="IQ_OPEB_EXP_RATE_RETURN_MIN_FOREIGN">"c3430"</definedName>
    <definedName name="IQ_OPEB_EXP_RETURN">"c3398"</definedName>
    <definedName name="IQ_OPEB_EXP_RETURN_DOM">"c3396"</definedName>
    <definedName name="IQ_OPEB_EXP_RETURN_FOREIGN">"c3397"</definedName>
    <definedName name="IQ_OPEB_HEALTH_COST_TREND_INITIAL">"c3413"</definedName>
    <definedName name="IQ_OPEB_HEALTH_COST_TREND_INITIAL_DOM">"c3411"</definedName>
    <definedName name="IQ_OPEB_HEALTH_COST_TREND_INITIAL_FOREIGN">"c3412"</definedName>
    <definedName name="IQ_OPEB_HEALTH_COST_TREND_ULTIMATE">"c3416"</definedName>
    <definedName name="IQ_OPEB_HEALTH_COST_TREND_ULTIMATE_DOM">"c3414"</definedName>
    <definedName name="IQ_OPEB_HEALTH_COST_TREND_ULTIMATE_FOREIGN">"c3415"</definedName>
    <definedName name="IQ_OPEB_INCREASE_EFFECT_PBO">"c3452"</definedName>
    <definedName name="IQ_OPEB_INCREASE_EFFECT_PBO_DOM">"c3450"</definedName>
    <definedName name="IQ_OPEB_INCREASE_EFFECT_PBO_FOREIGN">"c3451"</definedName>
    <definedName name="IQ_OPEB_INCREASE_EFFECT_SERVICE_INT_COST">"c3449"</definedName>
    <definedName name="IQ_OPEB_INCREASE_EFFECT_SERVICE_INT_COST_DOM">"c3447"</definedName>
    <definedName name="IQ_OPEB_INCREASE_EFFECT_SERVICE_INT_COST_FOREIGN">"c3448"</definedName>
    <definedName name="IQ_OPEB_INTAN_ASSETS">"c3311"</definedName>
    <definedName name="IQ_OPEB_INTAN_ASSETS_DOM">"c3309"</definedName>
    <definedName name="IQ_OPEB_INTAN_ASSETS_FOREIGN">"c3310"</definedName>
    <definedName name="IQ_OPEB_INTEREST_COST">"c3395"</definedName>
    <definedName name="IQ_OPEB_INTEREST_COST_DOM">"c3393"</definedName>
    <definedName name="IQ_OPEB_INTEREST_COST_FOREIGN">"c3394"</definedName>
    <definedName name="IQ_OPEB_LT_ASSETS">"c5786"</definedName>
    <definedName name="IQ_OPEB_LT_ASSETS_DOM">"c5784"</definedName>
    <definedName name="IQ_OPEB_LT_ASSETS_FOREIGN">"c5785"</definedName>
    <definedName name="IQ_OPEB_LT_LIAB">"c5792"</definedName>
    <definedName name="IQ_OPEB_LT_LIAB_DOM">"c5790"</definedName>
    <definedName name="IQ_OPEB_LT_LIAB_FOREIGN">"c5791"</definedName>
    <definedName name="IQ_OPEB_NET_ASSET_RECOG">"c3326"</definedName>
    <definedName name="IQ_OPEB_NET_ASSET_RECOG_DOM">"c3324"</definedName>
    <definedName name="IQ_OPEB_NET_ASSET_RECOG_FOREIGN">"c3325"</definedName>
    <definedName name="IQ_OPEB_OBLIGATION_ACCUMULATED">"c3407"</definedName>
    <definedName name="IQ_OPEB_OBLIGATION_ACCUMULATED_DOM">"c3405"</definedName>
    <definedName name="IQ_OPEB_OBLIGATION_ACCUMULATED_FOREIGN">"c3406"</definedName>
    <definedName name="IQ_OPEB_OBLIGATION_ACQ">"c3380"</definedName>
    <definedName name="IQ_OPEB_OBLIGATION_ACQ_DOM">"c3378"</definedName>
    <definedName name="IQ_OPEB_OBLIGATION_ACQ_FOREIGN">"c3379"</definedName>
    <definedName name="IQ_OPEB_OBLIGATION_ACTUARIAL_GAIN_LOSS">"c3371"</definedName>
    <definedName name="IQ_OPEB_OBLIGATION_ACTUARIAL_GAIN_LOSS_DOM">"c3369"</definedName>
    <definedName name="IQ_OPEB_OBLIGATION_ACTUARIAL_GAIN_LOSS_FOREIGN">"c3370"</definedName>
    <definedName name="IQ_OPEB_OBLIGATION_BEG">"c3359"</definedName>
    <definedName name="IQ_OPEB_OBLIGATION_BEG_DOM">"c3357"</definedName>
    <definedName name="IQ_OPEB_OBLIGATION_BEG_FOREIGN">"c3358"</definedName>
    <definedName name="IQ_OPEB_OBLIGATION_CURTAIL">"c3383"</definedName>
    <definedName name="IQ_OPEB_OBLIGATION_CURTAIL_DOM">"c3381"</definedName>
    <definedName name="IQ_OPEB_OBLIGATION_CURTAIL_FOREIGN">"c3382"</definedName>
    <definedName name="IQ_OPEB_OBLIGATION_EMPLOYEE_CONTRIBUTIONS">"c3368"</definedName>
    <definedName name="IQ_OPEB_OBLIGATION_EMPLOYEE_CONTRIBUTIONS_DOM">"c3366"</definedName>
    <definedName name="IQ_OPEB_OBLIGATION_EMPLOYEE_CONTRIBUTIONS_FOREIGN">"c3367"</definedName>
    <definedName name="IQ_OPEB_OBLIGATION_FX_ADJ">"c3377"</definedName>
    <definedName name="IQ_OPEB_OBLIGATION_FX_ADJ_DOM">"c3375"</definedName>
    <definedName name="IQ_OPEB_OBLIGATION_FX_ADJ_FOREIGN">"c3376"</definedName>
    <definedName name="IQ_OPEB_OBLIGATION_INTEREST_COST">"c3365"</definedName>
    <definedName name="IQ_OPEB_OBLIGATION_INTEREST_COST_DOM">"c3363"</definedName>
    <definedName name="IQ_OPEB_OBLIGATION_INTEREST_COST_FOREIGN">"c3364"</definedName>
    <definedName name="IQ_OPEB_OBLIGATION_OTHER_PLAN_ADJ">"c3386"</definedName>
    <definedName name="IQ_OPEB_OBLIGATION_OTHER_PLAN_ADJ_DOM">"c3384"</definedName>
    <definedName name="IQ_OPEB_OBLIGATION_OTHER_PLAN_ADJ_FOREIGN">"c3385"</definedName>
    <definedName name="IQ_OPEB_OBLIGATION_PAID">"c3374"</definedName>
    <definedName name="IQ_OPEB_OBLIGATION_PAID_DOM">"c3372"</definedName>
    <definedName name="IQ_OPEB_OBLIGATION_PAID_FOREIGN">"c3373"</definedName>
    <definedName name="IQ_OPEB_OBLIGATION_PROJECTED">"c3389"</definedName>
    <definedName name="IQ_OPEB_OBLIGATION_PROJECTED_DOM">"c3387"</definedName>
    <definedName name="IQ_OPEB_OBLIGATION_PROJECTED_FOREIGN">"c3388"</definedName>
    <definedName name="IQ_OPEB_OBLIGATION_SERVICE_COST">"c3362"</definedName>
    <definedName name="IQ_OPEB_OBLIGATION_SERVICE_COST_DOM">"c3360"</definedName>
    <definedName name="IQ_OPEB_OBLIGATION_SERVICE_COST_FOREIGN">"c3361"</definedName>
    <definedName name="IQ_OPEB_OTHER">"c3317"</definedName>
    <definedName name="IQ_OPEB_OTHER_ADJ">"c3323"</definedName>
    <definedName name="IQ_OPEB_OTHER_ADJ_DOM">"c3321"</definedName>
    <definedName name="IQ_OPEB_OTHER_ADJ_FOREIGN">"c3322"</definedName>
    <definedName name="IQ_OPEB_OTHER_COST">"c3401"</definedName>
    <definedName name="IQ_OPEB_OTHER_COST_DOM">"c3399"</definedName>
    <definedName name="IQ_OPEB_OTHER_COST_FOREIGN">"c3400"</definedName>
    <definedName name="IQ_OPEB_OTHER_DOM">"c3315"</definedName>
    <definedName name="IQ_OPEB_OTHER_FOREIGN">"c3316"</definedName>
    <definedName name="IQ_OPEB_PBO_ASSUMED_RATE_RET_MAX">"c3440"</definedName>
    <definedName name="IQ_OPEB_PBO_ASSUMED_RATE_RET_MAX_DOM">"c3438"</definedName>
    <definedName name="IQ_OPEB_PBO_ASSUMED_RATE_RET_MAX_FOREIGN">"c3439"</definedName>
    <definedName name="IQ_OPEB_PBO_ASSUMED_RATE_RET_MIN">"c3437"</definedName>
    <definedName name="IQ_OPEB_PBO_ASSUMED_RATE_RET_MIN_DOM">"c3435"</definedName>
    <definedName name="IQ_OPEB_PBO_ASSUMED_RATE_RET_MIN_FOREIGN">"c3436"</definedName>
    <definedName name="IQ_OPEB_PBO_RATE_COMP_INCREASE_MAX">"c3446"</definedName>
    <definedName name="IQ_OPEB_PBO_RATE_COMP_INCREASE_MAX_DOM">"c3444"</definedName>
    <definedName name="IQ_OPEB_PBO_RATE_COMP_INCREASE_MAX_FOREIGN">"c3445"</definedName>
    <definedName name="IQ_OPEB_PBO_RATE_COMP_INCREASE_MIN">"c3443"</definedName>
    <definedName name="IQ_OPEB_PBO_RATE_COMP_INCREASE_MIN_DOM">"c3441"</definedName>
    <definedName name="IQ_OPEB_PBO_RATE_COMP_INCREASE_MIN_FOREIGN">"c3442"</definedName>
    <definedName name="IQ_OPEB_PREPAID_COST">"c3305"</definedName>
    <definedName name="IQ_OPEB_PREPAID_COST_DOM">"c3303"</definedName>
    <definedName name="IQ_OPEB_PREPAID_COST_FOREIGN">"c3304"</definedName>
    <definedName name="IQ_OPEB_PRIOR_SERVICE_NEXT">"c5777"</definedName>
    <definedName name="IQ_OPEB_PRIOR_SERVICE_NEXT_DOM">"c5775"</definedName>
    <definedName name="IQ_OPEB_PRIOR_SERVICE_NEXT_FOREIGN">"c5776"</definedName>
    <definedName name="IQ_OPEB_RATE_COMP_INCREASE_MAX">"c3428"</definedName>
    <definedName name="IQ_OPEB_RATE_COMP_INCREASE_MAX_DOM">"c3426"</definedName>
    <definedName name="IQ_OPEB_RATE_COMP_INCREASE_MAX_FOREIGN">"c3427"</definedName>
    <definedName name="IQ_OPEB_RATE_COMP_INCREASE_MIN">"c3425"</definedName>
    <definedName name="IQ_OPEB_RATE_COMP_INCREASE_MIN_DOM">"c3423"</definedName>
    <definedName name="IQ_OPEB_RATE_COMP_INCREASE_MIN_FOREIGN">"c3424"</definedName>
    <definedName name="IQ_OPEB_SERVICE_COST">"c3392"</definedName>
    <definedName name="IQ_OPEB_SERVICE_COST_DOM">"c3390"</definedName>
    <definedName name="IQ_OPEB_SERVICE_COST_FOREIGN">"c3391"</definedName>
    <definedName name="IQ_OPEB_TOTAL_COST">"c3404"</definedName>
    <definedName name="IQ_OPEB_TOTAL_COST_DOM">"c3402"</definedName>
    <definedName name="IQ_OPEB_TOTAL_COST_FOREIGN">"c3403"</definedName>
    <definedName name="IQ_OPEB_TRANSITION_NEXT">"c5780"</definedName>
    <definedName name="IQ_OPEB_TRANSITION_NEXT_DOM">"c5778"</definedName>
    <definedName name="IQ_OPEB_TRANSITION_NEXT_FOREIGN">"c5779"</definedName>
    <definedName name="IQ_OPEB_UNRECOG_PRIOR">"c3320"</definedName>
    <definedName name="IQ_OPEB_UNRECOG_PRIOR_DOM">"c3318"</definedName>
    <definedName name="IQ_OPEB_UNRECOG_PRIOR_FOREIGN">"c3319"</definedName>
    <definedName name="IQ_OPENPRICE">"c848"</definedName>
    <definedName name="IQ_OPER_INC">"c849"</definedName>
    <definedName name="IQ_OPER_INC_ACT_OR_EST">"c2220"</definedName>
    <definedName name="IQ_OPER_INC_BR">"c850"</definedName>
    <definedName name="IQ_OPER_INC_EST">"c1688"</definedName>
    <definedName name="IQ_OPER_INC_FIN">"c851"</definedName>
    <definedName name="IQ_OPER_INC_HIGH_EST">"c1690"</definedName>
    <definedName name="IQ_OPER_INC_INS">"c852"</definedName>
    <definedName name="IQ_OPER_INC_LOW_EST">"c1691"</definedName>
    <definedName name="IQ_OPER_INC_MARGIN">"c1448"</definedName>
    <definedName name="IQ_OPER_INC_MEDIAN_EST">"c1689"</definedName>
    <definedName name="IQ_OPER_INC_NUM_EST">"c1692"</definedName>
    <definedName name="IQ_OPER_INC_RE">"c6240"</definedName>
    <definedName name="IQ_OPER_INC_REIT">"c853"</definedName>
    <definedName name="IQ_OPER_INC_STDDEV_EST">"c1693"</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ERCISABLE_END_OS">"c5804"</definedName>
    <definedName name="IQ_OPTIONS_EXERCISED">"c2116"</definedName>
    <definedName name="IQ_OPTIONS_GRANTED">"c2673"</definedName>
    <definedName name="IQ_OPTIONS_ISSUED">"c857"</definedName>
    <definedName name="IQ_OPTIONS_STRIKE_PRICE_BEG_OS">"c5805"</definedName>
    <definedName name="IQ_OPTIONS_STRIKE_PRICE_CANCELLED">"c5807"</definedName>
    <definedName name="IQ_OPTIONS_STRIKE_PRICE_EXERCISABLE">"c5808"</definedName>
    <definedName name="IQ_OPTIONS_STRIKE_PRICE_EXERCISED">"c5806"</definedName>
    <definedName name="IQ_OPTIONS_STRIKE_PRICE_GRANTED">"c2678"</definedName>
    <definedName name="IQ_OPTIONS_STRIKE_PRICE_OS">"c2677"</definedName>
    <definedName name="IQ_ORDER_BACKLOG">"c2090"</definedName>
    <definedName name="IQ_OREO_1_4_RESIDENTIAL_FDIC">"c6454"</definedName>
    <definedName name="IQ_OREO_COMMERCIAL_RE_FDIC">"c6456"</definedName>
    <definedName name="IQ_OREO_CONSTRUCTION_DEVELOPMENT_FDIC">"c6457"</definedName>
    <definedName name="IQ_OREO_FARMLAND_FDIC">"c6458"</definedName>
    <definedName name="IQ_OREO_FOREIGN_FDIC">"c6460"</definedName>
    <definedName name="IQ_OREO_MULTI_FAMILY_RESIDENTIAL_FDIC">"c6455"</definedName>
    <definedName name="IQ_OTHER_ADJUST_GROSS_LOANS">"c859"</definedName>
    <definedName name="IQ_OTHER_AMORT">"c5563"</definedName>
    <definedName name="IQ_OTHER_AMORT_BNK">"c5565"</definedName>
    <definedName name="IQ_OTHER_AMORT_BR">"c5566"</definedName>
    <definedName name="IQ_OTHER_AMORT_FIN">"c5567"</definedName>
    <definedName name="IQ_OTHER_AMORT_INS">"c5568"</definedName>
    <definedName name="IQ_OTHER_AMORT_RE">"c6287"</definedName>
    <definedName name="IQ_OTHER_AMORT_REIT">"c5569"</definedName>
    <definedName name="IQ_OTHER_AMORT_UTI">"c5570"</definedName>
    <definedName name="IQ_OTHER_ASSETS">"c860"</definedName>
    <definedName name="IQ_OTHER_ASSETS_BNK">"c861"</definedName>
    <definedName name="IQ_OTHER_ASSETS_BR">"c862"</definedName>
    <definedName name="IQ_OTHER_ASSETS_FDIC">"c6338"</definedName>
    <definedName name="IQ_OTHER_ASSETS_FIN">"c863"</definedName>
    <definedName name="IQ_OTHER_ASSETS_INS">"c864"</definedName>
    <definedName name="IQ_OTHER_ASSETS_RE">"c6241"</definedName>
    <definedName name="IQ_OTHER_ASSETS_REIT">"c865"</definedName>
    <definedName name="IQ_OTHER_ASSETS_SERV_RIGHTS">"c2243"</definedName>
    <definedName name="IQ_OTHER_ASSETS_UTI">"c866"</definedName>
    <definedName name="IQ_OTHER_BEARING_LIAB">"c1608"</definedName>
    <definedName name="IQ_OTHER_BENEFITS_OBLIGATION">"c867"</definedName>
    <definedName name="IQ_OTHER_BORROWED_FUNDS_FDIC">"c6345"</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"c6242"</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INS">"C6021"</definedName>
    <definedName name="IQ_OTHER_CL_SUPPL_RE">"c6243"</definedName>
    <definedName name="IQ_OTHER_CL_SUPPL_REIT">"c882"</definedName>
    <definedName name="IQ_OTHER_CL_SUPPL_UTI">"c883"</definedName>
    <definedName name="IQ_OTHER_CL_UTI">"c884"</definedName>
    <definedName name="IQ_OTHER_COMPREHENSIVE_INCOME_FDIC">"c6503"</definedName>
    <definedName name="IQ_OTHER_CURRENT_ASSETS">"c1403"</definedName>
    <definedName name="IQ_OTHER_CURRENT_LIAB">"c1404"</definedName>
    <definedName name="IQ_OTHER_DEBT">"c2507"</definedName>
    <definedName name="IQ_OTHER_DEBT_PCT">"c2508"</definedName>
    <definedName name="IQ_OTHER_DEP">"c885"</definedName>
    <definedName name="IQ_OTHER_DEPOSITORY_INSTITUTIONS_LOANS_FDIC">"c6436"</definedName>
    <definedName name="IQ_OTHER_DEPOSITORY_INSTITUTIONS_TOTAL_LOANS_FOREIGN_FDIC">"c6442"</definedName>
    <definedName name="IQ_OTHER_DOMESTIC_DEBT_SECURITIES_FDIC">"c6302"</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"c6244"</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"c6245"</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"c6246"</definedName>
    <definedName name="IQ_OTHER_FINANCE_ACT_SUPPL_REIT">"c904"</definedName>
    <definedName name="IQ_OTHER_FINANCE_ACT_SUPPL_UTI">"c905"</definedName>
    <definedName name="IQ_OTHER_FINANCE_ACT_UTI">"c906"</definedName>
    <definedName name="IQ_OTHER_INSURANCE_FEES_FDIC">"c6672"</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"c6247"</definedName>
    <definedName name="IQ_OTHER_INTAN_REIT">"c912"</definedName>
    <definedName name="IQ_OTHER_INTAN_UTI">"c913"</definedName>
    <definedName name="IQ_OTHER_INTANGIBLE_FDIC">"c6337"</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"c6248"</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"c6249"</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"c6250"</definedName>
    <definedName name="IQ_OTHER_LIAB_LT_REIT">"c940"</definedName>
    <definedName name="IQ_OTHER_LIAB_LT_UTI">"c941"</definedName>
    <definedName name="IQ_OTHER_LIAB_RE">"c6251"</definedName>
    <definedName name="IQ_OTHER_LIAB_REIT">"c942"</definedName>
    <definedName name="IQ_OTHER_LIAB_UTI">"c943"</definedName>
    <definedName name="IQ_OTHER_LIAB_WRITTEN">"c944"</definedName>
    <definedName name="IQ_OTHER_LIABILITIES_FDIC">"c6347"</definedName>
    <definedName name="IQ_OTHER_LOANS">"c945"</definedName>
    <definedName name="IQ_OTHER_LOANS_CHARGE_OFFS_FDIC">"c6601"</definedName>
    <definedName name="IQ_OTHER_LOANS_FOREIGN_FDIC">"c6446"</definedName>
    <definedName name="IQ_OTHER_LOANS_LEASES_FDIC">"c6322"</definedName>
    <definedName name="IQ_OTHER_LOANS_NET_CHARGE_OFFS_FDIC">"c6639"</definedName>
    <definedName name="IQ_OTHER_LOANS_RECOVERIES_FDIC">"c6620"</definedName>
    <definedName name="IQ_OTHER_LOANS_TOTAL_FDIC">"c6432"</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"c6252"</definedName>
    <definedName name="IQ_OTHER_LT_ASSETS_REIT">"c951"</definedName>
    <definedName name="IQ_OTHER_LT_ASSETS_UTI">"c952"</definedName>
    <definedName name="IQ_OTHER_NET">"c1453"</definedName>
    <definedName name="IQ_OTHER_NON_INT_EXP">"c953"</definedName>
    <definedName name="IQ_OTHER_NON_INT_EXP_FDIC">"c6578"</definedName>
    <definedName name="IQ_OTHER_NON_INT_EXP_TOTAL">"c954"</definedName>
    <definedName name="IQ_OTHER_NON_INT_EXPENSE_FDIC">"c6679"</definedName>
    <definedName name="IQ_OTHER_NON_INT_INC">"c955"</definedName>
    <definedName name="IQ_OTHER_NON_INT_INC_FDIC">"c6676"</definedName>
    <definedName name="IQ_OTHER_NON_OPER_EXP">"c956"</definedName>
    <definedName name="IQ_OTHER_NON_OPER_EXP_BR">"c957"</definedName>
    <definedName name="IQ_OTHER_NON_OPER_EXP_FIN">"c958"</definedName>
    <definedName name="IQ_OTHER_NON_OPER_EXP_INS">"c959"</definedName>
    <definedName name="IQ_OTHER_NON_OPER_EXP_RE">"c6253"</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"c6254"</definedName>
    <definedName name="IQ_OTHER_NON_OPER_EXP_SUPPL_REIT">"c965"</definedName>
    <definedName name="IQ_OTHER_NON_OPER_EXP_SUPPL_UTI">"c966"</definedName>
    <definedName name="IQ_OTHER_NON_OPER_EXP_UTI">"c967"</definedName>
    <definedName name="IQ_OTHER_OFF_BS_LIAB_FDIC">"c6533"</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"c6255"</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"c6256"</definedName>
    <definedName name="IQ_OTHER_OPER_REIT">"c993"</definedName>
    <definedName name="IQ_OTHER_OPER_SUPPL_BR">"c994"</definedName>
    <definedName name="IQ_OTHER_OPER_SUPPL_FIN">"c995"</definedName>
    <definedName name="IQ_OTHER_OPER_SUPPL_INS">"c996"</definedName>
    <definedName name="IQ_OTHER_OPER_SUPPL_RE">"c6257"</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"c6258"</definedName>
    <definedName name="IQ_OTHER_OPER_TOT_REIT">"c1003"</definedName>
    <definedName name="IQ_OTHER_OPER_TOT_UTI">"c1004"</definedName>
    <definedName name="IQ_OTHER_OPER_UTI">"c1005"</definedName>
    <definedName name="IQ_OTHER_OPTIONS_BEG_OS">"c2686"</definedName>
    <definedName name="IQ_OTHER_OPTIONS_CANCELLED">"c2689"</definedName>
    <definedName name="IQ_OTHER_OPTIONS_END_OS">"c2690"</definedName>
    <definedName name="IQ_OTHER_OPTIONS_EXERCISABLE_END_OS">"c5814"</definedName>
    <definedName name="IQ_OTHER_OPTIONS_EXERCISED">"c2688"</definedName>
    <definedName name="IQ_OTHER_OPTIONS_GRANTED">"c2687"</definedName>
    <definedName name="IQ_OTHER_OPTIONS_STRIKE_PRICE_BEG_OS">"c5815"</definedName>
    <definedName name="IQ_OTHER_OPTIONS_STRIKE_PRICE_CANCELLED">"c5817"</definedName>
    <definedName name="IQ_OTHER_OPTIONS_STRIKE_PRICE_EXERCISABLE">"c5818"</definedName>
    <definedName name="IQ_OTHER_OPTIONS_STRIKE_PRICE_EXERCISED">"c5816"</definedName>
    <definedName name="IQ_OTHER_OPTIONS_STRIKE_PRICE_OS">"c2691"</definedName>
    <definedName name="IQ_OTHER_OUTSTANDING_BS_DATE">"c1972"</definedName>
    <definedName name="IQ_OTHER_OUTSTANDING_FILING_DATE">"c1974"</definedName>
    <definedName name="IQ_OTHER_PC_WRITTEN">"c1006"</definedName>
    <definedName name="IQ_OTHER_RE_OWNED_FDIC">"c6330"</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"c6259"</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"c6260"</definedName>
    <definedName name="IQ_OTHER_REV_SUPPL_REIT">"c1019"</definedName>
    <definedName name="IQ_OTHER_REV_SUPPL_UTI">"c1020"</definedName>
    <definedName name="IQ_OTHER_REV_UTI">"c1021"</definedName>
    <definedName name="IQ_OTHER_REVENUE">"c1410"</definedName>
    <definedName name="IQ_OTHER_SAVINGS_DEPOSITS_FDIC">"c6554"</definedName>
    <definedName name="IQ_OTHER_STRIKE_PRICE_GRANTED">"c2692"</definedName>
    <definedName name="IQ_OTHER_TRANSACTIONS_FDIC">"c6504"</definedName>
    <definedName name="IQ_OTHER_UNDRAWN">"c2522"</definedName>
    <definedName name="IQ_OTHER_UNUSED_COMMITMENTS_FDIC">"c6530"</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"c6282"</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"c6281"</definedName>
    <definedName name="IQ_OTHER_UNUSUAL_SUPPL_REIT">"c1499"</definedName>
    <definedName name="IQ_OTHER_UNUSUAL_SUPPL_UTI">"c1500"</definedName>
    <definedName name="IQ_OTHER_UNUSUAL_UTI">"c1565"</definedName>
    <definedName name="IQ_OTHER_WARRANTS_BEG_OS">"c2712"</definedName>
    <definedName name="IQ_OTHER_WARRANTS_CANCELLED">"c2715"</definedName>
    <definedName name="IQ_OTHER_WARRANTS_END_OS">"c2716"</definedName>
    <definedName name="IQ_OTHER_WARRANTS_EXERCISED">"c2714"</definedName>
    <definedName name="IQ_OTHER_WARRANTS_ISSUED">"c2713"</definedName>
    <definedName name="IQ_OTHER_WARRANTS_STRIKE_PRICE_ISSUED">"c2718"</definedName>
    <definedName name="IQ_OTHER_WARRANTS_STRIKE_PRICE_OS">"c2717"</definedName>
    <definedName name="IQ_OUTSTANDING_BS_DATE">"c2128"</definedName>
    <definedName name="IQ_OUTSTANDING_FILING_DATE">"c1023"</definedName>
    <definedName name="IQ_OVER_FIFETEEN_YEAR_MORTGAGE_PASS_THROUGHS_FDIC">"c6416"</definedName>
    <definedName name="IQ_OVER_FIFTEEN_YEAR_FIXED_AND_FLOATING_RATE_FDIC">"c6424"</definedName>
    <definedName name="IQ_OVER_THREE_YEARS_FDIC">"c6418"</definedName>
    <definedName name="IQ_OWNERSHIP">"c2160"</definedName>
    <definedName name="IQ_PART_TIME">"c1024"</definedName>
    <definedName name="IQ_PARTICIPATION_POOLS_RESIDENTIAL_MORTGAGES_FDIC">"c6403"</definedName>
    <definedName name="IQ_PAST_DUE_30_1_4_FAMILY_LOANS_FDIC">"c6693"</definedName>
    <definedName name="IQ_PAST_DUE_30_AUTO_LOANS_FDIC">"c6687"</definedName>
    <definedName name="IQ_PAST_DUE_30_CL_LOANS_FDIC">"c6688"</definedName>
    <definedName name="IQ_PAST_DUE_30_CREDIT_CARDS_RECEIVABLES_FDIC">"c6690"</definedName>
    <definedName name="IQ_PAST_DUE_30_HOME_EQUITY_LINES_FDIC">"c6691"</definedName>
    <definedName name="IQ_PAST_DUE_30_OTHER_CONSUMER_LOANS_FDIC">"c6689"</definedName>
    <definedName name="IQ_PAST_DUE_30_OTHER_LOANS_FDIC">"c6692"</definedName>
    <definedName name="IQ_PAST_DUE_90_1_4_FAMILY_LOANS_FDIC">"c6700"</definedName>
    <definedName name="IQ_PAST_DUE_90_AUTO_LOANS_FDIC">"c6694"</definedName>
    <definedName name="IQ_PAST_DUE_90_CL_LOANS_FDIC">"c6695"</definedName>
    <definedName name="IQ_PAST_DUE_90_CREDIT_CARDS_RECEIVABLES_FDIC">"c6697"</definedName>
    <definedName name="IQ_PAST_DUE_90_HOME_EQUITY_LINES_FDIC">"c6698"</definedName>
    <definedName name="IQ_PAST_DUE_90_OTHER_CONSUMER_LOANS_FDIC">"c6696"</definedName>
    <definedName name="IQ_PAST_DUE_90_OTHER_LOANS_FDIC">"c6699"</definedName>
    <definedName name="IQ_PAY_ACCRUED">"c1457"</definedName>
    <definedName name="IQ_PAYOUT_RATIO">"c1900"</definedName>
    <definedName name="IQ_PBV">"c1025"</definedName>
    <definedName name="IQ_PBV_AVG">"c1026"</definedName>
    <definedName name="IQ_PC_EARNED">"c2749"</definedName>
    <definedName name="IQ_PC_GAAP_COMBINED_RATIO">"c2781"</definedName>
    <definedName name="IQ_PC_GAAP_COMBINED_RATIO_EXCL_CL">"c2782"</definedName>
    <definedName name="IQ_PC_GAAP_EXPENSE_RATIO">"c2780"</definedName>
    <definedName name="IQ_PC_GAAP_LOSS">"c2779"</definedName>
    <definedName name="IQ_PC_POLICY_BENEFITS_EXP">"c2790"</definedName>
    <definedName name="IQ_PC_STAT_COMBINED_RATIO">"c2778"</definedName>
    <definedName name="IQ_PC_STAT_COMBINED_RATIO_EXCL_DIV">"c2777"</definedName>
    <definedName name="IQ_PC_STAT_DIVIDEND_RATIO">"c2776"</definedName>
    <definedName name="IQ_PC_STAT_EXPENSE_RATIO">"c2775"</definedName>
    <definedName name="IQ_PC_STAT_LOSS_RATIO">"c2774"</definedName>
    <definedName name="IQ_PC_STATUTORY_SURPLUS">"c2770"</definedName>
    <definedName name="IQ_PC_WRITTEN">"c1027"</definedName>
    <definedName name="IQ_PE_EXCL">"c1028"</definedName>
    <definedName name="IQ_PE_EXCL_AVG">"c1029"</definedName>
    <definedName name="IQ_PE_EXCL_FWD">"c1030"</definedName>
    <definedName name="IQ_PE_EXCL_FWD_REUT">"c4049"</definedName>
    <definedName name="IQ_PE_NORMALIZED">"c2207"</definedName>
    <definedName name="IQ_PE_RATIO">"c1610"</definedName>
    <definedName name="IQ_PEG_FWD">"c1863"</definedName>
    <definedName name="IQ_PEG_FWD_REUT">"c4052"</definedName>
    <definedName name="IQ_PENSION">"c1031"</definedName>
    <definedName name="IQ_PENSION_ACCRUED_LIAB">"c3134"</definedName>
    <definedName name="IQ_PENSION_ACCRUED_LIAB_DOM">"c3132"</definedName>
    <definedName name="IQ_PENSION_ACCRUED_LIAB_FOREIGN">"c3133"</definedName>
    <definedName name="IQ_PENSION_ACCUM_OTHER_CI">"c3140"</definedName>
    <definedName name="IQ_PENSION_ACCUM_OTHER_CI_DOM">"c3138"</definedName>
    <definedName name="IQ_PENSION_ACCUM_OTHER_CI_FOREIGN">"c3139"</definedName>
    <definedName name="IQ_PENSION_ACCUMULATED_OBLIGATION">"c3570"</definedName>
    <definedName name="IQ_PENSION_ACCUMULATED_OBLIGATION_DOMESTIC">"c3568"</definedName>
    <definedName name="IQ_PENSION_ACCUMULATED_OBLIGATION_FOREIGN">"c3569"</definedName>
    <definedName name="IQ_PENSION_ACT_NEXT">"c5738"</definedName>
    <definedName name="IQ_PENSION_ACT_NEXT_DOM">"c5736"</definedName>
    <definedName name="IQ_PENSION_ACT_NEXT_FOREIGN">"c5737"</definedName>
    <definedName name="IQ_PENSION_AMT_RECOG_NEXT_DOM">"c5745"</definedName>
    <definedName name="IQ_PENSION_AMT_RECOG_NEXT_FOREIGN">"c5746"</definedName>
    <definedName name="IQ_PENSION_AMT_RECOG_PERIOD">"c5747"</definedName>
    <definedName name="IQ_PENSION_ASSETS">"c3182"</definedName>
    <definedName name="IQ_PENSION_ASSETS_ACQ">"c3173"</definedName>
    <definedName name="IQ_PENSION_ASSETS_ACQ_DOM">"c3171"</definedName>
    <definedName name="IQ_PENSION_ASSETS_ACQ_FOREIGN">"c3172"</definedName>
    <definedName name="IQ_PENSION_ASSETS_ACTUAL_RETURN">"c3158"</definedName>
    <definedName name="IQ_PENSION_ASSETS_ACTUAL_RETURN_DOM">"c3156"</definedName>
    <definedName name="IQ_PENSION_ASSETS_ACTUAL_RETURN_FOREIGN">"c3157"</definedName>
    <definedName name="IQ_PENSION_ASSETS_BEG">"c3155"</definedName>
    <definedName name="IQ_PENSION_ASSETS_BEG_DOM">"c3153"</definedName>
    <definedName name="IQ_PENSION_ASSETS_BEG_FOREIGN">"c3154"</definedName>
    <definedName name="IQ_PENSION_ASSETS_BENEFITS_PAID">"c3167"</definedName>
    <definedName name="IQ_PENSION_ASSETS_BENEFITS_PAID_DOM">"c3165"</definedName>
    <definedName name="IQ_PENSION_ASSETS_BENEFITS_PAID_FOREIGN">"c3166"</definedName>
    <definedName name="IQ_PENSION_ASSETS_CURTAIL">"c3176"</definedName>
    <definedName name="IQ_PENSION_ASSETS_CURTAIL_DOM">"c3174"</definedName>
    <definedName name="IQ_PENSION_ASSETS_CURTAIL_FOREIGN">"c3175"</definedName>
    <definedName name="IQ_PENSION_ASSETS_DOM">"c3180"</definedName>
    <definedName name="IQ_PENSION_ASSETS_EMPLOYER_CONTRIBUTIONS">"c3161"</definedName>
    <definedName name="IQ_PENSION_ASSETS_EMPLOYER_CONTRIBUTIONS_DOM">"c3159"</definedName>
    <definedName name="IQ_PENSION_ASSETS_EMPLOYER_CONTRIBUTIONS_FOREIGN">"c3160"</definedName>
    <definedName name="IQ_PENSION_ASSETS_FOREIGN">"c3181"</definedName>
    <definedName name="IQ_PENSION_ASSETS_FX_ADJ">"c3170"</definedName>
    <definedName name="IQ_PENSION_ASSETS_FX_ADJ_DOM">"c3168"</definedName>
    <definedName name="IQ_PENSION_ASSETS_FX_ADJ_FOREIGN">"c3169"</definedName>
    <definedName name="IQ_PENSION_ASSETS_OTHER_PLAN_ADJ">"c3179"</definedName>
    <definedName name="IQ_PENSION_ASSETS_OTHER_PLAN_ADJ_DOM">"c3177"</definedName>
    <definedName name="IQ_PENSION_ASSETS_OTHER_PLAN_ADJ_FOREIGN">"c3178"</definedName>
    <definedName name="IQ_PENSION_ASSETS_PARTICIP_CONTRIBUTIONS">"c3164"</definedName>
    <definedName name="IQ_PENSION_ASSETS_PARTICIP_CONTRIBUTIONS_DOM">"c3162"</definedName>
    <definedName name="IQ_PENSION_ASSETS_PARTICIP_CONTRIBUTIONS_FOREIGN">"c3163"</definedName>
    <definedName name="IQ_PENSION_BENEFIT_INFO_DATE">"c3230"</definedName>
    <definedName name="IQ_PENSION_BENEFIT_INFO_DATE_DOM">"c3228"</definedName>
    <definedName name="IQ_PENSION_BENEFIT_INFO_DATE_FOREIGN">"c3229"</definedName>
    <definedName name="IQ_PENSION_BREAKDOWN_EQ">"c3101"</definedName>
    <definedName name="IQ_PENSION_BREAKDOWN_EQ_DOM">"c3099"</definedName>
    <definedName name="IQ_PENSION_BREAKDOWN_EQ_FOREIGN">"c3100"</definedName>
    <definedName name="IQ_PENSION_BREAKDOWN_FI">"c3104"</definedName>
    <definedName name="IQ_PENSION_BREAKDOWN_FI_DOM">"c3102"</definedName>
    <definedName name="IQ_PENSION_BREAKDOWN_FI_FOREIGN">"c3103"</definedName>
    <definedName name="IQ_PENSION_BREAKDOWN_OTHER">"c3110"</definedName>
    <definedName name="IQ_PENSION_BREAKDOWN_OTHER_DOM">"c3108"</definedName>
    <definedName name="IQ_PENSION_BREAKDOWN_OTHER_FOREIGN">"c3109"</definedName>
    <definedName name="IQ_PENSION_BREAKDOWN_PCT_EQ">"c3089"</definedName>
    <definedName name="IQ_PENSION_BREAKDOWN_PCT_EQ_DOM">"c3087"</definedName>
    <definedName name="IQ_PENSION_BREAKDOWN_PCT_EQ_FOREIGN">"c3088"</definedName>
    <definedName name="IQ_PENSION_BREAKDOWN_PCT_FI">"c3092"</definedName>
    <definedName name="IQ_PENSION_BREAKDOWN_PCT_FI_DOM">"c3090"</definedName>
    <definedName name="IQ_PENSION_BREAKDOWN_PCT_FI_FOREIGN">"c3091"</definedName>
    <definedName name="IQ_PENSION_BREAKDOWN_PCT_OTHER">"c3098"</definedName>
    <definedName name="IQ_PENSION_BREAKDOWN_PCT_OTHER_DOM">"c3096"</definedName>
    <definedName name="IQ_PENSION_BREAKDOWN_PCT_OTHER_FOREIGN">"c3097"</definedName>
    <definedName name="IQ_PENSION_BREAKDOWN_PCT_RE">"c3095"</definedName>
    <definedName name="IQ_PENSION_BREAKDOWN_PCT_RE_DOM">"c3093"</definedName>
    <definedName name="IQ_PENSION_BREAKDOWN_PCT_RE_FOREIGN">"c3094"</definedName>
    <definedName name="IQ_PENSION_BREAKDOWN_RE">"c3107"</definedName>
    <definedName name="IQ_PENSION_BREAKDOWN_RE_DOM">"c3105"</definedName>
    <definedName name="IQ_PENSION_BREAKDOWN_RE_FOREIGN">"c3106"</definedName>
    <definedName name="IQ_PENSION_CI_ACT">"c5723"</definedName>
    <definedName name="IQ_PENSION_CI_ACT_DOM">"c5721"</definedName>
    <definedName name="IQ_PENSION_CI_ACT_FOREIGN">"c5722"</definedName>
    <definedName name="IQ_PENSION_CI_NET_AMT_RECOG">"c5735"</definedName>
    <definedName name="IQ_PENSION_CI_NET_AMT_RECOG_DOM">"c5733"</definedName>
    <definedName name="IQ_PENSION_CI_NET_AMT_RECOG_FOREIGN">"c5734"</definedName>
    <definedName name="IQ_PENSION_CI_OTHER_MISC_ADJ">"c5732"</definedName>
    <definedName name="IQ_PENSION_CI_OTHER_MISC_ADJ_DOM">"c5730"</definedName>
    <definedName name="IQ_PENSION_CI_OTHER_MISC_ADJ_FOREIGN">"c5731"</definedName>
    <definedName name="IQ_PENSION_CI_PRIOR_SERVICE">"c5726"</definedName>
    <definedName name="IQ_PENSION_CI_PRIOR_SERVICE_DOM">"c5724"</definedName>
    <definedName name="IQ_PENSION_CI_PRIOR_SERVICE_FOREIGN">"c5725"</definedName>
    <definedName name="IQ_PENSION_CI_TRANSITION">"c5729"</definedName>
    <definedName name="IQ_PENSION_CI_TRANSITION_DOM">"c5727"</definedName>
    <definedName name="IQ_PENSION_CI_TRANSITION_FOREIGN">"c5728"</definedName>
    <definedName name="IQ_PENSION_CL">"c5753"</definedName>
    <definedName name="IQ_PENSION_CL_DOM">"c5751"</definedName>
    <definedName name="IQ_PENSION_CL_FOREIGN">"c5752"</definedName>
    <definedName name="IQ_PENSION_CONTRIBUTION_TOTAL_COST">"c3559"</definedName>
    <definedName name="IQ_PENSION_DISC_RATE_MAX">"c3236"</definedName>
    <definedName name="IQ_PENSION_DISC_RATE_MAX_DOM">"c3234"</definedName>
    <definedName name="IQ_PENSION_DISC_RATE_MAX_FOREIGN">"c3235"</definedName>
    <definedName name="IQ_PENSION_DISC_RATE_MIN">"c3233"</definedName>
    <definedName name="IQ_PENSION_DISC_RATE_MIN_DOM">"c3231"</definedName>
    <definedName name="IQ_PENSION_DISC_RATE_MIN_FOREIGN">"c3232"</definedName>
    <definedName name="IQ_PENSION_DISCOUNT_RATE_DOMESTIC">"c3573"</definedName>
    <definedName name="IQ_PENSION_DISCOUNT_RATE_FOREIGN">"c3574"</definedName>
    <definedName name="IQ_PENSION_EST_BENEFIT_1YR">"c3113"</definedName>
    <definedName name="IQ_PENSION_EST_BENEFIT_1YR_DOM">"c3111"</definedName>
    <definedName name="IQ_PENSION_EST_BENEFIT_1YR_FOREIGN">"c3112"</definedName>
    <definedName name="IQ_PENSION_EST_BENEFIT_2YR">"c3116"</definedName>
    <definedName name="IQ_PENSION_EST_BENEFIT_2YR_DOM">"c3114"</definedName>
    <definedName name="IQ_PENSION_EST_BENEFIT_2YR_FOREIGN">"c3115"</definedName>
    <definedName name="IQ_PENSION_EST_BENEFIT_3YR">"c3119"</definedName>
    <definedName name="IQ_PENSION_EST_BENEFIT_3YR_DOM">"c3117"</definedName>
    <definedName name="IQ_PENSION_EST_BENEFIT_3YR_FOREIGN">"c3118"</definedName>
    <definedName name="IQ_PENSION_EST_BENEFIT_4YR">"c3122"</definedName>
    <definedName name="IQ_PENSION_EST_BENEFIT_4YR_DOM">"c3120"</definedName>
    <definedName name="IQ_PENSION_EST_BENEFIT_4YR_FOREIGN">"c3121"</definedName>
    <definedName name="IQ_PENSION_EST_BENEFIT_5YR">"c3125"</definedName>
    <definedName name="IQ_PENSION_EST_BENEFIT_5YR_DOM">"c3123"</definedName>
    <definedName name="IQ_PENSION_EST_BENEFIT_5YR_FOREIGN">"c3124"</definedName>
    <definedName name="IQ_PENSION_EST_BENEFIT_AFTER5">"c3128"</definedName>
    <definedName name="IQ_PENSION_EST_BENEFIT_AFTER5_DOM">"c3126"</definedName>
    <definedName name="IQ_PENSION_EST_BENEFIT_AFTER5_FOREIGN">"c3127"</definedName>
    <definedName name="IQ_PENSION_EST_CONTRIBUTIONS_NEXTYR">"c3218"</definedName>
    <definedName name="IQ_PENSION_EST_CONTRIBUTIONS_NEXTYR_DOM">"c3216"</definedName>
    <definedName name="IQ_PENSION_EST_CONTRIBUTIONS_NEXTYR_FOREIGN">"c3217"</definedName>
    <definedName name="IQ_PENSION_EXP_RATE_RETURN_MAX">"c3248"</definedName>
    <definedName name="IQ_PENSION_EXP_RATE_RETURN_MAX_DOM">"c3246"</definedName>
    <definedName name="IQ_PENSION_EXP_RATE_RETURN_MAX_FOREIGN">"c3247"</definedName>
    <definedName name="IQ_PENSION_EXP_RATE_RETURN_MIN">"c3245"</definedName>
    <definedName name="IQ_PENSION_EXP_RATE_RETURN_MIN_DOM">"c3243"</definedName>
    <definedName name="IQ_PENSION_EXP_RATE_RETURN_MIN_FOREIGN">"c3244"</definedName>
    <definedName name="IQ_PENSION_EXP_RETURN_DOMESTIC">"c3571"</definedName>
    <definedName name="IQ_PENSION_EXP_RETURN_FOREIGN">"c3572"</definedName>
    <definedName name="IQ_PENSION_INTAN_ASSETS">"c3137"</definedName>
    <definedName name="IQ_PENSION_INTAN_ASSETS_DOM">"c3135"</definedName>
    <definedName name="IQ_PENSION_INTAN_ASSETS_FOREIGN">"c3136"</definedName>
    <definedName name="IQ_PENSION_INTEREST_COST">"c3582"</definedName>
    <definedName name="IQ_PENSION_INTEREST_COST_DOM">"c3580"</definedName>
    <definedName name="IQ_PENSION_INTEREST_COST_FOREIGN">"c3581"</definedName>
    <definedName name="IQ_PENSION_LT_ASSETS">"c5750"</definedName>
    <definedName name="IQ_PENSION_LT_ASSETS_DOM">"c5748"</definedName>
    <definedName name="IQ_PENSION_LT_ASSETS_FOREIGN">"c5749"</definedName>
    <definedName name="IQ_PENSION_LT_LIAB">"c5756"</definedName>
    <definedName name="IQ_PENSION_LT_LIAB_DOM">"c5754"</definedName>
    <definedName name="IQ_PENSION_LT_LIAB_FOREIGN">"c5755"</definedName>
    <definedName name="IQ_PENSION_NET_ASSET_RECOG">"c3152"</definedName>
    <definedName name="IQ_PENSION_NET_ASSET_RECOG_DOM">"c3150"</definedName>
    <definedName name="IQ_PENSION_NET_ASSET_RECOG_FOREIGN">"c3151"</definedName>
    <definedName name="IQ_PENSION_OBLIGATION_ACQ">"c3206"</definedName>
    <definedName name="IQ_PENSION_OBLIGATION_ACQ_DOM">"c3204"</definedName>
    <definedName name="IQ_PENSION_OBLIGATION_ACQ_FOREIGN">"c3205"</definedName>
    <definedName name="IQ_PENSION_OBLIGATION_ACTUARIAL_GAIN_LOSS">"c3197"</definedName>
    <definedName name="IQ_PENSION_OBLIGATION_ACTUARIAL_GAIN_LOSS_DOM">"c3195"</definedName>
    <definedName name="IQ_PENSION_OBLIGATION_ACTUARIAL_GAIN_LOSS_FOREIGN">"c3196"</definedName>
    <definedName name="IQ_PENSION_OBLIGATION_BEG">"c3185"</definedName>
    <definedName name="IQ_PENSION_OBLIGATION_BEG_DOM">"c3183"</definedName>
    <definedName name="IQ_PENSION_OBLIGATION_BEG_FOREIGN">"c3184"</definedName>
    <definedName name="IQ_PENSION_OBLIGATION_CURTAIL">"c3209"</definedName>
    <definedName name="IQ_PENSION_OBLIGATION_CURTAIL_DOM">"c3207"</definedName>
    <definedName name="IQ_PENSION_OBLIGATION_CURTAIL_FOREIGN">"c3208"</definedName>
    <definedName name="IQ_PENSION_OBLIGATION_EMPLOYEE_CONTRIBUTIONS">"c3194"</definedName>
    <definedName name="IQ_PENSION_OBLIGATION_EMPLOYEE_CONTRIBUTIONS_DOM">"c3192"</definedName>
    <definedName name="IQ_PENSION_OBLIGATION_EMPLOYEE_CONTRIBUTIONS_FOREIGN">"c3193"</definedName>
    <definedName name="IQ_PENSION_OBLIGATION_FX_ADJ">"c3203"</definedName>
    <definedName name="IQ_PENSION_OBLIGATION_FX_ADJ_DOM">"c3201"</definedName>
    <definedName name="IQ_PENSION_OBLIGATION_FX_ADJ_FOREIGN">"c3202"</definedName>
    <definedName name="IQ_PENSION_OBLIGATION_INTEREST_COST">"c3191"</definedName>
    <definedName name="IQ_PENSION_OBLIGATION_INTEREST_COST_DOM">"c3189"</definedName>
    <definedName name="IQ_PENSION_OBLIGATION_INTEREST_COST_FOREIGN">"c3190"</definedName>
    <definedName name="IQ_PENSION_OBLIGATION_OTHER_COST">"c3555"</definedName>
    <definedName name="IQ_PENSION_OBLIGATION_OTHER_COST_DOM">"c3553"</definedName>
    <definedName name="IQ_PENSION_OBLIGATION_OTHER_COST_FOREIGN">"c3554"</definedName>
    <definedName name="IQ_PENSION_OBLIGATION_OTHER_PLAN_ADJ">"c3212"</definedName>
    <definedName name="IQ_PENSION_OBLIGATION_OTHER_PLAN_ADJ_DOM">"c3210"</definedName>
    <definedName name="IQ_PENSION_OBLIGATION_OTHER_PLAN_ADJ_FOREIGN">"c3211"</definedName>
    <definedName name="IQ_PENSION_OBLIGATION_PAID">"c3200"</definedName>
    <definedName name="IQ_PENSION_OBLIGATION_PAID_DOM">"c3198"</definedName>
    <definedName name="IQ_PENSION_OBLIGATION_PAID_FOREIGN">"c3199"</definedName>
    <definedName name="IQ_PENSION_OBLIGATION_PROJECTED">"c3215"</definedName>
    <definedName name="IQ_PENSION_OBLIGATION_PROJECTED_DOM">"c3213"</definedName>
    <definedName name="IQ_PENSION_OBLIGATION_PROJECTED_FOREIGN">"c3214"</definedName>
    <definedName name="IQ_PENSION_OBLIGATION_ROA">"c3552"</definedName>
    <definedName name="IQ_PENSION_OBLIGATION_ROA_DOM">"c3550"</definedName>
    <definedName name="IQ_PENSION_OBLIGATION_ROA_FOREIGN">"c3551"</definedName>
    <definedName name="IQ_PENSION_OBLIGATION_SERVICE_COST">"c3188"</definedName>
    <definedName name="IQ_PENSION_OBLIGATION_SERVICE_COST_DOM">"c3186"</definedName>
    <definedName name="IQ_PENSION_OBLIGATION_SERVICE_COST_FOREIGN">"c3187"</definedName>
    <definedName name="IQ_PENSION_OBLIGATION_TOTAL_COST">"c3558"</definedName>
    <definedName name="IQ_PENSION_OBLIGATION_TOTAL_COST_DOM">"c3556"</definedName>
    <definedName name="IQ_PENSION_OBLIGATION_TOTAL_COST_FOREIGN">"c3557"</definedName>
    <definedName name="IQ_PENSION_OTHER">"c3143"</definedName>
    <definedName name="IQ_PENSION_OTHER_ADJ">"c3149"</definedName>
    <definedName name="IQ_PENSION_OTHER_ADJ_DOM">"c3147"</definedName>
    <definedName name="IQ_PENSION_OTHER_ADJ_FOREIGN">"c3148"</definedName>
    <definedName name="IQ_PENSION_OTHER_DOM">"c3141"</definedName>
    <definedName name="IQ_PENSION_OTHER_FOREIGN">"c3142"</definedName>
    <definedName name="IQ_PENSION_PBO_ASSUMED_RATE_RET_MAX">"c3254"</definedName>
    <definedName name="IQ_PENSION_PBO_ASSUMED_RATE_RET_MAX_DOM">"c3252"</definedName>
    <definedName name="IQ_PENSION_PBO_ASSUMED_RATE_RET_MAX_FOREIGN">"c3253"</definedName>
    <definedName name="IQ_PENSION_PBO_ASSUMED_RATE_RET_MIN">"c3251"</definedName>
    <definedName name="IQ_PENSION_PBO_ASSUMED_RATE_RET_MIN_DOM">"c3249"</definedName>
    <definedName name="IQ_PENSION_PBO_ASSUMED_RATE_RET_MIN_FOREIGN">"c3250"</definedName>
    <definedName name="IQ_PENSION_PBO_RATE_COMP_INCREASE_MAX">"c3260"</definedName>
    <definedName name="IQ_PENSION_PBO_RATE_COMP_INCREASE_MAX_DOM">"c3258"</definedName>
    <definedName name="IQ_PENSION_PBO_RATE_COMP_INCREASE_MAX_FOREIGN">"c3259"</definedName>
    <definedName name="IQ_PENSION_PBO_RATE_COMP_INCREASE_MIN">"c3257"</definedName>
    <definedName name="IQ_PENSION_PBO_RATE_COMP_INCREASE_MIN_DOM">"c3255"</definedName>
    <definedName name="IQ_PENSION_PBO_RATE_COMP_INCREASE_MIN_FOREIGN">"c3256"</definedName>
    <definedName name="IQ_PENSION_PREPAID_COST">"c3131"</definedName>
    <definedName name="IQ_PENSION_PREPAID_COST_DOM">"c3129"</definedName>
    <definedName name="IQ_PENSION_PREPAID_COST_FOREIGN">"c3130"</definedName>
    <definedName name="IQ_PENSION_PRIOR_SERVICE_NEXT">"c5741"</definedName>
    <definedName name="IQ_PENSION_PRIOR_SERVICE_NEXT_DOM">"c5739"</definedName>
    <definedName name="IQ_PENSION_PRIOR_SERVICE_NEXT_FOREIGN">"c5740"</definedName>
    <definedName name="IQ_PENSION_PROJECTED_OBLIGATION">"c3566"</definedName>
    <definedName name="IQ_PENSION_PROJECTED_OBLIGATION_DOMESTIC">"c3564"</definedName>
    <definedName name="IQ_PENSION_PROJECTED_OBLIGATION_FOREIGN">"c3565"</definedName>
    <definedName name="IQ_PENSION_QUART_ADDL_CONTRIBUTIONS_EXP">"c3224"</definedName>
    <definedName name="IQ_PENSION_QUART_ADDL_CONTRIBUTIONS_EXP_DOM">"c3222"</definedName>
    <definedName name="IQ_PENSION_QUART_ADDL_CONTRIBUTIONS_EXP_FOREIGN">"c3223"</definedName>
    <definedName name="IQ_PENSION_QUART_EMPLOYER_CONTRIBUTIONS">"c3221"</definedName>
    <definedName name="IQ_PENSION_QUART_EMPLOYER_CONTRIBUTIONS_DOM">"c3219"</definedName>
    <definedName name="IQ_PENSION_QUART_EMPLOYER_CONTRIBUTIONS_FOREIGN">"c3220"</definedName>
    <definedName name="IQ_PENSION_RATE_COMP_GROWTH_DOMESTIC">"c3575"</definedName>
    <definedName name="IQ_PENSION_RATE_COMP_GROWTH_FOREIGN">"c3576"</definedName>
    <definedName name="IQ_PENSION_RATE_COMP_INCREASE_MAX">"c3242"</definedName>
    <definedName name="IQ_PENSION_RATE_COMP_INCREASE_MAX_DOM">"c3240"</definedName>
    <definedName name="IQ_PENSION_RATE_COMP_INCREASE_MAX_FOREIGN">"c3241"</definedName>
    <definedName name="IQ_PENSION_RATE_COMP_INCREASE_MIN">"c3239"</definedName>
    <definedName name="IQ_PENSION_RATE_COMP_INCREASE_MIN_DOM">"c3237"</definedName>
    <definedName name="IQ_PENSION_RATE_COMP_INCREASE_MIN_FOREIGN">"c3238"</definedName>
    <definedName name="IQ_PENSION_SERVICE_COST">"c3579"</definedName>
    <definedName name="IQ_PENSION_SERVICE_COST_DOM">"c3577"</definedName>
    <definedName name="IQ_PENSION_SERVICE_COST_FOREIGN">"c3578"</definedName>
    <definedName name="IQ_PENSION_TOTAL_ASSETS">"c3563"</definedName>
    <definedName name="IQ_PENSION_TOTAL_ASSETS_DOMESTIC">"c3561"</definedName>
    <definedName name="IQ_PENSION_TOTAL_ASSETS_FOREIGN">"c3562"</definedName>
    <definedName name="IQ_PENSION_TOTAL_EXP">"c3560"</definedName>
    <definedName name="IQ_PENSION_TRANSITION_NEXT">"c5744"</definedName>
    <definedName name="IQ_PENSION_TRANSITION_NEXT_DOM">"c5742"</definedName>
    <definedName name="IQ_PENSION_TRANSITION_NEXT_FOREIGN">"c5743"</definedName>
    <definedName name="IQ_PENSION_UNFUNDED_ADDL_MIN_LIAB">"c3227"</definedName>
    <definedName name="IQ_PENSION_UNFUNDED_ADDL_MIN_LIAB_DOM">"c3225"</definedName>
    <definedName name="IQ_PENSION_UNFUNDED_ADDL_MIN_LIAB_FOREIGN">"c3226"</definedName>
    <definedName name="IQ_PENSION_UNRECOG_PRIOR">"c3146"</definedName>
    <definedName name="IQ_PENSION_UNRECOG_PRIOR_DOM">"c3144"</definedName>
    <definedName name="IQ_PENSION_UNRECOG_PRIOR_FOREIGN">"c3145"</definedName>
    <definedName name="IQ_PENSION_UV_LIAB">"c3567"</definedName>
    <definedName name="IQ_PERCENT_CHANGE_EST_5YR_GROWTH_RATE_12MONTHS">"c1852"</definedName>
    <definedName name="IQ_PERCENT_CHANGE_EST_5YR_GROWTH_RATE_18MONTHS">"c1853"</definedName>
    <definedName name="IQ_PERCENT_CHANGE_EST_5YR_GROWTH_RATE_3MONTHS">"c1849"</definedName>
    <definedName name="IQ_PERCENT_CHANGE_EST_5YR_GROWTH_RATE_6MONTHS">"c1850"</definedName>
    <definedName name="IQ_PERCENT_CHANGE_EST_5YR_GROWTH_RATE_9MONTHS">"c1851"</definedName>
    <definedName name="IQ_PERCENT_CHANGE_EST_5YR_GROWTH_RATE_DAY">"c1846"</definedName>
    <definedName name="IQ_PERCENT_CHANGE_EST_5YR_GROWTH_RATE_MONTH">"c1848"</definedName>
    <definedName name="IQ_PERCENT_CHANGE_EST_5YR_GROWTH_RATE_WEEK">"c1847"</definedName>
    <definedName name="IQ_PERCENT_CHANGE_EST_CFPS_12MONTHS">"c1812"</definedName>
    <definedName name="IQ_PERCENT_CHANGE_EST_CFPS_18MONTHS">"c1813"</definedName>
    <definedName name="IQ_PERCENT_CHANGE_EST_CFPS_3MONTHS">"c1809"</definedName>
    <definedName name="IQ_PERCENT_CHANGE_EST_CFPS_6MONTHS">"c1810"</definedName>
    <definedName name="IQ_PERCENT_CHANGE_EST_CFPS_9MONTHS">"c1811"</definedName>
    <definedName name="IQ_PERCENT_CHANGE_EST_CFPS_DAY">"c1806"</definedName>
    <definedName name="IQ_PERCENT_CHANGE_EST_CFPS_MONTH">"c1808"</definedName>
    <definedName name="IQ_PERCENT_CHANGE_EST_CFPS_WEEK">"c1807"</definedName>
    <definedName name="IQ_PERCENT_CHANGE_EST_DPS_12MONTHS">"c1820"</definedName>
    <definedName name="IQ_PERCENT_CHANGE_EST_DPS_18MONTHS">"c1821"</definedName>
    <definedName name="IQ_PERCENT_CHANGE_EST_DPS_3MONTHS">"c1817"</definedName>
    <definedName name="IQ_PERCENT_CHANGE_EST_DPS_6MONTHS">"c1818"</definedName>
    <definedName name="IQ_PERCENT_CHANGE_EST_DPS_9MONTHS">"c1819"</definedName>
    <definedName name="IQ_PERCENT_CHANGE_EST_DPS_DAY">"c1814"</definedName>
    <definedName name="IQ_PERCENT_CHANGE_EST_DPS_MONTH">"c1816"</definedName>
    <definedName name="IQ_PERCENT_CHANGE_EST_DPS_WEEK">"c1815"</definedName>
    <definedName name="IQ_PERCENT_CHANGE_EST_EBITDA_12MONTHS">"c1804"</definedName>
    <definedName name="IQ_PERCENT_CHANGE_EST_EBITDA_18MONTHS">"c1805"</definedName>
    <definedName name="IQ_PERCENT_CHANGE_EST_EBITDA_3MONTHS">"c1801"</definedName>
    <definedName name="IQ_PERCENT_CHANGE_EST_EBITDA_6MONTHS">"c1802"</definedName>
    <definedName name="IQ_PERCENT_CHANGE_EST_EBITDA_9MONTHS">"c1803"</definedName>
    <definedName name="IQ_PERCENT_CHANGE_EST_EBITDA_DAY">"c1798"</definedName>
    <definedName name="IQ_PERCENT_CHANGE_EST_EBITDA_MONTH">"c1800"</definedName>
    <definedName name="IQ_PERCENT_CHANGE_EST_EBITDA_WEEK">"c1799"</definedName>
    <definedName name="IQ_PERCENT_CHANGE_EST_EPS_12MONTHS">"c1788"</definedName>
    <definedName name="IQ_PERCENT_CHANGE_EST_EPS_18MONTHS">"c1789"</definedName>
    <definedName name="IQ_PERCENT_CHANGE_EST_EPS_3MONTHS">"c1785"</definedName>
    <definedName name="IQ_PERCENT_CHANGE_EST_EPS_6MONTHS">"c1786"</definedName>
    <definedName name="IQ_PERCENT_CHANGE_EST_EPS_9MONTHS">"c1787"</definedName>
    <definedName name="IQ_PERCENT_CHANGE_EST_EPS_DAY">"c1782"</definedName>
    <definedName name="IQ_PERCENT_CHANGE_EST_EPS_MONTH">"c1784"</definedName>
    <definedName name="IQ_PERCENT_CHANGE_EST_EPS_WEEK">"c1783"</definedName>
    <definedName name="IQ_PERCENT_CHANGE_EST_FFO_12MONTHS">"c1828"</definedName>
    <definedName name="IQ_PERCENT_CHANGE_EST_FFO_18MONTHS">"c1829"</definedName>
    <definedName name="IQ_PERCENT_CHANGE_EST_FFO_3MONTHS">"c1825"</definedName>
    <definedName name="IQ_PERCENT_CHANGE_EST_FFO_6MONTHS">"c1826"</definedName>
    <definedName name="IQ_PERCENT_CHANGE_EST_FFO_9MONTHS">"c1827"</definedName>
    <definedName name="IQ_PERCENT_CHANGE_EST_FFO_DAY">"c1822"</definedName>
    <definedName name="IQ_PERCENT_CHANGE_EST_FFO_MONTH">"c1824"</definedName>
    <definedName name="IQ_PERCENT_CHANGE_EST_FFO_WEEK">"c1823"</definedName>
    <definedName name="IQ_PERCENT_CHANGE_EST_PRICE_TARGET_12MONTHS">"c1844"</definedName>
    <definedName name="IQ_PERCENT_CHANGE_EST_PRICE_TARGET_18MONTHS">"c1845"</definedName>
    <definedName name="IQ_PERCENT_CHANGE_EST_PRICE_TARGET_3MONTHS">"c1841"</definedName>
    <definedName name="IQ_PERCENT_CHANGE_EST_PRICE_TARGET_6MONTHS">"c1842"</definedName>
    <definedName name="IQ_PERCENT_CHANGE_EST_PRICE_TARGET_9MONTHS">"c1843"</definedName>
    <definedName name="IQ_PERCENT_CHANGE_EST_PRICE_TARGET_DAY">"c1838"</definedName>
    <definedName name="IQ_PERCENT_CHANGE_EST_PRICE_TARGET_MONTH">"c1840"</definedName>
    <definedName name="IQ_PERCENT_CHANGE_EST_PRICE_TARGET_WEEK">"c1839"</definedName>
    <definedName name="IQ_PERCENT_CHANGE_EST_RECO_12MONTHS">"c1836"</definedName>
    <definedName name="IQ_PERCENT_CHANGE_EST_RECO_18MONTHS">"c1837"</definedName>
    <definedName name="IQ_PERCENT_CHANGE_EST_RECO_3MONTHS">"c1833"</definedName>
    <definedName name="IQ_PERCENT_CHANGE_EST_RECO_6MONTHS">"c1834"</definedName>
    <definedName name="IQ_PERCENT_CHANGE_EST_RECO_9MONTHS">"c1835"</definedName>
    <definedName name="IQ_PERCENT_CHANGE_EST_RECO_DAY">"c1830"</definedName>
    <definedName name="IQ_PERCENT_CHANGE_EST_RECO_MONTH">"c1832"</definedName>
    <definedName name="IQ_PERCENT_CHANGE_EST_RECO_WEEK">"c1831"</definedName>
    <definedName name="IQ_PERCENT_CHANGE_EST_REV_12MONTHS">"c1796"</definedName>
    <definedName name="IQ_PERCENT_CHANGE_EST_REV_18MONTHS">"c1797"</definedName>
    <definedName name="IQ_PERCENT_CHANGE_EST_REV_3MONTHS">"c1793"</definedName>
    <definedName name="IQ_PERCENT_CHANGE_EST_REV_6MONTHS">"c1794"</definedName>
    <definedName name="IQ_PERCENT_CHANGE_EST_REV_9MONTHS">"c1795"</definedName>
    <definedName name="IQ_PERCENT_CHANGE_EST_REV_DAY">"c1790"</definedName>
    <definedName name="IQ_PERCENT_CHANGE_EST_REV_MONTH">"c1792"</definedName>
    <definedName name="IQ_PERCENT_CHANGE_EST_REV_WEEK">"c1791"</definedName>
    <definedName name="IQ_PERCENT_INSURED_FDIC">"c6374"</definedName>
    <definedName name="IQ_PERIODDATE">"c1414"</definedName>
    <definedName name="IQ_PERIODDATE_BS">"c1032"</definedName>
    <definedName name="IQ_PERIODDATE_CF">"c1033"</definedName>
    <definedName name="IQ_PERIODDATE_IS">"c1034"</definedName>
    <definedName name="IQ_PERIODLENGTH_CF">"c1502"</definedName>
    <definedName name="IQ_PERIODLENGTH_IS">"c1503"</definedName>
    <definedName name="IQ_PERTYPE">"c1611"</definedName>
    <definedName name="IQ_PLEDGED_SECURITIES_FDIC">"c6401"</definedName>
    <definedName name="IQ_PLL">"c2114"</definedName>
    <definedName name="IQ_PMT_FREQ">"c2236"</definedName>
    <definedName name="IQ_POISON_PUT_EFFECT_DATE">"c2486"</definedName>
    <definedName name="IQ_POISON_PUT_EXPIRATION_DATE">"c2487"</definedName>
    <definedName name="IQ_POISON_PUT_PRICE">"c2488"</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OTENTIAL_UPSIDE">"c1855"</definedName>
    <definedName name="IQ_PRE_OPEN_COST">"c1040"</definedName>
    <definedName name="IQ_PRE_TAX_ACT_OR_EST">"c2221"</definedName>
    <definedName name="IQ_PRE_TAX_INCOME_FDIC">"c6581"</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"c6261"</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"c6262"</definedName>
    <definedName name="IQ_PREF_OTHER_REIT">"c1058"</definedName>
    <definedName name="IQ_PREF_OTHER_UTI">"C6022"</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"c6263"</definedName>
    <definedName name="IQ_PREF_REP_REIT">"c1065"</definedName>
    <definedName name="IQ_PREF_REP_UTI">"c1066"</definedName>
    <definedName name="IQ_PREF_STOCK">"c1416"</definedName>
    <definedName name="IQ_PREF_TOT">"c1415"</definedName>
    <definedName name="IQ_PREFERRED_FDIC">"c6349"</definedName>
    <definedName name="IQ_PREMISES_EQUIPMENT_FDIC">"c6577"</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ETAX_GW_INC_EST">"c1702"</definedName>
    <definedName name="IQ_PRETAX_GW_INC_HIGH_EST">"c1704"</definedName>
    <definedName name="IQ_PRETAX_GW_INC_LOW_EST">"c1705"</definedName>
    <definedName name="IQ_PRETAX_GW_INC_MEDIAN_EST">"c1703"</definedName>
    <definedName name="IQ_PRETAX_GW_INC_NUM_EST">"c1706"</definedName>
    <definedName name="IQ_PRETAX_GW_INC_STDDEV_EST">"c1707"</definedName>
    <definedName name="IQ_PRETAX_INC_EST">"c1695"</definedName>
    <definedName name="IQ_PRETAX_INC_HIGH_EST">"c1697"</definedName>
    <definedName name="IQ_PRETAX_INC_LOW_EST">"c1698"</definedName>
    <definedName name="IQ_PRETAX_INC_MEDIAN_EST">"c1696"</definedName>
    <definedName name="IQ_PRETAX_INC_NUM_EST">"c1699"</definedName>
    <definedName name="IQ_PRETAX_INC_STDDEV_EST">"c1700"</definedName>
    <definedName name="IQ_PRETAX_REPORT_INC_EST">"c1709"</definedName>
    <definedName name="IQ_PRETAX_REPORT_INC_HIGH_EST">"c1711"</definedName>
    <definedName name="IQ_PRETAX_REPORT_INC_LOW_EST">"c1712"</definedName>
    <definedName name="IQ_PRETAX_REPORT_INC_MEDIAN_EST">"c1710"</definedName>
    <definedName name="IQ_PRETAX_REPORT_INC_NUM_EST">"c1713"</definedName>
    <definedName name="IQ_PRETAX_REPORT_INC_STDDEV_EST">"c1714"</definedName>
    <definedName name="IQ_PRETAX_RETURN_ASSETS_FDIC">"c6731"</definedName>
    <definedName name="IQ_PRICE_CFPS_FWD">"c2237"</definedName>
    <definedName name="IQ_PRICE_OVER_BVPS">"c1412"</definedName>
    <definedName name="IQ_PRICE_OVER_LTM_EPS">"c1413"</definedName>
    <definedName name="IQ_PRICE_TARGET">"c82"</definedName>
    <definedName name="IQ_PRICE_TARGET_REUT">"c3631"</definedName>
    <definedName name="IQ_PRICEDATE">"c1069"</definedName>
    <definedName name="IQ_PRICING_DATE">"c1613"</definedName>
    <definedName name="IQ_PRIMARY_INDUSTRY">"c1070"</definedName>
    <definedName name="IQ_PRINCIPAL_AMT">"c2157"</definedName>
    <definedName name="IQ_PRIVATELY_ISSUED_MORTGAGE_BACKED_SECURITIES_FDIC">"c6407"</definedName>
    <definedName name="IQ_PRIVATELY_ISSUED_MORTGAGE_PASS_THROUGHS_FDIC">"c6405"</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JECTED_PENSION_OBLIGATION">"c1292"</definedName>
    <definedName name="IQ_PROJECTED_PENSION_OBLIGATION_DOMESTIC">"c2656"</definedName>
    <definedName name="IQ_PROJECTED_PENSION_OBLIGATION_FOREIGN">"c2664"</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CAGR">"c6135"</definedName>
    <definedName name="IQ_PROVISION_10YR_ANN_GROWTH">"c1077"</definedName>
    <definedName name="IQ_PROVISION_1YR_ANN_GROWTH">"c1078"</definedName>
    <definedName name="IQ_PROVISION_2YR_ANN_CAGR">"c6136"</definedName>
    <definedName name="IQ_PROVISION_2YR_ANN_GROWTH">"c1079"</definedName>
    <definedName name="IQ_PROVISION_3YR_ANN_CAGR">"c6137"</definedName>
    <definedName name="IQ_PROVISION_3YR_ANN_GROWTH">"c1080"</definedName>
    <definedName name="IQ_PROVISION_5YR_ANN_CAGR">"c6138"</definedName>
    <definedName name="IQ_PROVISION_5YR_ANN_GROWTH">"c1081"</definedName>
    <definedName name="IQ_PROVISION_7YR_ANN_CAGR">"c6139"</definedName>
    <definedName name="IQ_PROVISION_7YR_ANN_GROWTH">"c1082"</definedName>
    <definedName name="IQ_PROVISION_CHARGE_OFFS">"c1083"</definedName>
    <definedName name="IQ_PTBV">"c1084"</definedName>
    <definedName name="IQ_PTBV_AVG">"c1085"</definedName>
    <definedName name="IQ_PURCHASE_FOREIGN_CURRENCIES_FDIC">"c6513"</definedName>
    <definedName name="IQ_PURCHASED_OPTION_CONTRACTS_FDIC">"c6510"</definedName>
    <definedName name="IQ_PURCHASED_OPTION_CONTRACTS_FX_RISK_FDIC">"c6515"</definedName>
    <definedName name="IQ_PURCHASED_OPTION_CONTRACTS_NON_FX_IR_FDIC">"c6520"</definedName>
    <definedName name="IQ_PUT_DATE_SCHEDULE">"c2483"</definedName>
    <definedName name="IQ_PUT_NOTIFICATION">"c2485"</definedName>
    <definedName name="IQ_PUT_PRICE_SCHEDULE">"c2484"</definedName>
    <definedName name="IQ_QTD">750000</definedName>
    <definedName name="IQ_QUICK_RATIO">"c1086"</definedName>
    <definedName name="IQ_RATE_COMP_GROWTH_DOMESTIC">"c1087"</definedName>
    <definedName name="IQ_RATE_COMP_GROWTH_FOREIGN">"c1088"</definedName>
    <definedName name="IQ_RAW_INV">"c1089"</definedName>
    <definedName name="IQ_RC">"c2497"</definedName>
    <definedName name="IQ_RC_PCT">"c2498"</definedName>
    <definedName name="IQ_RD_EXP">"c1090"</definedName>
    <definedName name="IQ_RD_EXP_FN">"c1091"</definedName>
    <definedName name="IQ_RE">"c1092"</definedName>
    <definedName name="IQ_RE_FORECLOSURE_FDIC">"c6332"</definedName>
    <definedName name="IQ_RE_INVEST_FDIC">"c6331"</definedName>
    <definedName name="IQ_RE_LOANS_DOMESTIC_CHARGE_OFFS_FDIC">"c6589"</definedName>
    <definedName name="IQ_RE_LOANS_DOMESTIC_FDIC">"c6309"</definedName>
    <definedName name="IQ_RE_LOANS_DOMESTIC_NET_CHARGE_OFFS_FDIC">"c6627"</definedName>
    <definedName name="IQ_RE_LOANS_DOMESTIC_RECOVERIES_FDIC">"c6608"</definedName>
    <definedName name="IQ_RE_LOANS_FDIC">"c6308"</definedName>
    <definedName name="IQ_RE_LOANS_FOREIGN_CHARGE_OFFS_FDIC">"c6595"</definedName>
    <definedName name="IQ_RE_LOANS_FOREIGN_NET_CHARGE_OFFS_FDIC">"c6633"</definedName>
    <definedName name="IQ_RE_LOANS_FOREIGN_RECOVERIES_FDIC">"c6614"</definedName>
    <definedName name="IQ_REAL_ESTATE">"c1093"</definedName>
    <definedName name="IQ_REAL_ESTATE_ASSETS">"c1094"</definedName>
    <definedName name="IQ_RECOVERIES_1_4_FAMILY_LOANS_FDIC">"c6707"</definedName>
    <definedName name="IQ_RECOVERIES_AUTO_LOANS_FDIC">"c6701"</definedName>
    <definedName name="IQ_RECOVERIES_CL_LOANS_FDIC">"c6702"</definedName>
    <definedName name="IQ_RECOVERIES_CREDIT_CARDS_RECEIVABLES_FDIC">"c6704"</definedName>
    <definedName name="IQ_RECOVERIES_HOME_EQUITY_LINES_FDIC">"c6705"</definedName>
    <definedName name="IQ_RECOVERIES_OTHER_CONSUMER_LOANS_FDIC">"c6703"</definedName>
    <definedName name="IQ_RECOVERIES_OTHER_LOANS_FDIC">"c6706"</definedName>
    <definedName name="IQ_RECURRING_PROFIT_ACT_OR_EST">"c4507"</definedName>
    <definedName name="IQ_RECURRING_PROFIT_SHARE_ACT_OR_EST">"c4508"</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LATED_PLANS_FDIC">"c6320"</definedName>
    <definedName name="IQ_RENTAL_REV">"c1101"</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ATEMENTS_NET_FDIC">"c6500"</definedName>
    <definedName name="IQ_RESTR_STOCK_COMP">"c3506"</definedName>
    <definedName name="IQ_RESTR_STOCK_COMP_PRETAX">"c3504"</definedName>
    <definedName name="IQ_RESTR_STOCK_COMP_TAX">"c3505"</definedName>
    <definedName name="IQ_RESTRICTED_CASH">"c1103"</definedName>
    <definedName name="IQ_RESTRICTED_CASH_NON_CURRENT">"c6192"</definedName>
    <definedName name="IQ_RESTRICTED_CASH_TOTAL">"c6193"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"c6264"</definedName>
    <definedName name="IQ_RESTRUCTURE_REIT">"c1110"</definedName>
    <definedName name="IQ_RESTRUCTURE_UTI">"c1111"</definedName>
    <definedName name="IQ_RESTRUCTURED_LOANS">"c1112"</definedName>
    <definedName name="IQ_RESTRUCTURED_LOANS_1_4_RESIDENTIAL_FDIC">"c6378"</definedName>
    <definedName name="IQ_RESTRUCTURED_LOANS_LEASES_FDIC">"c6377"</definedName>
    <definedName name="IQ_RESTRUCTURED_LOANS_NON_1_4_FDIC">"c6379"</definedName>
    <definedName name="IQ_RETAIL_ACQUIRED_FRANCHISE_STORES">"c2895"</definedName>
    <definedName name="IQ_RETAIL_ACQUIRED_OWNED_STORES">"c2903"</definedName>
    <definedName name="IQ_RETAIL_ACQUIRED_STORES">"c2887"</definedName>
    <definedName name="IQ_RETAIL_AVG_STORE_SIZE_GROSS">"c2066"</definedName>
    <definedName name="IQ_RETAIL_AVG_STORE_SIZE_NET">"c2067"</definedName>
    <definedName name="IQ_RETAIL_AVG_WK_SALES">"c2891"</definedName>
    <definedName name="IQ_RETAIL_AVG_WK_SALES_FRANCHISE">"c2899"</definedName>
    <definedName name="IQ_RETAIL_AVG_WK_SALES_OWNED">"c2907"</definedName>
    <definedName name="IQ_RETAIL_CLOSED_FRANCHISE_STORES">"c2896"</definedName>
    <definedName name="IQ_RETAIL_CLOSED_OWNED_STORES">"c2904"</definedName>
    <definedName name="IQ_RETAIL_CLOSED_STORES">"c2063"</definedName>
    <definedName name="IQ_RETAIL_DEPOSITS_FDIC">"c6488"</definedName>
    <definedName name="IQ_RETAIL_FRANCHISE_STORES_BEG">"c2893"</definedName>
    <definedName name="IQ_RETAIL_OPENED_FRANCHISE_STORES">"c2894"</definedName>
    <definedName name="IQ_RETAIL_OPENED_OWNED_STORES">"c2902"</definedName>
    <definedName name="IQ_RETAIL_OPENED_STORES">"c2062"</definedName>
    <definedName name="IQ_RETAIL_OWNED_STORES_BEG">"c2901"</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OLD_FRANCHISE_STORES">"c2897"</definedName>
    <definedName name="IQ_RETAIL_SOLD_OWNED_STORES">"c2905"</definedName>
    <definedName name="IQ_RETAIL_SOLD_STORES">"c2889"</definedName>
    <definedName name="IQ_RETAIL_SQ_FOOTAGE">"c2064"</definedName>
    <definedName name="IQ_RETAIL_STORE_SELLING_AREA">"c2065"</definedName>
    <definedName name="IQ_RETAIL_STORES_BEG">"c2885"</definedName>
    <definedName name="IQ_RETAIL_TOTAL_FRANCHISE_STORES">"c2898"</definedName>
    <definedName name="IQ_RETAIL_TOTAL_OWNED_STORES">"c2906"</definedName>
    <definedName name="IQ_RETAIL_TOTAL_STORES">"c2061"</definedName>
    <definedName name="IQ_RETAINED_EARN">"c1420"</definedName>
    <definedName name="IQ_RETAINED_EARNINGS_AVERAGE_EQUITY_FDIC">"c6733"</definedName>
    <definedName name="IQ_RETURN_ASSETS">"c1113"</definedName>
    <definedName name="IQ_RETURN_ASSETS_BANK">"c1114"</definedName>
    <definedName name="IQ_RETURN_ASSETS_BROK">"c1115"</definedName>
    <definedName name="IQ_RETURN_ASSETS_FDIC">"c6730"</definedName>
    <definedName name="IQ_RETURN_ASSETS_FS">"c1116"</definedName>
    <definedName name="IQ_RETURN_CAPITAL">"c1117"</definedName>
    <definedName name="IQ_RETURN_EQUITY">"c1118"</definedName>
    <definedName name="IQ_RETURN_EQUITY_BANK">"c1119"</definedName>
    <definedName name="IQ_RETURN_EQUITY_BROK">"c1120"</definedName>
    <definedName name="IQ_RETURN_EQUITY_FDIC">"c6732"</definedName>
    <definedName name="IQ_RETURN_EQUITY_FS">"c1121"</definedName>
    <definedName name="IQ_RETURN_INVESTMENT">"c1421"</definedName>
    <definedName name="IQ_REV">"c1122"</definedName>
    <definedName name="IQ_REV_BEFORE_LL">"c1123"</definedName>
    <definedName name="IQ_REV_STDDEV_EST">"c1124"</definedName>
    <definedName name="IQ_REV_STDDEV_EST_REUT">"c3639"</definedName>
    <definedName name="IQ_REV_UTI">"c1125"</definedName>
    <definedName name="IQ_REVALUATION_GAINS_FDIC">"c6428"</definedName>
    <definedName name="IQ_REVALUATION_LOSSES_FDIC">"c6429"</definedName>
    <definedName name="IQ_REVENUE">"c1422"</definedName>
    <definedName name="IQ_REVENUE_ACT_OR_EST">"c2214"</definedName>
    <definedName name="IQ_REVENUE_EST">"c1126"</definedName>
    <definedName name="IQ_REVENUE_EST_REUT">"c3634"</definedName>
    <definedName name="IQ_REVENUE_HIGH_EST">"c1127"</definedName>
    <definedName name="IQ_REVENUE_HIGH_EST_REUT">"c3636"</definedName>
    <definedName name="IQ_REVENUE_LOW_EST">"c1128"</definedName>
    <definedName name="IQ_REVENUE_LOW_EST_REUT">"c3637"</definedName>
    <definedName name="IQ_REVENUE_MEDIAN_EST">"c1662"</definedName>
    <definedName name="IQ_REVENUE_MEDIAN_EST_REUT">"c3635"</definedName>
    <definedName name="IQ_REVENUE_NUM_EST">"c1129"</definedName>
    <definedName name="IQ_REVENUE_NUM_EST_REUT">"c3638"</definedName>
    <definedName name="IQ_REVISION_DATE_">39721.5929976852</definedName>
    <definedName name="IQ_RISK_ADJ_BANK_ASSETS">"c2670"</definedName>
    <definedName name="IQ_RISK_WEIGHTED_ASSETS_FDIC">"c6370"</definedName>
    <definedName name="IQ_SALARY">"c1130"</definedName>
    <definedName name="IQ_SALARY_FDIC">"c6576"</definedName>
    <definedName name="IQ_SALE_CONVERSION_RETIREMENT_STOCK_FDIC">"c6661"</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"c6284"</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ME_STORE_FRANCHISE">"c2900"</definedName>
    <definedName name="IQ_SAME_STORE_OWNED">"c2908"</definedName>
    <definedName name="IQ_SAME_STORE_TOTAL">"c2892"</definedName>
    <definedName name="IQ_SAVING_DEP">"c1150"</definedName>
    <definedName name="IQ_SEC_PURCHASED_RESELL">"c5513"</definedName>
    <definedName name="IQ_SECUR_RECEIV">"c1151"</definedName>
    <definedName name="IQ_SECURED_1_4_FAMILY_RESIDENTIAL_CHARGE_OFFS_FDIC">"c6590"</definedName>
    <definedName name="IQ_SECURED_1_4_FAMILY_RESIDENTIAL_NET_CHARGE_OFFS_FDIC">"c6628"</definedName>
    <definedName name="IQ_SECURED_1_4_FAMILY_RESIDENTIAL_RECOVERIES_FDIC">"c6609"</definedName>
    <definedName name="IQ_SECURED_DEBT">"c2546"</definedName>
    <definedName name="IQ_SECURED_DEBT_PCT">"c2547"</definedName>
    <definedName name="IQ_SECURED_FARMLAND_CHARGE_OFFS_FDIC">"c6593"</definedName>
    <definedName name="IQ_SECURED_FARMLAND_NET_CHARGE_OFFS_FDIC">"c6631"</definedName>
    <definedName name="IQ_SECURED_FARMLAND_RECOVERIES_FDIC">"c6612"</definedName>
    <definedName name="IQ_SECURED_MULTIFAMILY_RESIDENTIAL_CHARGE_OFFS_FDIC">"c6591"</definedName>
    <definedName name="IQ_SECURED_MULTIFAMILY_RESIDENTIAL_NET_CHARGE_OFFS_FDIC">"c6629"</definedName>
    <definedName name="IQ_SECURED_MULTIFAMILY_RESIDENTIAL_RECOVERIES_FDIC">"c6610"</definedName>
    <definedName name="IQ_SECURED_NONFARM_NONRESIDENTIAL_CHARGE_OFFS_FDIC">"c6592"</definedName>
    <definedName name="IQ_SECURED_NONFARM_NONRESIDENTIAL_NET_CHARGE_OFFS_FDIC">"c6630"</definedName>
    <definedName name="IQ_SECURED_NONFARM_NONRESIDENTIAL_RECOVERIES_FDIC">"c6611"</definedName>
    <definedName name="IQ_SECURITIES_GAINS_FDIC">"c6584"</definedName>
    <definedName name="IQ_SECURITIES_ISSUED_STATES_FDIC">"c6300"</definedName>
    <definedName name="IQ_SECURITIES_LENT_FDIC">"c6532"</definedName>
    <definedName name="IQ_SECURITIES_UNDERWRITING_FDIC">"c6529"</definedName>
    <definedName name="IQ_SECURITY_BORROW">"c1152"</definedName>
    <definedName name="IQ_SECURITY_LEVEL">"c2159"</definedName>
    <definedName name="IQ_SECURITY_NOTES">"c2202"</definedName>
    <definedName name="IQ_SECURITY_OWN">"c1153"</definedName>
    <definedName name="IQ_SECURITY_RESELL">"c1154"</definedName>
    <definedName name="IQ_SECURITY_TYPE">"c2158"</definedName>
    <definedName name="IQ_SEPARATE_ACCT_ASSETS">"c1155"</definedName>
    <definedName name="IQ_SEPARATE_ACCT_LIAB">"c1156"</definedName>
    <definedName name="IQ_SERV_CHARGE_DEPOSITS">"c1157"</definedName>
    <definedName name="IQ_SERVICE_CHARGES_FDIC">"c6572"</definedName>
    <definedName name="IQ_SGA">"c1158"</definedName>
    <definedName name="IQ_SGA_BNK">"c1159"</definedName>
    <definedName name="IQ_SGA_INS">"c1160"</definedName>
    <definedName name="IQ_SGA_MARGIN">"c1898"</definedName>
    <definedName name="IQ_SGA_RE">"c6265"</definedName>
    <definedName name="IQ_SGA_REIT">"c1161"</definedName>
    <definedName name="IQ_SGA_SUPPL">"c1162"</definedName>
    <definedName name="IQ_SGA_UTI">"c1163"</definedName>
    <definedName name="IQ_SHAREOUTSTANDING">"c1347"</definedName>
    <definedName name="IQ_SHARES_PURCHASED_AVERAGE_PRICE">"c5821"</definedName>
    <definedName name="IQ_SHARES_PURCHASED_QUARTER">"c5820"</definedName>
    <definedName name="IQ_SHARESOUTSTANDING">"c1164"</definedName>
    <definedName name="IQ_SHORT_INTEREST">"c1165"</definedName>
    <definedName name="IQ_SHORT_INTEREST_OVER_FLOAT">"c1577"</definedName>
    <definedName name="IQ_SHORT_INTEREST_PERCENT">"c1576"</definedName>
    <definedName name="IQ_SHORT_TERM_INVEST">"c1425"</definedName>
    <definedName name="IQ_SMALL_INT_BEAR_CD">"c1166"</definedName>
    <definedName name="IQ_SOFTWARE">"c1167"</definedName>
    <definedName name="IQ_SOURCE">"c1168"</definedName>
    <definedName name="IQ_SP">"c2171"</definedName>
    <definedName name="IQ_SP_DATE">"c2172"</definedName>
    <definedName name="IQ_SP_REASON">"c2174"</definedName>
    <definedName name="IQ_SP_STATUS">"c2173"</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"c6266"</definedName>
    <definedName name="IQ_SPECIAL_DIV_CF_REIT">"c1174"</definedName>
    <definedName name="IQ_SPECIAL_DIV_CF_UTI">"c1175"</definedName>
    <definedName name="IQ_SPECIAL_DIV_SHARE">"c3007"</definedName>
    <definedName name="IQ_SR_BONDS_NOTES">"c2501"</definedName>
    <definedName name="IQ_SR_BONDS_NOTES_PCT">"c2502"</definedName>
    <definedName name="IQ_SR_DEBT">"c2526"</definedName>
    <definedName name="IQ_SR_DEBT_EBITDA">"c2552"</definedName>
    <definedName name="IQ_SR_DEBT_EBITDA_CAPEX">"c2553"</definedName>
    <definedName name="IQ_SR_DEBT_PCT">"c2527"</definedName>
    <definedName name="IQ_SR_SUB_DEBT">"c2530"</definedName>
    <definedName name="IQ_SR_SUB_DEBT_EBITDA">"c2556"</definedName>
    <definedName name="IQ_SR_SUB_DEBT_EBITDA_CAPEX">"c2557"</definedName>
    <definedName name="IQ_SR_SUB_DEBT_PCT">"c2531"</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"c6267"</definedName>
    <definedName name="IQ_ST_DEBT_ISSUED_REIT">"c1186"</definedName>
    <definedName name="IQ_ST_DEBT_ISSUED_UTI">"c1187"</definedName>
    <definedName name="IQ_ST_DEBT_PCT">"c2539"</definedName>
    <definedName name="IQ_ST_DEBT_RE">"c6268"</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"c6269"</definedName>
    <definedName name="IQ_ST_DEBT_REPAID_REIT">"c1194"</definedName>
    <definedName name="IQ_ST_DEBT_REPAID_UTI">"c1195"</definedName>
    <definedName name="IQ_ST_DEBT_UTI">"c1196"</definedName>
    <definedName name="IQ_ST_FHLB_DEBT">"c5658"</definedName>
    <definedName name="IQ_ST_INVEST">"c1197"</definedName>
    <definedName name="IQ_ST_INVEST_UTI">"c1198"</definedName>
    <definedName name="IQ_ST_NOTE_RECEIV">"c1199"</definedName>
    <definedName name="IQ_STATE">"c1200"</definedName>
    <definedName name="IQ_STATES_NONTRANSACTION_ACCOUNTS_FDIC">"c6547"</definedName>
    <definedName name="IQ_STATES_TOTAL_DEPOSITS_FDIC">"c6473"</definedName>
    <definedName name="IQ_STATES_TRANSACTION_ACCOUNTS_FDIC">"c6539"</definedName>
    <definedName name="IQ_STATUTORY_SURPLUS">"c1201"</definedName>
    <definedName name="IQ_STOCK_BASED">"c1202"</definedName>
    <definedName name="IQ_STOCK_BASED_AT">"c2999"</definedName>
    <definedName name="IQ_STOCK_BASED_CF">"c1203"</definedName>
    <definedName name="IQ_STOCK_BASED_COGS">"c2990"</definedName>
    <definedName name="IQ_STOCK_BASED_COMP">"c3512"</definedName>
    <definedName name="IQ_STOCK_BASED_COMP_PRETAX">"c3510"</definedName>
    <definedName name="IQ_STOCK_BASED_COMP_TAX">"c3511"</definedName>
    <definedName name="IQ_STOCK_BASED_GA">"c2993"</definedName>
    <definedName name="IQ_STOCK_BASED_OTHER">"c2995"</definedName>
    <definedName name="IQ_STOCK_BASED_RD">"c2991"</definedName>
    <definedName name="IQ_STOCK_BASED_SGA">"c2994"</definedName>
    <definedName name="IQ_STOCK_BASED_SM">"c2992"</definedName>
    <definedName name="IQ_STOCK_BASED_TOTAL">"c3040"</definedName>
    <definedName name="IQ_STOCK_OPTIONS_COMP">"c3509"</definedName>
    <definedName name="IQ_STOCK_OPTIONS_COMP_PRETAX">"c3507"</definedName>
    <definedName name="IQ_STOCK_OPTIONS_COMP_TAX">"c3508"</definedName>
    <definedName name="IQ_STRATEGY_NOTE">"c6791"</definedName>
    <definedName name="IQ_STRIKE_PRICE_ISSUED">"c1645"</definedName>
    <definedName name="IQ_STRIKE_PRICE_OS">"c1646"</definedName>
    <definedName name="IQ_STW">"c2166"</definedName>
    <definedName name="IQ_SUB_BONDS_NOTES">"c2503"</definedName>
    <definedName name="IQ_SUB_BONDS_NOTES_PCT">"c2504"</definedName>
    <definedName name="IQ_SUB_DEBT">"c2532"</definedName>
    <definedName name="IQ_SUB_DEBT_EBITDA">"c2558"</definedName>
    <definedName name="IQ_SUB_DEBT_EBITDA_CAPEX">"c2559"</definedName>
    <definedName name="IQ_SUB_DEBT_FDIC">"c6346"</definedName>
    <definedName name="IQ_SUB_DEBT_PCT">"c2533"</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URPLUS_FDIC">"c6351"</definedName>
    <definedName name="IQ_SVA">"c1214"</definedName>
    <definedName name="IQ_TARGET_PRICE_NUM">"c1653"</definedName>
    <definedName name="IQ_TARGET_PRICE_NUM_REUT">"c5319"</definedName>
    <definedName name="IQ_TARGET_PRICE_STDDEV">"c1654"</definedName>
    <definedName name="IQ_TARGET_PRICE_STDDEV_REUT">"c5320"</definedName>
    <definedName name="IQ_TAX_BENEFIT_CF_1YR">"c3483"</definedName>
    <definedName name="IQ_TAX_BENEFIT_CF_2YR">"c3484"</definedName>
    <definedName name="IQ_TAX_BENEFIT_CF_3YR">"c3485"</definedName>
    <definedName name="IQ_TAX_BENEFIT_CF_4YR">"c3486"</definedName>
    <definedName name="IQ_TAX_BENEFIT_CF_5YR">"c3487"</definedName>
    <definedName name="IQ_TAX_BENEFIT_CF_AFTER_FIVE">"c3488"</definedName>
    <definedName name="IQ_TAX_BENEFIT_CF_MAX_YEAR">"c3491"</definedName>
    <definedName name="IQ_TAX_BENEFIT_CF_NO_EXP">"c3489"</definedName>
    <definedName name="IQ_TAX_BENEFIT_CF_TOTAL">"c3490"</definedName>
    <definedName name="IQ_TAX_BENEFIT_OPTIONS">"c1215"</definedName>
    <definedName name="IQ_TAX_EQUIV_NET_INT_INC">"c1216"</definedName>
    <definedName name="IQ_TBV">"c1906"</definedName>
    <definedName name="IQ_TBV_10YR_ANN_CAGR">"c6169"</definedName>
    <definedName name="IQ_TBV_10YR_ANN_GROWTH">"c1936"</definedName>
    <definedName name="IQ_TBV_1YR_ANN_GROWTH">"c1931"</definedName>
    <definedName name="IQ_TBV_2YR_ANN_CAGR">"c6165"</definedName>
    <definedName name="IQ_TBV_2YR_ANN_GROWTH">"c1932"</definedName>
    <definedName name="IQ_TBV_3YR_ANN_CAGR">"c6166"</definedName>
    <definedName name="IQ_TBV_3YR_ANN_GROWTH">"c1933"</definedName>
    <definedName name="IQ_TBV_5YR_ANN_CAGR">"c6167"</definedName>
    <definedName name="IQ_TBV_5YR_ANN_GROWTH">"c1934"</definedName>
    <definedName name="IQ_TBV_7YR_ANN_CAGR">"c6168"</definedName>
    <definedName name="IQ_TBV_7YR_ANN_GROWTH">"c1935"</definedName>
    <definedName name="IQ_TBV_SHARE">"c1217"</definedName>
    <definedName name="IQ_TEMPLATE">"c1521"</definedName>
    <definedName name="IQ_TENANT">"c1218"</definedName>
    <definedName name="IQ_TERM_LOANS">"c2499"</definedName>
    <definedName name="IQ_TERM_LOANS_PCT">"c2500"</definedName>
    <definedName name="IQ_TEV">"c1219"</definedName>
    <definedName name="IQ_TEV_EBIT">"c1220"</definedName>
    <definedName name="IQ_TEV_EBIT_AVG">"c1221"</definedName>
    <definedName name="IQ_TEV_EBIT_FWD">"c2238"</definedName>
    <definedName name="IQ_TEV_EBITDA">"c1222"</definedName>
    <definedName name="IQ_TEV_EBITDA_AVG">"c1223"</definedName>
    <definedName name="IQ_TEV_EBITDA_FWD">"c1224"</definedName>
    <definedName name="IQ_TEV_EBITDA_FWD_REUT">"c4050"</definedName>
    <definedName name="IQ_TEV_EMPLOYEE_AVG">"c1225"</definedName>
    <definedName name="IQ_TEV_TOTAL_REV">"c1226"</definedName>
    <definedName name="IQ_TEV_TOTAL_REV_AVG">"c1227"</definedName>
    <definedName name="IQ_TEV_TOTAL_REV_FWD">"c1228"</definedName>
    <definedName name="IQ_TEV_TOTAL_REV_FWD_REUT">"c4051"</definedName>
    <definedName name="IQ_TEV_UFCF">"c2208"</definedName>
    <definedName name="IQ_THREE_MONTHS_FIXED_AND_FLOATING_FDIC">"c6419"</definedName>
    <definedName name="IQ_THREE_MONTHS_MORTGAGE_PASS_THROUGHS_FDIC">"c6411"</definedName>
    <definedName name="IQ_THREE_YEAR_FIXED_AND_FLOATING_RATE_FDIC">"c6421"</definedName>
    <definedName name="IQ_THREE_YEAR_MORTGAGE_PASS_THROUGHS_FDIC">"c6413"</definedName>
    <definedName name="IQ_THREE_YEARS_LESS_FDIC">"c6417"</definedName>
    <definedName name="IQ_TIER_1_RISK_BASED_CAPITAL_RATIO_FDIC">"c6746"</definedName>
    <definedName name="IQ_TIER_ONE_CAPITAL">"c2667"</definedName>
    <definedName name="IQ_TIER_ONE_FDIC">"c6369"</definedName>
    <definedName name="IQ_TIER_ONE_RATIO">"c1229"</definedName>
    <definedName name="IQ_TIER_TWO_CAPITAL">"c2669"</definedName>
    <definedName name="IQ_TIME_DEP">"c1230"</definedName>
    <definedName name="IQ_TIME_DEPOSITS_LESS_THAN_100K_FDIC">"c6465"</definedName>
    <definedName name="IQ_TIME_DEPOSITS_MORE_THAN_100K_FDIC">"c6470"</definedName>
    <definedName name="IQ_TODAY">0</definedName>
    <definedName name="IQ_TOT_ADJ_INC">"c1616"</definedName>
    <definedName name="IQ_TOTAL_AR_BR">"c1231"</definedName>
    <definedName name="IQ_TOTAL_AR_RE">"c6270"</definedName>
    <definedName name="IQ_TOTAL_AR_REIT">"c1232"</definedName>
    <definedName name="IQ_TOTAL_AR_UTI">"c1233"</definedName>
    <definedName name="IQ_TOTAL_ASSETS">"c1234"</definedName>
    <definedName name="IQ_TOTAL_ASSETS_10YR_ANN_CAGR">"c6140"</definedName>
    <definedName name="IQ_TOTAL_ASSETS_10YR_ANN_GROWTH">"c1235"</definedName>
    <definedName name="IQ_TOTAL_ASSETS_1YR_ANN_GROWTH">"c1236"</definedName>
    <definedName name="IQ_TOTAL_ASSETS_2YR_ANN_CAGR">"c6141"</definedName>
    <definedName name="IQ_TOTAL_ASSETS_2YR_ANN_GROWTH">"c1237"</definedName>
    <definedName name="IQ_TOTAL_ASSETS_3YR_ANN_CAGR">"c6142"</definedName>
    <definedName name="IQ_TOTAL_ASSETS_3YR_ANN_GROWTH">"c1238"</definedName>
    <definedName name="IQ_TOTAL_ASSETS_5YR_ANN_CAGR">"c6143"</definedName>
    <definedName name="IQ_TOTAL_ASSETS_5YR_ANN_GROWTH">"c1239"</definedName>
    <definedName name="IQ_TOTAL_ASSETS_7YR_ANN_CAGR">"c6144"</definedName>
    <definedName name="IQ_TOTAL_ASSETS_7YR_ANN_GROWTH">"c1240"</definedName>
    <definedName name="IQ_TOTAL_ASSETS_FDIC">"c6339"</definedName>
    <definedName name="IQ_TOTAL_AVG_CE_TOTAL_AVG_ASSETS">"c1241"</definedName>
    <definedName name="IQ_TOTAL_AVG_EQUITY_TOTAL_AVG_ASSETS">"c1242"</definedName>
    <definedName name="IQ_TOTAL_BANK_CAPITAL">"c2668"</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ARGE_OFFS_FDIC">"c6603"</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EBITDA">"c1249"</definedName>
    <definedName name="IQ_TOTAL_DEBT_EBITDA_CAPEX">"c2948"</definedName>
    <definedName name="IQ_TOTAL_DEBT_EQUITY">"c1250"</definedName>
    <definedName name="IQ_TOTAL_DEBT_EXCL_FIN">"c2937"</definedName>
    <definedName name="IQ_TOTAL_DEBT_ISSUED">"c1251"</definedName>
    <definedName name="IQ_TOTAL_DEBT_ISSUED_BNK">"c1252"</definedName>
    <definedName name="IQ_TOTAL_DEBT_ISSUED_BR">"c1253"</definedName>
    <definedName name="IQ_TOTAL_DEBT_ISSUED_FIN">"c1254"</definedName>
    <definedName name="IQ_TOTAL_DEBT_ISSUED_RE">"c6271"</definedName>
    <definedName name="IQ_TOTAL_DEBT_ISSUED_REIT">"c1255"</definedName>
    <definedName name="IQ_TOTAL_DEBT_ISSUED_UTI">"c1256"</definedName>
    <definedName name="IQ_TOTAL_DEBT_ISSUES_INS">"c1257"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"c6272"</definedName>
    <definedName name="IQ_TOTAL_DEBT_REPAID_REIT">"c1263"</definedName>
    <definedName name="IQ_TOTAL_DEBT_REPAID_UTI">"c1264"</definedName>
    <definedName name="IQ_TOTAL_DEBT_SECURITIES_FDIC">"c6410"</definedName>
    <definedName name="IQ_TOTAL_DEPOSITS">"c1265"</definedName>
    <definedName name="IQ_TOTAL_DEPOSITS_FDIC">"c6342"</definedName>
    <definedName name="IQ_TOTAL_DIV_PAID_CF">"c1266"</definedName>
    <definedName name="IQ_TOTAL_EMPLOYEE">"c2141"</definedName>
    <definedName name="IQ_TOTAL_EMPLOYEES">"c1522"</definedName>
    <definedName name="IQ_TOTAL_EMPLOYEES_FDIC">"c6355"</definedName>
    <definedName name="IQ_TOTAL_EQUITY">"c1267"</definedName>
    <definedName name="IQ_TOTAL_EQUITY_10YR_ANN_CAGR">"c6145"</definedName>
    <definedName name="IQ_TOTAL_EQUITY_10YR_ANN_GROWTH">"c1268"</definedName>
    <definedName name="IQ_TOTAL_EQUITY_1YR_ANN_GROWTH">"c1269"</definedName>
    <definedName name="IQ_TOTAL_EQUITY_2YR_ANN_CAGR">"c6146"</definedName>
    <definedName name="IQ_TOTAL_EQUITY_2YR_ANN_GROWTH">"c1270"</definedName>
    <definedName name="IQ_TOTAL_EQUITY_3YR_ANN_CAGR">"c6147"</definedName>
    <definedName name="IQ_TOTAL_EQUITY_3YR_ANN_GROWTH">"c1271"</definedName>
    <definedName name="IQ_TOTAL_EQUITY_5YR_ANN_CAGR">"c6148"</definedName>
    <definedName name="IQ_TOTAL_EQUITY_5YR_ANN_GROWTH">"c1272"</definedName>
    <definedName name="IQ_TOTAL_EQUITY_7YR_ANN_CAGR">"c6149"</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EQUITY_FDIC">"c6354"</definedName>
    <definedName name="IQ_TOTAL_LIAB_FIN">"c1280"</definedName>
    <definedName name="IQ_TOTAL_LIAB_INS">"c1281"</definedName>
    <definedName name="IQ_TOTAL_LIAB_RE">"c6273"</definedName>
    <definedName name="IQ_TOTAL_LIAB_REIT">"c1282"</definedName>
    <definedName name="IQ_TOTAL_LIAB_SHAREHOLD">"c1435"</definedName>
    <definedName name="IQ_TOTAL_LIAB_TOTAL_ASSETS">"c1283"</definedName>
    <definedName name="IQ_TOTAL_LIABILITIES_FDIC">"c6348"</definedName>
    <definedName name="IQ_TOTAL_LOANS">"c5653"</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"c6274"</definedName>
    <definedName name="IQ_TOTAL_OPER_EXP_REIT">"c1287"</definedName>
    <definedName name="IQ_TOTAL_OPER_EXP_UTI">"c1288"</definedName>
    <definedName name="IQ_TOTAL_OPER_EXPEN">"c1445"</definedName>
    <definedName name="IQ_TOTAL_OPTIONS_BEG_OS">"c2693"</definedName>
    <definedName name="IQ_TOTAL_OPTIONS_CANCELLED">"c2696"</definedName>
    <definedName name="IQ_TOTAL_OPTIONS_END_OS">"c2697"</definedName>
    <definedName name="IQ_TOTAL_OPTIONS_EXERCISABLE_END_OS">"c5819"</definedName>
    <definedName name="IQ_TOTAL_OPTIONS_EXERCISED">"c2695"</definedName>
    <definedName name="IQ_TOTAL_OPTIONS_GRANTED">"c2694"</definedName>
    <definedName name="IQ_TOTAL_OTHER_OPER">"c1289"</definedName>
    <definedName name="IQ_TOTAL_OUTSTANDING_BS_DATE">"c1022"</definedName>
    <definedName name="IQ_TOTAL_OUTSTANDING_FILING_DATE">"c2107"</definedName>
    <definedName name="IQ_TOTAL_PENSION_ASSETS">"c1290"</definedName>
    <definedName name="IQ_TOTAL_PENSION_ASSETS_DOMESTIC">"c2658"</definedName>
    <definedName name="IQ_TOTAL_PENSION_ASSETS_FOREIGN">"c2666"</definedName>
    <definedName name="IQ_TOTAL_PENSION_EXP">"c1291"</definedName>
    <definedName name="IQ_TOTAL_PENSION_OBLIGATION">"c1292"</definedName>
    <definedName name="IQ_TOTAL_PRINCIPAL">"c2509"</definedName>
    <definedName name="IQ_TOTAL_PRINCIPAL_PCT">"c2510"</definedName>
    <definedName name="IQ_TOTAL_PROVED_RESERVES_NGL">"c2924"</definedName>
    <definedName name="IQ_TOTAL_PROVED_RESERVES_OIL">"c2040"</definedName>
    <definedName name="IQ_TOTAL_RECEIV">"c1293"</definedName>
    <definedName name="IQ_TOTAL_RECOVERIES_FDIC">"c6622"</definedName>
    <definedName name="IQ_TOTAL_REV">"c1294"</definedName>
    <definedName name="IQ_TOTAL_REV_10YR_ANN_CAGR">"c6150"</definedName>
    <definedName name="IQ_TOTAL_REV_10YR_ANN_GROWTH">"c1295"</definedName>
    <definedName name="IQ_TOTAL_REV_1YR_ANN_GROWTH">"c1296"</definedName>
    <definedName name="IQ_TOTAL_REV_2YR_ANN_CAGR">"c6151"</definedName>
    <definedName name="IQ_TOTAL_REV_2YR_ANN_GROWTH">"c1297"</definedName>
    <definedName name="IQ_TOTAL_REV_3YR_ANN_CAGR">"c6152"</definedName>
    <definedName name="IQ_TOTAL_REV_3YR_ANN_GROWTH">"c1298"</definedName>
    <definedName name="IQ_TOTAL_REV_5YR_ANN_CAGR">"c6153"</definedName>
    <definedName name="IQ_TOTAL_REV_5YR_ANN_GROWTH">"c1299"</definedName>
    <definedName name="IQ_TOTAL_REV_7YR_ANN_CAGR">"c6154"</definedName>
    <definedName name="IQ_TOTAL_REV_7YR_ANN_GROWTH">"c1300"</definedName>
    <definedName name="IQ_TOTAL_REV_AS_REPORTED">"c1301"</definedName>
    <definedName name="IQ_TOTAL_REV_BNK">"c1302"</definedName>
    <definedName name="IQ_TOTAL_REV_BNK_FDIC">"c6786"</definedName>
    <definedName name="IQ_TOTAL_REV_BR">"c1303"</definedName>
    <definedName name="IQ_TOTAL_REV_EMPLOYEE">"c1304"</definedName>
    <definedName name="IQ_TOTAL_REV_FIN">"c1305"</definedName>
    <definedName name="IQ_TOTAL_REV_INS">"c1306"</definedName>
    <definedName name="IQ_TOTAL_REV_RE">"c6275"</definedName>
    <definedName name="IQ_TOTAL_REV_REIT">"c1307"</definedName>
    <definedName name="IQ_TOTAL_REV_SHARE">"c1912"</definedName>
    <definedName name="IQ_TOTAL_REV_UTI">"c1308"</definedName>
    <definedName name="IQ_TOTAL_REVENUE">"c1436"</definedName>
    <definedName name="IQ_TOTAL_RISK_BASED_CAPITAL_RATIO_FDIC">"c6747"</definedName>
    <definedName name="IQ_TOTAL_SECURITIES_FDIC">"c6306"</definedName>
    <definedName name="IQ_TOTAL_SPECIAL">"c1618"</definedName>
    <definedName name="IQ_TOTAL_ST_BORROW">"c1424"</definedName>
    <definedName name="IQ_TOTAL_SUB_DEBT">"c2528"</definedName>
    <definedName name="IQ_TOTAL_SUB_DEBT_EBITDA">"c2554"</definedName>
    <definedName name="IQ_TOTAL_SUB_DEBT_EBITDA_CAPEX">"c2555"</definedName>
    <definedName name="IQ_TOTAL_SUB_DEBT_PCT">"c2529"</definedName>
    <definedName name="IQ_TOTAL_SUBS">"c2119"</definedName>
    <definedName name="IQ_TOTAL_TIME_DEPOSITS_FDIC">"c6497"</definedName>
    <definedName name="IQ_TOTAL_TIME_SAVINGS_DEPOSITS_FDIC">"c6498"</definedName>
    <definedName name="IQ_TOTAL_UNUSED_COMMITMENTS_FDIC">"c6536"</definedName>
    <definedName name="IQ_TOTAL_UNUSUAL">"c1508"</definedName>
    <definedName name="IQ_TOTAL_UNUSUAL_BNK">"c5516"</definedName>
    <definedName name="IQ_TOTAL_UNUSUAL_BR">"c5517"</definedName>
    <definedName name="IQ_TOTAL_UNUSUAL_FIN">"c5518"</definedName>
    <definedName name="IQ_TOTAL_UNUSUAL_INS">"c5519"</definedName>
    <definedName name="IQ_TOTAL_UNUSUAL_RE">"c6286"</definedName>
    <definedName name="IQ_TOTAL_UNUSUAL_REIT">"c5520"</definedName>
    <definedName name="IQ_TOTAL_UNUSUAL_UTI">"c5521"</definedName>
    <definedName name="IQ_TOTAL_WARRANTS_BEG_OS">"c2719"</definedName>
    <definedName name="IQ_TOTAL_WARRANTS_CANCELLED">"c2722"</definedName>
    <definedName name="IQ_TOTAL_WARRANTS_END_OS">"c2723"</definedName>
    <definedName name="IQ_TOTAL_WARRANTS_EXERCISED">"c2721"</definedName>
    <definedName name="IQ_TOTAL_WARRANTS_ISSUED">"c2720"</definedName>
    <definedName name="IQ_TR_ACCT_METHOD">"c2363"</definedName>
    <definedName name="IQ_TR_ACQ_52_WK_HI_PCT">"c2348"</definedName>
    <definedName name="IQ_TR_ACQ_52_WK_LOW_PCT">"c2347"</definedName>
    <definedName name="IQ_TR_ACQ_CASH_ST_INVEST">"c2372"</definedName>
    <definedName name="IQ_TR_ACQ_CLOSEPRICE_1D">"c3027"</definedName>
    <definedName name="IQ_TR_ACQ_DILUT_EPS_EXCL">"c3028"</definedName>
    <definedName name="IQ_TR_ACQ_EARNING_CO">"c2379"</definedName>
    <definedName name="IQ_TR_ACQ_EBIT">"c2380"</definedName>
    <definedName name="IQ_TR_ACQ_EBIT_EQ_INC">"c3611"</definedName>
    <definedName name="IQ_TR_ACQ_EBITDA">"c2381"</definedName>
    <definedName name="IQ_TR_ACQ_EBITDA_EQ_INC">"c3610"</definedName>
    <definedName name="IQ_TR_ACQ_FILING_CURRENCY">"c3033"</definedName>
    <definedName name="IQ_TR_ACQ_FILINGDATE">"c3607"</definedName>
    <definedName name="IQ_TR_ACQ_MCAP_1DAY">"c2345"</definedName>
    <definedName name="IQ_TR_ACQ_MIN_INT">"c2374"</definedName>
    <definedName name="IQ_TR_ACQ_NET_DEBT">"c2373"</definedName>
    <definedName name="IQ_TR_ACQ_NI">"c2378"</definedName>
    <definedName name="IQ_TR_ACQ_PERIODDATE">"c3606"</definedName>
    <definedName name="IQ_TR_ACQ_PRICEDATE_1D">"c2346"</definedName>
    <definedName name="IQ_TR_ACQ_RETURN">"c2349"</definedName>
    <definedName name="IQ_TR_ACQ_STOCKYEARHIGH_1D">"c2343"</definedName>
    <definedName name="IQ_TR_ACQ_STOCKYEARLOW_1D">"c2344"</definedName>
    <definedName name="IQ_TR_ACQ_TOTAL_ASSETS">"c2371"</definedName>
    <definedName name="IQ_TR_ACQ_TOTAL_COMMON_EQ">"c2377"</definedName>
    <definedName name="IQ_TR_ACQ_TOTAL_DEBT">"c2376"</definedName>
    <definedName name="IQ_TR_ACQ_TOTAL_PREF">"c2375"</definedName>
    <definedName name="IQ_TR_ACQ_TOTAL_REV">"c2382"</definedName>
    <definedName name="IQ_TR_ADJ_SIZE">"c3024"</definedName>
    <definedName name="IQ_TR_ANN_DATE">"c2395"</definedName>
    <definedName name="IQ_TR_ANN_DATE_BL">"c2394"</definedName>
    <definedName name="IQ_TR_BID_DATE">"c2357"</definedName>
    <definedName name="IQ_TR_BLUESKY_FEES">"c2277"</definedName>
    <definedName name="IQ_TR_BUY_ACC_ADVISORS">"c3048"</definedName>
    <definedName name="IQ_TR_BUY_FIN_ADVISORS">"c3045"</definedName>
    <definedName name="IQ_TR_BUY_LEG_ADVISORS">"c2387"</definedName>
    <definedName name="IQ_TR_BUYER_ID">"c2404"</definedName>
    <definedName name="IQ_TR_BUYERNAME">"c2401"</definedName>
    <definedName name="IQ_TR_CANCELLED_DATE">"c2284"</definedName>
    <definedName name="IQ_TR_CASH_CONSID_PCT">"c2296"</definedName>
    <definedName name="IQ_TR_CASH_ST_INVEST">"c3025"</definedName>
    <definedName name="IQ_TR_CHANGE_CONTROL">"c2365"</definedName>
    <definedName name="IQ_TR_CLOSED_DATE">"c2283"</definedName>
    <definedName name="IQ_TR_CO_NET_PROCEEDS">"c2268"</definedName>
    <definedName name="IQ_TR_CO_NET_PROCEEDS_PCT">"c2270"</definedName>
    <definedName name="IQ_TR_COMMENTS">"c2383"</definedName>
    <definedName name="IQ_TR_CURRENCY">"c3016"</definedName>
    <definedName name="IQ_TR_DEAL_ATTITUDE">"c2364"</definedName>
    <definedName name="IQ_TR_DEAL_CONDITIONS">"c2367"</definedName>
    <definedName name="IQ_TR_DEAL_RESOLUTION">"c2391"</definedName>
    <definedName name="IQ_TR_DEAL_RESPONSES">"c2366"</definedName>
    <definedName name="IQ_TR_DEBT_CONSID_PCT">"c2299"</definedName>
    <definedName name="IQ_TR_DEF_AGRMT_DATE">"c2285"</definedName>
    <definedName name="IQ_TR_DISCLOSED_FEES_EXP">"c2288"</definedName>
    <definedName name="IQ_TR_EARNOUTS">"c3023"</definedName>
    <definedName name="IQ_TR_EXPIRED_DATE">"c2412"</definedName>
    <definedName name="IQ_TR_GROSS_OFFERING_AMT">"c2262"</definedName>
    <definedName name="IQ_TR_HYBRID_CONSID_PCT">"c2300"</definedName>
    <definedName name="IQ_TR_IMPLIED_EQ">"c3018"</definedName>
    <definedName name="IQ_TR_IMPLIED_EQ_BV">"c3019"</definedName>
    <definedName name="IQ_TR_IMPLIED_EQ_NI_LTM">"c3020"</definedName>
    <definedName name="IQ_TR_IMPLIED_EV">"c2301"</definedName>
    <definedName name="IQ_TR_IMPLIED_EV_BV">"c2306"</definedName>
    <definedName name="IQ_TR_IMPLIED_EV_EBIT">"c2302"</definedName>
    <definedName name="IQ_TR_IMPLIED_EV_EBITDA">"c2303"</definedName>
    <definedName name="IQ_TR_IMPLIED_EV_NI_LTM">"c2307"</definedName>
    <definedName name="IQ_TR_IMPLIED_EV_REV">"c2304"</definedName>
    <definedName name="IQ_TR_INIT_FILED_DATE">"c3495"</definedName>
    <definedName name="IQ_TR_LOI_DATE">"c2282"</definedName>
    <definedName name="IQ_TR_MAJ_MIN_STAKE">"c2389"</definedName>
    <definedName name="IQ_TR_NEGOTIATED_BUYBACK_PRICE">"c2414"</definedName>
    <definedName name="IQ_TR_NET_ASSUM_LIABILITIES">"c2308"</definedName>
    <definedName name="IQ_TR_NET_PROCEEDS">"c2267"</definedName>
    <definedName name="IQ_TR_OFFER_DATE">"c2265"</definedName>
    <definedName name="IQ_TR_OFFER_DATE_MA">"c3035"</definedName>
    <definedName name="IQ_TR_OFFER_PER_SHARE">"c3017"</definedName>
    <definedName name="IQ_TR_OPTIONS_CONSID_PCT">"c2311"</definedName>
    <definedName name="IQ_TR_OTHER_CONSID">"c3022"</definedName>
    <definedName name="IQ_TR_PCT_SOUGHT">"c2309"</definedName>
    <definedName name="IQ_TR_PFEATURES">"c2384"</definedName>
    <definedName name="IQ_TR_PIPE_CONV_PRICE_SHARE">"c2292"</definedName>
    <definedName name="IQ_TR_PIPE_CPN_PCT">"c2291"</definedName>
    <definedName name="IQ_TR_PIPE_NUMBER_SHARES">"c2293"</definedName>
    <definedName name="IQ_TR_PIPE_PPS">"c2290"</definedName>
    <definedName name="IQ_TR_POSTMONEY_VAL">"c2286"</definedName>
    <definedName name="IQ_TR_PREDEAL_SITUATION">"c2390"</definedName>
    <definedName name="IQ_TR_PREF_CONSID_PCT">"c2310"</definedName>
    <definedName name="IQ_TR_PREMONEY_VAL">"c2287"</definedName>
    <definedName name="IQ_TR_PRINTING_FEES">"c2276"</definedName>
    <definedName name="IQ_TR_PT_MONETARY_VALUES">"c2415"</definedName>
    <definedName name="IQ_TR_PT_NUMBER_SHARES">"c2417"</definedName>
    <definedName name="IQ_TR_PT_PCT_SHARES">"c2416"</definedName>
    <definedName name="IQ_TR_RATING_FEES">"c2275"</definedName>
    <definedName name="IQ_TR_REG_EFFECT_DATE">"c2264"</definedName>
    <definedName name="IQ_TR_REG_FILED_DATE">"c2263"</definedName>
    <definedName name="IQ_TR_RENEWAL_BUYBACK">"c2413"</definedName>
    <definedName name="IQ_TR_ROUND_NUMBER">"c2295"</definedName>
    <definedName name="IQ_TR_SEC_FEES">"c2274"</definedName>
    <definedName name="IQ_TR_SECURITY_TYPE_REG">"c2279"</definedName>
    <definedName name="IQ_TR_SELL_ACC_ADVISORS">"c3049"</definedName>
    <definedName name="IQ_TR_SELL_FIN_ADVISORS">"c3046"</definedName>
    <definedName name="IQ_TR_SELL_LEG_ADVISORS">"c2388"</definedName>
    <definedName name="IQ_TR_SELLER_ID">"c2406"</definedName>
    <definedName name="IQ_TR_SELLERNAME">"c2402"</definedName>
    <definedName name="IQ_TR_SFEATURES">"c2385"</definedName>
    <definedName name="IQ_TR_SH_NET_PROCEEDS">"c2269"</definedName>
    <definedName name="IQ_TR_SH_NET_PROCEEDS_PCT">"c2271"</definedName>
    <definedName name="IQ_TR_SPECIAL_COMMITTEE">"c2362"</definedName>
    <definedName name="IQ_TR_STATUS">"c2399"</definedName>
    <definedName name="IQ_TR_STOCK_CONSID_PCT">"c2312"</definedName>
    <definedName name="IQ_TR_SUSPENDED_DATE">"c2407"</definedName>
    <definedName name="IQ_TR_TARGET_52WKHI_PCT">"c2351"</definedName>
    <definedName name="IQ_TR_TARGET_52WKLOW_PCT">"c2350"</definedName>
    <definedName name="IQ_TR_TARGET_ACC_ADVISORS">"c3047"</definedName>
    <definedName name="IQ_TR_TARGET_CASH_ST_INVEST">"c2327"</definedName>
    <definedName name="IQ_TR_TARGET_CLOSEPRICE_1D">"c2352"</definedName>
    <definedName name="IQ_TR_TARGET_CLOSEPRICE_1M">"c2354"</definedName>
    <definedName name="IQ_TR_TARGET_CLOSEPRICE_1W">"c2353"</definedName>
    <definedName name="IQ_TR_TARGET_DILUT_EPS_EXCL">"c2324"</definedName>
    <definedName name="IQ_TR_TARGET_EARNING_CO">"c2332"</definedName>
    <definedName name="IQ_TR_TARGET_EBIT">"c2333"</definedName>
    <definedName name="IQ_TR_TARGET_EBIT_EQ_INC">"c3609"</definedName>
    <definedName name="IQ_TR_TARGET_EBITDA">"c2334"</definedName>
    <definedName name="IQ_TR_TARGET_EBITDA_EQ_INC">"c3608"</definedName>
    <definedName name="IQ_TR_TARGET_FILING_CURRENCY">"c3034"</definedName>
    <definedName name="IQ_TR_TARGET_FILINGDATE">"c3605"</definedName>
    <definedName name="IQ_TR_TARGET_FIN_ADVISORS">"c3044"</definedName>
    <definedName name="IQ_TR_TARGET_ID">"c2405"</definedName>
    <definedName name="IQ_TR_TARGET_LEG_ADVISORS">"c2386"</definedName>
    <definedName name="IQ_TR_TARGET_MARKETCAP">"c2342"</definedName>
    <definedName name="IQ_TR_TARGET_MIN_INT">"c2328"</definedName>
    <definedName name="IQ_TR_TARGET_NET_DEBT">"c2326"</definedName>
    <definedName name="IQ_TR_TARGET_NI">"c2331"</definedName>
    <definedName name="IQ_TR_TARGET_PERIODDATE">"c3604"</definedName>
    <definedName name="IQ_TR_TARGET_PRICEDATE_1D">"c2341"</definedName>
    <definedName name="IQ_TR_TARGET_RETURN">"c2355"</definedName>
    <definedName name="IQ_TR_TARGET_SEC_DETAIL">"c3021"</definedName>
    <definedName name="IQ_TR_TARGET_SEC_TI_ID">"c2368"</definedName>
    <definedName name="IQ_TR_TARGET_SEC_TYPE">"c2369"</definedName>
    <definedName name="IQ_TR_TARGET_SPD">"c2313"</definedName>
    <definedName name="IQ_TR_TARGET_SPD_PCT">"c2314"</definedName>
    <definedName name="IQ_TR_TARGET_STOCKPREMIUM_1D">"c2336"</definedName>
    <definedName name="IQ_TR_TARGET_STOCKPREMIUM_1M">"c2337"</definedName>
    <definedName name="IQ_TR_TARGET_STOCKPREMIUM_1W">"c2338"</definedName>
    <definedName name="IQ_TR_TARGET_STOCKYEARHIGH_1D">"c2339"</definedName>
    <definedName name="IQ_TR_TARGET_STOCKYEARLOW_1D">"c2340"</definedName>
    <definedName name="IQ_TR_TARGET_TOTAL_ASSETS">"c2325"</definedName>
    <definedName name="IQ_TR_TARGET_TOTAL_COMMON_EQ">"c2421"</definedName>
    <definedName name="IQ_TR_TARGET_TOTAL_DEBT">"c2330"</definedName>
    <definedName name="IQ_TR_TARGET_TOTAL_PREF">"c2329"</definedName>
    <definedName name="IQ_TR_TARGET_TOTAL_REV">"c2335"</definedName>
    <definedName name="IQ_TR_TARGETNAME">"c2403"</definedName>
    <definedName name="IQ_TR_TERM_FEE">"c2298"</definedName>
    <definedName name="IQ_TR_TERM_FEE_PCT">"c2297"</definedName>
    <definedName name="IQ_TR_TODATE">"c3036"</definedName>
    <definedName name="IQ_TR_TODATE_MONETARY_VALUE">"c2418"</definedName>
    <definedName name="IQ_TR_TODATE_NUMBER_SHARES">"c2420"</definedName>
    <definedName name="IQ_TR_TODATE_PCT_SHARES">"c2419"</definedName>
    <definedName name="IQ_TR_TOTAL_ACCT_FEES">"c2273"</definedName>
    <definedName name="IQ_TR_TOTAL_CASH">"c2315"</definedName>
    <definedName name="IQ_TR_TOTAL_CONSID_SH">"c2316"</definedName>
    <definedName name="IQ_TR_TOTAL_DEBT">"c2317"</definedName>
    <definedName name="IQ_TR_TOTAL_GROSS_TV">"c2318"</definedName>
    <definedName name="IQ_TR_TOTAL_HYBRID">"c2319"</definedName>
    <definedName name="IQ_TR_TOTAL_LEGAL_FEES">"c2272"</definedName>
    <definedName name="IQ_TR_TOTAL_NET_TV">"c2320"</definedName>
    <definedName name="IQ_TR_TOTAL_NEWMONEY">"c2289"</definedName>
    <definedName name="IQ_TR_TOTAL_OPTIONS">"c2322"</definedName>
    <definedName name="IQ_TR_TOTAL_OPTIONS_BUYER">"c3026"</definedName>
    <definedName name="IQ_TR_TOTAL_PREFERRED">"c2321"</definedName>
    <definedName name="IQ_TR_TOTAL_REG_AMT">"c2261"</definedName>
    <definedName name="IQ_TR_TOTAL_STOCK">"c2323"</definedName>
    <definedName name="IQ_TR_TOTAL_TAKEDOWNS">"c2278"</definedName>
    <definedName name="IQ_TR_TOTAL_UW_COMP">"c2280"</definedName>
    <definedName name="IQ_TR_TOTALVALUE">"c2400"</definedName>
    <definedName name="IQ_TR_TRANSACTION_TYPE">"c2398"</definedName>
    <definedName name="IQ_TR_WITHDRAWN_DTE">"c2266"</definedName>
    <definedName name="IQ_TRADE_AR">"c1345"</definedName>
    <definedName name="IQ_TRADE_PRINCIPAL">"c1309"</definedName>
    <definedName name="IQ_TRADING_ACCOUNT_GAINS_FEES_FDIC">"c6573"</definedName>
    <definedName name="IQ_TRADING_ASSETS">"c1310"</definedName>
    <definedName name="IQ_TRADING_ASSETS_FDIC">"c6328"</definedName>
    <definedName name="IQ_TRADING_CURRENCY">"c2212"</definedName>
    <definedName name="IQ_TRADING_LIABILITIES_FDIC">"c6344"</definedName>
    <definedName name="IQ_TRANSACTION_ACCOUNTS_FDIC">"c6544"</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"c6276"</definedName>
    <definedName name="IQ_TREASURY_OTHER_EQUITY_REIT">"c1317"</definedName>
    <definedName name="IQ_TREASURY_OTHER_EQUITY_UTI">"c1318"</definedName>
    <definedName name="IQ_TREASURY_STOCK">"c1438"</definedName>
    <definedName name="IQ_TREASURY_STOCK_TRANSACTIONS_FDIC">"c6501"</definedName>
    <definedName name="IQ_TRUST_INC">"c1319"</definedName>
    <definedName name="IQ_TRUST_PREF">"c1320"</definedName>
    <definedName name="IQ_TRUST_PREFERRED">"c3029"</definedName>
    <definedName name="IQ_TRUST_PREFERRED_PCT">"c3030"</definedName>
    <definedName name="IQ_TWELVE_MONTHS_FIXED_AND_FLOATING_FDIC">"c6420"</definedName>
    <definedName name="IQ_TWELVE_MONTHS_MORTGAGE_PASS_THROUGHS_FDIC">"c6412"</definedName>
    <definedName name="IQ_UFCF_10YR_ANN_CAGR">"c6179"</definedName>
    <definedName name="IQ_UFCF_10YR_ANN_GROWTH">"c1948"</definedName>
    <definedName name="IQ_UFCF_1YR_ANN_GROWTH">"c1943"</definedName>
    <definedName name="IQ_UFCF_2YR_ANN_CAGR">"c6175"</definedName>
    <definedName name="IQ_UFCF_2YR_ANN_GROWTH">"c1944"</definedName>
    <definedName name="IQ_UFCF_3YR_ANN_CAGR">"c6176"</definedName>
    <definedName name="IQ_UFCF_3YR_ANN_GROWTH">"c1945"</definedName>
    <definedName name="IQ_UFCF_5YR_ANN_CAGR">"c6177"</definedName>
    <definedName name="IQ_UFCF_5YR_ANN_GROWTH">"c1946"</definedName>
    <definedName name="IQ_UFCF_7YR_ANN_CAGR">"c6178"</definedName>
    <definedName name="IQ_UFCF_7YR_ANN_GROWTH">"c1947"</definedName>
    <definedName name="IQ_UFCF_MARGIN">"c1962"</definedName>
    <definedName name="IQ_ULT_PARENT">"c3037"</definedName>
    <definedName name="IQ_ULT_PARENT_CIQID">"c3039"</definedName>
    <definedName name="IQ_ULT_PARENT_TICKER">"c3038"</definedName>
    <definedName name="IQ_UNAMORT_DISC">"c2513"</definedName>
    <definedName name="IQ_UNAMORT_DISC_PCT">"c2514"</definedName>
    <definedName name="IQ_UNAMORT_PREMIUM">"c2511"</definedName>
    <definedName name="IQ_UNAMORT_PREMIUM_PCT">"c2512"</definedName>
    <definedName name="IQ_UNDIVIDED_PROFITS_FDIC">"c6352"</definedName>
    <definedName name="IQ_UNDRAWN_CP">"c2518"</definedName>
    <definedName name="IQ_UNDRAWN_CREDIT">"c3032"</definedName>
    <definedName name="IQ_UNDRAWN_RC">"c2517"</definedName>
    <definedName name="IQ_UNDRAWN_TL">"c2519"</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"c6277"</definedName>
    <definedName name="IQ_UNEARN_REV_CURRENT_REIT">"c1327"</definedName>
    <definedName name="IQ_UNEARN_REV_CURRENT_UTI">"c1328"</definedName>
    <definedName name="IQ_UNEARN_REV_LT">"c1329"</definedName>
    <definedName name="IQ_UNEARNED_INCOME_FDIC">"c6324"</definedName>
    <definedName name="IQ_UNEARNED_INCOME_FOREIGN_FDIC">"c6385"</definedName>
    <definedName name="IQ_UNLEVERED_FCF">"c1908"</definedName>
    <definedName name="IQ_UNPAID_CLAIMS">"c1330"</definedName>
    <definedName name="IQ_UNPROFITABLE_INSTITUTIONS_FDIC">"c6722"</definedName>
    <definedName name="IQ_UNREALIZED_GAIN">"c1619"</definedName>
    <definedName name="IQ_UNSECURED_DEBT">"c2548"</definedName>
    <definedName name="IQ_UNSECURED_DEBT_PCT">"c2549"</definedName>
    <definedName name="IQ_UNUSED_LOAN_COMMITMENTS_FDIC">"c6368"</definedName>
    <definedName name="IQ_UNUSUAL_EXP">"c1456"</definedName>
    <definedName name="IQ_US_BRANCHES_FOREIGN_BANK_LOANS_FDIC">"c6435"</definedName>
    <definedName name="IQ_US_BRANCHES_FOREIGN_BANKS_FDIC">"c6390"</definedName>
    <definedName name="IQ_US_GAAP">"c1331"</definedName>
    <definedName name="IQ_US_GAAP_BASIC_EPS_EXCL">"c2984"</definedName>
    <definedName name="IQ_US_GAAP_BASIC_EPS_INCL">"c2982"</definedName>
    <definedName name="IQ_US_GAAP_BASIC_WEIGHT">"c2980"</definedName>
    <definedName name="IQ_US_GAAP_CA_ADJ">"c2925"</definedName>
    <definedName name="IQ_US_GAAP_CASH_FINAN">"c2945"</definedName>
    <definedName name="IQ_US_GAAP_CASH_FINAN_ADJ">"c2941"</definedName>
    <definedName name="IQ_US_GAAP_CASH_INVEST">"c2944"</definedName>
    <definedName name="IQ_US_GAAP_CASH_INVEST_ADJ">"c2940"</definedName>
    <definedName name="IQ_US_GAAP_CASH_OPER">"c2943"</definedName>
    <definedName name="IQ_US_GAAP_CASH_OPER_ADJ">"c2939"</definedName>
    <definedName name="IQ_US_GAAP_CL_ADJ">"c2927"</definedName>
    <definedName name="IQ_US_GAAP_COST_REV_ADJ">"c2951"</definedName>
    <definedName name="IQ_US_GAAP_DILUT_EPS_EXCL">"c2985"</definedName>
    <definedName name="IQ_US_GAAP_DILUT_EPS_INCL">"c2983"</definedName>
    <definedName name="IQ_US_GAAP_DILUT_NI">"c2979"</definedName>
    <definedName name="IQ_US_GAAP_DILUT_WEIGHT">"c2981"</definedName>
    <definedName name="IQ_US_GAAP_DO_ADJ">"c2959"</definedName>
    <definedName name="IQ_US_GAAP_EXTRA_ACC_ITEMS_ADJ">"c2958"</definedName>
    <definedName name="IQ_US_GAAP_INC_TAX_ADJ">"c2961"</definedName>
    <definedName name="IQ_US_GAAP_INTEREST_EXP_ADJ">"c2957"</definedName>
    <definedName name="IQ_US_GAAP_LIAB_LT_ADJ">"c2928"</definedName>
    <definedName name="IQ_US_GAAP_LIAB_TOTAL_LIAB">"c2933"</definedName>
    <definedName name="IQ_US_GAAP_MINORITY_INTEREST_IS_ADJ">"c2960"</definedName>
    <definedName name="IQ_US_GAAP_NCA_ADJ">"c2926"</definedName>
    <definedName name="IQ_US_GAAP_NET_CHANGE">"c2946"</definedName>
    <definedName name="IQ_US_GAAP_NET_CHANGE_ADJ">"c2942"</definedName>
    <definedName name="IQ_US_GAAP_NI">"c2976"</definedName>
    <definedName name="IQ_US_GAAP_NI_ADJ">"c2963"</definedName>
    <definedName name="IQ_US_GAAP_NI_AVAIL_INCL">"c2978"</definedName>
    <definedName name="IQ_US_GAAP_OTHER_ADJ_ADJ">"c2962"</definedName>
    <definedName name="IQ_US_GAAP_OTHER_NON_OPER_ADJ">"c2955"</definedName>
    <definedName name="IQ_US_GAAP_OTHER_OPER_ADJ">"c2954"</definedName>
    <definedName name="IQ_US_GAAP_RD_ADJ">"c2953"</definedName>
    <definedName name="IQ_US_GAAP_SGA_ADJ">"c2952"</definedName>
    <definedName name="IQ_US_GAAP_TOTAL_ASSETS">"c2931"</definedName>
    <definedName name="IQ_US_GAAP_TOTAL_EQUITY">"c2934"</definedName>
    <definedName name="IQ_US_GAAP_TOTAL_EQUITY_ADJ">"c2929"</definedName>
    <definedName name="IQ_US_GAAP_TOTAL_REV_ADJ">"c2950"</definedName>
    <definedName name="IQ_US_GAAP_TOTAL_UNUSUAL_ADJ">"c2956"</definedName>
    <definedName name="IQ_US_GOV_AGENCIES_FDIC">"c6395"</definedName>
    <definedName name="IQ_US_GOV_DEPOSITS_FDIC">"c6483"</definedName>
    <definedName name="IQ_US_GOV_ENTERPRISES_FDIC">"c6396"</definedName>
    <definedName name="IQ_US_GOV_NONCURRENT_LOANS_TOTAL_NONCURRENT_FDIC">"c6779"</definedName>
    <definedName name="IQ_US_GOV_NONTRANSACTION_ACCOUNTS_FDIC">"c6546"</definedName>
    <definedName name="IQ_US_GOV_OBLIGATIONS_FDIC">"c6299"</definedName>
    <definedName name="IQ_US_GOV_SECURITIES_FDIC">"c6297"</definedName>
    <definedName name="IQ_US_GOV_TOTAL_DEPOSITS_FDIC">"c6472"</definedName>
    <definedName name="IQ_US_GOV_TRANSACTION_ACCOUNTS_FDIC">"c6538"</definedName>
    <definedName name="IQ_US_TREASURY_SECURITIES_FDIC">"c6298"</definedName>
    <definedName name="IQ_UTIL_PPE_NET">"c1620"</definedName>
    <definedName name="IQ_UTIL_REV">"c2091"</definedName>
    <definedName name="IQ_UV_PENSION_LIAB">"c1332"</definedName>
    <definedName name="IQ_VALUATION_ALLOWANCES_FDIC">"c6400"</definedName>
    <definedName name="IQ_VALUE_TRADED">"c1519"</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C_REVENUE_FDIC">"c6667"</definedName>
    <definedName name="IQ_VOL_LAST_3MTH">"c1525"</definedName>
    <definedName name="IQ_VOL_LAST_6MTH">"c1526"</definedName>
    <definedName name="IQ_VOL_LAST_MTH">"c1524"</definedName>
    <definedName name="IQ_VOL_LAST_WK">"c1523"</definedName>
    <definedName name="IQ_VOL_LAST_YR">"c1527"</definedName>
    <definedName name="IQ_VOLATILE_LIABILITIES_FDIC">"c6364"</definedName>
    <definedName name="IQ_VOLUME">"c1333"</definedName>
    <definedName name="IQ_WARRANTS_BEG_OS">"c2698"</definedName>
    <definedName name="IQ_WARRANTS_CANCELLED">"c2701"</definedName>
    <definedName name="IQ_WARRANTS_END_OS">"c2702"</definedName>
    <definedName name="IQ_WARRANTS_EXERCISED">"c2700"</definedName>
    <definedName name="IQ_WARRANTS_ISSUED">"c2699"</definedName>
    <definedName name="IQ_WARRANTS_STRIKE_PRICE_ISSUED">"c2704"</definedName>
    <definedName name="IQ_WARRANTS_STRIKE_PRICE_OS">"c2703"</definedName>
    <definedName name="IQ_WEEK">50000</definedName>
    <definedName name="IQ_WEIGHTED_AVG_PRICE">"c1334"</definedName>
    <definedName name="IQ_WIP_INV">"c1335"</definedName>
    <definedName name="IQ_WORKING_CAP">"c3494"</definedName>
    <definedName name="IQ_WORKMEN_WRITTEN">"c1336"</definedName>
    <definedName name="IQ_WRITTEN_OPTION_CONTRACTS_FDIC">"c6509"</definedName>
    <definedName name="IQ_WRITTEN_OPTION_CONTRACTS_FX_RISK_FDIC">"c6514"</definedName>
    <definedName name="IQ_WRITTEN_OPTION_CONTRACTS_NON_FX_IR_FDIC">"c6519"</definedName>
    <definedName name="IQ_XDIV_DATE">"c2104"</definedName>
    <definedName name="IQ_YEAR_FOUNDED">"c6793"</definedName>
    <definedName name="IQ_YEARHIGH">"c1337"</definedName>
    <definedName name="IQ_YEARHIGH_DATE">"c2250"</definedName>
    <definedName name="IQ_YEARLOW">"c1338"</definedName>
    <definedName name="IQ_YEARLOW_DATE">"c2251"</definedName>
    <definedName name="IQ_YTD">3000</definedName>
    <definedName name="IQ_YTDMONTH">130000</definedName>
    <definedName name="IQ_YTW">"c2163"</definedName>
    <definedName name="IQ_YTW_DATE">"c2164"</definedName>
    <definedName name="IQ_YTW_DATE_TYPE">"c2165"</definedName>
    <definedName name="IQ_Z_SCORE">"c1339"</definedName>
    <definedName name="limcount">1</definedName>
    <definedName name="LOCAL_MYSQL_DATE_FORMAT" localSheetId="10">REPT(LOCAL_YEAR_FORMAT,4)&amp;LOCAL_DATE_SEPARATOR&amp;REPT(LOCAL_MONTH_FORMAT,2)&amp;LOCAL_DATE_SEPARATOR&amp;REPT(LOCAL_DAY_FORMAT,2)&amp;" "&amp;REPT(LOCAL_HOUR_FORMAT,2)&amp;AS2SyncStepLS&amp;REPT(LOCAL_MINUTE_FORMAT,2)&amp;AS2SyncStepLS&amp;REPT(AS2SyncStepLS,2)</definedName>
    <definedName name="LOCAL_MYSQL_DATE_FORMAT">REPT(LOCAL_YEAR_FORMAT,4)&amp;LOCAL_DATE_SEPARATOR&amp;REPT(LOCAL_MONTH_FORMAT,2)&amp;LOCAL_DATE_SEPARATOR&amp;REPT(LOCAL_DAY_FORMAT,2)&amp;" "&amp;REPT(LOCAL_HOUR_FORMAT,2)&amp;AS2SyncStepLS&amp;REPT(LOCAL_MINUTE_FORMAT,2)&amp;AS2SyncStepLS&amp;REPT(AS2SyncStepLS,2)</definedName>
    <definedName name="LOCAL_SECOND_FORMAT">" "</definedName>
    <definedName name="navneet" localSheetId="10">{"'Sheet3'!$A$1:$B$30"}</definedName>
    <definedName name="navneet">{"'Sheet3'!$A$1:$B$30"}</definedName>
    <definedName name="P_loans" localSheetId="10">{"'kpi2-1'!$E$4"}</definedName>
    <definedName name="P_loans">{"'kpi2-1'!$E$4"}</definedName>
    <definedName name="_xlnm.Print_Area" localSheetId="9">'11-13'!$B$1:$H$155</definedName>
    <definedName name="_xlnm.Print_Area" localSheetId="10">'14-16'!$B$1:$J$67</definedName>
    <definedName name="_xlnm.Print_Area" localSheetId="11">'17-25'!$B$1:$E$209</definedName>
    <definedName name="_xlnm.Print_Area" localSheetId="12">'26-27'!$B$1:$G$133</definedName>
    <definedName name="_xlnm.Print_Area" localSheetId="15">'30 RPT'!$B$1:$I$428</definedName>
    <definedName name="_xlnm.Print_Area" localSheetId="16">'31 FVM'!$B$1:$J$77</definedName>
    <definedName name="_xlnm.Print_Area" localSheetId="17">'32-33 FRM'!$B$1:$H$120</definedName>
    <definedName name="_xlnm.Print_Area" localSheetId="6">'3-4'!$B$1:$H$99</definedName>
    <definedName name="_xlnm.Print_Area" localSheetId="7">'5-7'!$B$1:$E$73</definedName>
    <definedName name="_xlnm.Print_Area" localSheetId="8">'8-10'!$B$1:$J$70</definedName>
    <definedName name="_xlnm.Print_Area" localSheetId="0">BS!$A$1:$F$74</definedName>
    <definedName name="_xlnm.Print_Area" localSheetId="4">Cashflow!$B$1:$E$73</definedName>
    <definedName name="_xlnm.Print_Area" localSheetId="13">'E''ee Benefits 28 '!$B$1:$I$129</definedName>
    <definedName name="_xlnm.Print_Area" localSheetId="14">'Leases 29'!$B$1:$E$109</definedName>
    <definedName name="_xlnm.Print_Area" localSheetId="5">'Note 1-2'!$B$1:$F$349</definedName>
    <definedName name="_xlnm.Print_Area" localSheetId="18">'Note 34-43'!$B$1:$H$162</definedName>
    <definedName name="_xlnm.Print_Area" localSheetId="2">PL!$B$1:$E$60</definedName>
    <definedName name="_xlnm.Print_Area" localSheetId="3">'SOCE '!$B$1:$G$55</definedName>
    <definedName name="_xlnm.Print_Titles" localSheetId="10">'14-16'!$1:$3</definedName>
    <definedName name="_xlnm.Print_Titles" localSheetId="6">'3-4'!$1:$3</definedName>
    <definedName name="SAPBEXrevision">1</definedName>
    <definedName name="SAPBEXsysID">"HPB"</definedName>
    <definedName name="SAPBEXwbID">"4385E0S9JR1S6ZD2D5D7QFLL8"</definedName>
    <definedName name="sencount">1</definedName>
    <definedName name="solver_cvg">0.001</definedName>
    <definedName name="solver_drv">1</definedName>
    <definedName name="solver_est">1</definedName>
    <definedName name="solver_itr">100</definedName>
    <definedName name="solver_lin">2</definedName>
    <definedName name="solver_neg">2</definedName>
    <definedName name="solver_num">0</definedName>
    <definedName name="solver_nwt">1</definedName>
    <definedName name="solver_pre">0.000001</definedName>
    <definedName name="solver_scl">2</definedName>
    <definedName name="solver_sho">2</definedName>
    <definedName name="solver_tim">100</definedName>
    <definedName name="solver_tol">0.05</definedName>
    <definedName name="solver_typ">3</definedName>
    <definedName name="solver_val">0</definedName>
    <definedName name="TextRefCopyRangeCount">14</definedName>
    <definedName name="treeList">"10000000000000000000000000000000000000000000000000000000000000000000000000000000000000000000000000000000000000000000000000000000000000000000000000000000000000000000000000000000000000000000000000000000"</definedName>
    <definedName name="XRefColumnsCount">2</definedName>
    <definedName name="XRefCopyRangeCount">14</definedName>
    <definedName name="XRefPasteRangeCount">4</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7" i="2" l="1"/>
  <c r="Y194" i="2" l="1"/>
  <c r="Y212" i="2"/>
  <c r="Y108" i="2"/>
  <c r="H38" i="69" l="1"/>
  <c r="F631" i="2" l="1"/>
  <c r="E631" i="2"/>
  <c r="M69" i="50"/>
  <c r="K2" i="2" l="1"/>
  <c r="I2" i="2"/>
  <c r="D11" i="15" l="1"/>
  <c r="N213" i="68"/>
  <c r="C23" i="15" l="1"/>
  <c r="F60" i="69"/>
  <c r="J29" i="60"/>
  <c r="H403" i="69"/>
  <c r="H404" i="69"/>
  <c r="G404" i="69" l="1"/>
  <c r="D404" i="69"/>
  <c r="D403" i="69"/>
  <c r="H327" i="68" l="1"/>
  <c r="I302" i="68" l="1"/>
  <c r="I296" i="68"/>
  <c r="K293" i="68" l="1"/>
  <c r="L293" i="68" s="1"/>
  <c r="K241" i="68"/>
  <c r="N14" i="16" l="1"/>
  <c r="H8" i="19" l="1"/>
  <c r="I113" i="68" l="1"/>
  <c r="H138" i="68"/>
  <c r="H121" i="68" l="1"/>
  <c r="H137" i="68"/>
  <c r="I100" i="68" l="1"/>
  <c r="J30" i="60" l="1"/>
  <c r="I29" i="60"/>
  <c r="H391" i="69"/>
  <c r="H394" i="69"/>
  <c r="H397" i="69"/>
  <c r="H400" i="69"/>
  <c r="F401" i="69" l="1"/>
  <c r="H401" i="69" s="1"/>
  <c r="D401" i="69"/>
  <c r="D400" i="69"/>
  <c r="F398" i="69"/>
  <c r="H398" i="69" s="1"/>
  <c r="D398" i="69"/>
  <c r="D397" i="69"/>
  <c r="F395" i="69"/>
  <c r="H395" i="69" s="1"/>
  <c r="D395" i="69"/>
  <c r="D394" i="69"/>
  <c r="A379" i="69"/>
  <c r="A382" i="69" s="1"/>
  <c r="A385" i="69" s="1"/>
  <c r="A388" i="69" s="1"/>
  <c r="A391" i="69" s="1"/>
  <c r="A394" i="69" s="1"/>
  <c r="A397" i="69" s="1"/>
  <c r="A400" i="69" s="1"/>
  <c r="A403" i="69" s="1"/>
  <c r="G392" i="69"/>
  <c r="H392" i="69" s="1"/>
  <c r="F391" i="69"/>
  <c r="D392" i="69"/>
  <c r="D391" i="69"/>
  <c r="G322" i="69" l="1"/>
  <c r="C35" i="19" l="1"/>
  <c r="C29" i="19"/>
  <c r="C19" i="19"/>
  <c r="C20" i="19"/>
  <c r="D389" i="69" l="1"/>
  <c r="D388" i="69"/>
  <c r="H388" i="69" l="1"/>
  <c r="G389" i="69"/>
  <c r="H389" i="69" s="1"/>
  <c r="F385" i="69"/>
  <c r="H385" i="69" s="1"/>
  <c r="D386" i="69"/>
  <c r="D385" i="69"/>
  <c r="F375" i="69"/>
  <c r="G380" i="69"/>
  <c r="A355" i="69"/>
  <c r="A358" i="69" s="1"/>
  <c r="A361" i="69" s="1"/>
  <c r="A364" i="69" s="1"/>
  <c r="A367" i="69" s="1"/>
  <c r="A370" i="69" s="1"/>
  <c r="A345" i="69"/>
  <c r="A348" i="69" s="1"/>
  <c r="A3" i="69"/>
  <c r="A260" i="69"/>
  <c r="A263" i="69" s="1"/>
  <c r="A266" i="69" s="1"/>
  <c r="A269" i="69" s="1"/>
  <c r="A273" i="69" s="1"/>
  <c r="G386" i="69" l="1"/>
  <c r="H386" i="69" s="1"/>
  <c r="A9" i="69"/>
  <c r="C28" i="19"/>
  <c r="C23" i="19"/>
  <c r="C8" i="19"/>
  <c r="N9" i="16"/>
  <c r="F364" i="69"/>
  <c r="G365" i="69" s="1"/>
  <c r="F361" i="69"/>
  <c r="G362" i="69" s="1"/>
  <c r="F367" i="69" l="1"/>
  <c r="N23" i="70"/>
  <c r="N7" i="70"/>
  <c r="O17" i="16" l="1"/>
  <c r="P17" i="16"/>
  <c r="N17" i="16"/>
  <c r="O9" i="16"/>
  <c r="O26" i="16"/>
  <c r="F382" i="69" l="1"/>
  <c r="H382" i="69" s="1"/>
  <c r="D383" i="69"/>
  <c r="D382" i="69"/>
  <c r="H370" i="69"/>
  <c r="H371" i="69"/>
  <c r="H372" i="69"/>
  <c r="H376" i="69"/>
  <c r="H377" i="69"/>
  <c r="H379" i="69"/>
  <c r="H380" i="69"/>
  <c r="D380" i="69"/>
  <c r="D379" i="69"/>
  <c r="H355" i="69"/>
  <c r="G356" i="69"/>
  <c r="H356" i="69" s="1"/>
  <c r="D356" i="69"/>
  <c r="D355" i="69"/>
  <c r="F340" i="69"/>
  <c r="H375" i="69"/>
  <c r="G383" i="69" l="1"/>
  <c r="H383" i="69" s="1"/>
  <c r="D377" i="69"/>
  <c r="D376" i="69"/>
  <c r="G373" i="69" l="1"/>
  <c r="H373" i="69" s="1"/>
  <c r="K535" i="2"/>
  <c r="L535" i="2"/>
  <c r="K536" i="2"/>
  <c r="L536" i="2"/>
  <c r="K537" i="2"/>
  <c r="L537" i="2"/>
  <c r="F535" i="2"/>
  <c r="G535" i="2"/>
  <c r="F536" i="2"/>
  <c r="G536" i="2"/>
  <c r="F537" i="2"/>
  <c r="G537" i="2"/>
  <c r="D373" i="69"/>
  <c r="H537" i="2" l="1"/>
  <c r="M536" i="2"/>
  <c r="N536" i="2" s="1"/>
  <c r="H535" i="2"/>
  <c r="M535" i="2"/>
  <c r="N535" i="2" s="1"/>
  <c r="H536" i="2"/>
  <c r="M537" i="2"/>
  <c r="N537" i="2" s="1"/>
  <c r="H367" i="69"/>
  <c r="D368" i="69"/>
  <c r="D367" i="69"/>
  <c r="H364" i="69"/>
  <c r="D365" i="69"/>
  <c r="D364" i="69"/>
  <c r="X537" i="2" l="1"/>
  <c r="X536" i="2"/>
  <c r="X535" i="2"/>
  <c r="G368" i="69"/>
  <c r="H368" i="69" s="1"/>
  <c r="L365" i="69" s="1"/>
  <c r="H365" i="69"/>
  <c r="H361" i="69"/>
  <c r="D362" i="69"/>
  <c r="D361" i="69"/>
  <c r="H358" i="69" l="1"/>
  <c r="G359" i="69"/>
  <c r="H359" i="69" s="1"/>
  <c r="D359" i="69"/>
  <c r="D358" i="69"/>
  <c r="H362" i="69" l="1"/>
  <c r="H352" i="69"/>
  <c r="G353" i="69"/>
  <c r="H353" i="69" s="1"/>
  <c r="D353" i="69"/>
  <c r="D352" i="69"/>
  <c r="H350" i="69"/>
  <c r="H349" i="69"/>
  <c r="H348" i="69"/>
  <c r="D350" i="69"/>
  <c r="D349" i="69"/>
  <c r="D348" i="69"/>
  <c r="H345" i="69"/>
  <c r="G346" i="69"/>
  <c r="H346" i="69" s="1"/>
  <c r="D346" i="69"/>
  <c r="D345" i="69"/>
  <c r="H342" i="69"/>
  <c r="G343" i="69"/>
  <c r="H343" i="69" s="1"/>
  <c r="D343" i="69"/>
  <c r="D342" i="69"/>
  <c r="H339" i="69"/>
  <c r="H340" i="69"/>
  <c r="D340" i="69"/>
  <c r="D339" i="69"/>
  <c r="H336" i="69"/>
  <c r="G337" i="69"/>
  <c r="H337" i="69" s="1"/>
  <c r="D337" i="69"/>
  <c r="D336" i="69"/>
  <c r="H321" i="69" l="1"/>
  <c r="H320" i="69"/>
  <c r="H319" i="69"/>
  <c r="H322" i="69"/>
  <c r="D320" i="69"/>
  <c r="D321" i="69"/>
  <c r="D322" i="69"/>
  <c r="D319" i="69"/>
  <c r="H333" i="69"/>
  <c r="G334" i="69"/>
  <c r="H334" i="69" s="1"/>
  <c r="D334" i="69"/>
  <c r="D333" i="69"/>
  <c r="F330" i="69" l="1"/>
  <c r="G331" i="69" s="1"/>
  <c r="H331" i="69" s="1"/>
  <c r="D331" i="69"/>
  <c r="D330" i="69"/>
  <c r="H330" i="69" l="1"/>
  <c r="H327" i="69" l="1"/>
  <c r="G328" i="69"/>
  <c r="H328" i="69" s="1"/>
  <c r="D328" i="69"/>
  <c r="D327" i="69"/>
  <c r="H324" i="69"/>
  <c r="G325" i="69"/>
  <c r="H325" i="69" s="1"/>
  <c r="D325" i="69"/>
  <c r="D324" i="69" l="1"/>
  <c r="H316" i="69"/>
  <c r="G317" i="69"/>
  <c r="H317" i="69" s="1"/>
  <c r="D317" i="69"/>
  <c r="D316" i="69"/>
  <c r="H313" i="69"/>
  <c r="G314" i="69"/>
  <c r="H314" i="69" s="1"/>
  <c r="D314" i="69"/>
  <c r="D313" i="69"/>
  <c r="D311" i="69"/>
  <c r="D310" i="69"/>
  <c r="G311" i="69"/>
  <c r="H311" i="69" s="1"/>
  <c r="H307" i="69"/>
  <c r="G308" i="69"/>
  <c r="H308" i="69" s="1"/>
  <c r="D308" i="69"/>
  <c r="D307" i="69"/>
  <c r="H304" i="69"/>
  <c r="G305" i="69"/>
  <c r="H305" i="69" s="1"/>
  <c r="D305" i="69"/>
  <c r="D304" i="69"/>
  <c r="F310" i="69" l="1"/>
  <c r="H310" i="69" s="1"/>
  <c r="F301" i="69"/>
  <c r="G302" i="69" s="1"/>
  <c r="H302" i="69" s="1"/>
  <c r="D302" i="69"/>
  <c r="D301" i="69"/>
  <c r="H298" i="69"/>
  <c r="G299" i="69"/>
  <c r="H299" i="69" s="1"/>
  <c r="D299" i="69"/>
  <c r="D298" i="69"/>
  <c r="H301" i="69" l="1"/>
  <c r="K157" i="68"/>
  <c r="Y55" i="66" l="1"/>
  <c r="I54" i="66"/>
  <c r="I59" i="66" s="1"/>
  <c r="Q56" i="66"/>
  <c r="I56" i="66"/>
  <c r="N49" i="66"/>
  <c r="D82" i="22"/>
  <c r="D81" i="22" s="1"/>
  <c r="D83" i="22" s="1"/>
  <c r="D75" i="22"/>
  <c r="E74" i="22"/>
  <c r="C75" i="22"/>
  <c r="E18" i="22"/>
  <c r="D19" i="22"/>
  <c r="I289" i="68" l="1"/>
  <c r="I290" i="68"/>
  <c r="I291" i="68"/>
  <c r="I288" i="68"/>
  <c r="K346" i="68"/>
  <c r="L346" i="68" s="1"/>
  <c r="I130" i="68"/>
  <c r="I131" i="68"/>
  <c r="I129" i="68"/>
  <c r="I110" i="68"/>
  <c r="H184" i="68"/>
  <c r="H189" i="68"/>
  <c r="H190" i="68"/>
  <c r="H192" i="68"/>
  <c r="H188" i="68"/>
  <c r="H170" i="68"/>
  <c r="H166" i="68"/>
  <c r="H164" i="68"/>
  <c r="I161" i="68"/>
  <c r="I162" i="68"/>
  <c r="I163" i="68"/>
  <c r="H159" i="68"/>
  <c r="K186" i="68"/>
  <c r="L186" i="68" s="1"/>
  <c r="K196" i="68"/>
  <c r="L196" i="68" s="1"/>
  <c r="I199" i="68"/>
  <c r="K204" i="68"/>
  <c r="L204" i="68" s="1"/>
  <c r="K207" i="68"/>
  <c r="L207" i="68" s="1"/>
  <c r="K210" i="68"/>
  <c r="L210" i="68" s="1"/>
  <c r="K213" i="68"/>
  <c r="L213" i="68" s="1"/>
  <c r="H214" i="68"/>
  <c r="H216" i="68"/>
  <c r="H217" i="68"/>
  <c r="K218" i="68"/>
  <c r="L218" i="68" s="1"/>
  <c r="I220" i="68"/>
  <c r="I219" i="68"/>
  <c r="K219" i="68"/>
  <c r="L219" i="68" s="1"/>
  <c r="K221" i="68"/>
  <c r="L221" i="68" s="1"/>
  <c r="H222" i="68"/>
  <c r="I225" i="68"/>
  <c r="L157" i="68" l="1"/>
  <c r="K216" i="68"/>
  <c r="I160" i="68" l="1"/>
  <c r="I200" i="68"/>
  <c r="I221" i="68"/>
  <c r="N9" i="70" l="1"/>
  <c r="N13" i="70"/>
  <c r="F295" i="69" l="1"/>
  <c r="H295" i="69" s="1"/>
  <c r="D296" i="69"/>
  <c r="D295" i="69"/>
  <c r="G293" i="69"/>
  <c r="F292" i="69" s="1"/>
  <c r="H292" i="69" s="1"/>
  <c r="D293" i="69"/>
  <c r="D292" i="69"/>
  <c r="F289" i="69"/>
  <c r="H289" i="69" s="1"/>
  <c r="D290" i="69"/>
  <c r="D289" i="69"/>
  <c r="I4" i="2"/>
  <c r="F286" i="69"/>
  <c r="H286" i="69" s="1"/>
  <c r="D286" i="69"/>
  <c r="D287" i="69"/>
  <c r="F283" i="69"/>
  <c r="G284" i="69" s="1"/>
  <c r="H284" i="69" s="1"/>
  <c r="D284" i="69"/>
  <c r="D283" i="69"/>
  <c r="F280" i="69"/>
  <c r="H280" i="69" s="1"/>
  <c r="H293" i="69" l="1"/>
  <c r="H283" i="69"/>
  <c r="G296" i="69"/>
  <c r="H296" i="69" s="1"/>
  <c r="G287" i="69"/>
  <c r="H287" i="69" s="1"/>
  <c r="G281" i="69"/>
  <c r="H281" i="69" s="1"/>
  <c r="G290" i="69"/>
  <c r="H290" i="69" s="1"/>
  <c r="N27" i="70"/>
  <c r="D281" i="69"/>
  <c r="D280" i="69"/>
  <c r="G278" i="69"/>
  <c r="H278" i="69" s="1"/>
  <c r="D278" i="69"/>
  <c r="D277" i="69"/>
  <c r="D276" i="69"/>
  <c r="C41" i="19" l="1"/>
  <c r="C30" i="19"/>
  <c r="C22" i="19" l="1"/>
  <c r="C21" i="19"/>
  <c r="C18" i="19"/>
  <c r="B1" i="70" l="1"/>
  <c r="O1" i="70"/>
  <c r="P1" i="70"/>
  <c r="B2" i="70"/>
  <c r="I8" i="70"/>
  <c r="N10" i="70"/>
  <c r="O10" i="70"/>
  <c r="P10" i="70"/>
  <c r="Q11" i="70"/>
  <c r="I12" i="70"/>
  <c r="I14" i="70"/>
  <c r="J16" i="70"/>
  <c r="E22" i="70"/>
  <c r="O23" i="70"/>
  <c r="P23" i="70"/>
  <c r="P27" i="70" s="1"/>
  <c r="Q23" i="70"/>
  <c r="J24" i="70"/>
  <c r="J25" i="70"/>
  <c r="O26" i="70"/>
  <c r="Q26" i="70"/>
  <c r="I23" i="70" s="1"/>
  <c r="I26" i="70" s="1"/>
  <c r="J29" i="70"/>
  <c r="J30" i="70"/>
  <c r="J31" i="70"/>
  <c r="J32" i="70"/>
  <c r="C33" i="70"/>
  <c r="D33" i="70"/>
  <c r="E33" i="70"/>
  <c r="F33" i="70"/>
  <c r="I33" i="70"/>
  <c r="J33" i="70"/>
  <c r="H39" i="70"/>
  <c r="I39" i="70"/>
  <c r="J39" i="70"/>
  <c r="H41" i="70"/>
  <c r="I41" i="70"/>
  <c r="I44" i="70"/>
  <c r="I45" i="70"/>
  <c r="I46" i="70"/>
  <c r="H49" i="70"/>
  <c r="H57" i="70" s="1"/>
  <c r="I49" i="70"/>
  <c r="I57" i="70" s="1"/>
  <c r="J49" i="70"/>
  <c r="J53" i="70"/>
  <c r="J57" i="70"/>
  <c r="K59" i="70"/>
  <c r="I62" i="70"/>
  <c r="K62" i="70"/>
  <c r="K64" i="70"/>
  <c r="J67" i="70"/>
  <c r="Q10" i="70" l="1"/>
  <c r="O7" i="70"/>
  <c r="O8" i="70"/>
  <c r="O9" i="70"/>
  <c r="Q9" i="70" s="1"/>
  <c r="P7" i="70"/>
  <c r="Q7" i="70" s="1"/>
  <c r="P8" i="70"/>
  <c r="M1" i="70"/>
  <c r="O25" i="70"/>
  <c r="Q25" i="70" s="1"/>
  <c r="G23" i="70" s="1"/>
  <c r="G26" i="70" s="1"/>
  <c r="O24" i="70"/>
  <c r="Q24" i="70" s="1"/>
  <c r="F23" i="70" s="1"/>
  <c r="F26" i="70" s="1"/>
  <c r="O13" i="70"/>
  <c r="Q13" i="70" s="1"/>
  <c r="Q27" i="70"/>
  <c r="E23" i="70"/>
  <c r="N14" i="70"/>
  <c r="P14" i="70" l="1"/>
  <c r="O14" i="70"/>
  <c r="O27" i="70"/>
  <c r="Q8" i="70"/>
  <c r="H10" i="70" s="1"/>
  <c r="Q14" i="70"/>
  <c r="E26" i="70"/>
  <c r="B55" i="66"/>
  <c r="E27" i="22"/>
  <c r="I10" i="70" l="1"/>
  <c r="J31" i="60"/>
  <c r="F71" i="50" l="1"/>
  <c r="H69" i="50"/>
  <c r="H72" i="50"/>
  <c r="F260" i="69" l="1"/>
  <c r="G3" i="69"/>
  <c r="F4" i="69" s="1"/>
  <c r="H33" i="8"/>
  <c r="H273" i="69" l="1"/>
  <c r="G274" i="69"/>
  <c r="H274" i="69" s="1"/>
  <c r="D274" i="69"/>
  <c r="D273" i="69"/>
  <c r="G270" i="69" l="1"/>
  <c r="H270" i="69" s="1"/>
  <c r="G271" i="69"/>
  <c r="H271" i="69" s="1"/>
  <c r="D271" i="69"/>
  <c r="D270" i="69"/>
  <c r="D269" i="69"/>
  <c r="K11" i="15" l="1"/>
  <c r="C13" i="15" s="1"/>
  <c r="D13" i="15" s="1"/>
  <c r="J11" i="15"/>
  <c r="E90" i="19"/>
  <c r="D267" i="69" l="1"/>
  <c r="D266" i="69"/>
  <c r="H267" i="69"/>
  <c r="F266" i="69"/>
  <c r="H266" i="69" s="1"/>
  <c r="F263" i="69"/>
  <c r="G264" i="69" s="1"/>
  <c r="H264" i="69" s="1"/>
  <c r="D264" i="69"/>
  <c r="D263" i="69"/>
  <c r="H263" i="69" l="1"/>
  <c r="F69" i="50"/>
  <c r="H260" i="69" l="1"/>
  <c r="D261" i="69"/>
  <c r="D260" i="69"/>
  <c r="G261" i="69" l="1"/>
  <c r="H261" i="69" s="1"/>
  <c r="F143" i="2" s="1"/>
  <c r="G210" i="69" l="1"/>
  <c r="F212" i="69"/>
  <c r="F197" i="69"/>
  <c r="F250" i="2" l="1"/>
  <c r="P28" i="16"/>
  <c r="H254" i="69" l="1"/>
  <c r="H255" i="69"/>
  <c r="D26" i="69" l="1"/>
  <c r="D25" i="69"/>
  <c r="D24" i="69"/>
  <c r="D23" i="69"/>
  <c r="D22" i="69"/>
  <c r="D21" i="69"/>
  <c r="D19" i="69"/>
  <c r="D18" i="69"/>
  <c r="D17" i="69"/>
  <c r="D16" i="69"/>
  <c r="D15" i="69"/>
  <c r="D14" i="69"/>
  <c r="D13" i="69"/>
  <c r="D12" i="69"/>
  <c r="D11" i="69"/>
  <c r="D10" i="69"/>
  <c r="D9" i="69"/>
  <c r="O14" i="16" l="1"/>
  <c r="H245" i="69" l="1"/>
  <c r="H247" i="69"/>
  <c r="D255" i="69"/>
  <c r="F253" i="69"/>
  <c r="H253" i="69" s="1"/>
  <c r="D257" i="69"/>
  <c r="F257" i="69"/>
  <c r="H257" i="69" s="1"/>
  <c r="D258" i="69"/>
  <c r="H258" i="69"/>
  <c r="G251" i="69" l="1"/>
  <c r="F250" i="69" l="1"/>
  <c r="H250" i="69" s="1"/>
  <c r="H251" i="69"/>
  <c r="D254" i="69"/>
  <c r="D253" i="69"/>
  <c r="D251" i="69"/>
  <c r="D250" i="69"/>
  <c r="G222" i="69" l="1"/>
  <c r="F221" i="69" l="1"/>
  <c r="H222" i="69"/>
  <c r="F248" i="69"/>
  <c r="H248" i="69" s="1"/>
  <c r="D248" i="69"/>
  <c r="D247" i="69"/>
  <c r="D245" i="69" l="1"/>
  <c r="D244" i="69"/>
  <c r="F244" i="69"/>
  <c r="H244" i="69" s="1"/>
  <c r="Q14" i="16" l="1"/>
  <c r="O15" i="16"/>
  <c r="Q15" i="16"/>
  <c r="H242" i="69"/>
  <c r="H239" i="69"/>
  <c r="F241" i="69"/>
  <c r="H241" i="69" s="1"/>
  <c r="F238" i="69"/>
  <c r="H238" i="69" s="1"/>
  <c r="D242" i="69"/>
  <c r="D241" i="69"/>
  <c r="D239" i="69"/>
  <c r="D238" i="69"/>
  <c r="K11" i="2"/>
  <c r="D236" i="69" l="1"/>
  <c r="D235" i="69"/>
  <c r="H235" i="69"/>
  <c r="G236" i="69"/>
  <c r="H236" i="69" s="1"/>
  <c r="H233" i="69" l="1"/>
  <c r="H232" i="69"/>
  <c r="D233" i="69"/>
  <c r="D232" i="69"/>
  <c r="E42" i="13" l="1"/>
  <c r="E43" i="13"/>
  <c r="D42" i="13"/>
  <c r="H41" i="13"/>
  <c r="G230" i="69" l="1"/>
  <c r="F226" i="69" l="1"/>
  <c r="H224" i="69"/>
  <c r="D224" i="69"/>
  <c r="H226" i="69" l="1"/>
  <c r="G227" i="69"/>
  <c r="H227" i="69" s="1"/>
  <c r="D230" i="69" l="1"/>
  <c r="D229" i="69"/>
  <c r="H229" i="69"/>
  <c r="H230" i="69" l="1"/>
  <c r="D227" i="69"/>
  <c r="D226" i="69"/>
  <c r="H223" i="69"/>
  <c r="D223" i="69"/>
  <c r="D222" i="69" l="1"/>
  <c r="D221" i="69"/>
  <c r="H219" i="69"/>
  <c r="F218" i="69"/>
  <c r="D219" i="69"/>
  <c r="H218" i="69" l="1"/>
  <c r="D218" i="69"/>
  <c r="H216" i="69"/>
  <c r="F215" i="69"/>
  <c r="H215" i="69" s="1"/>
  <c r="D216" i="69"/>
  <c r="D215" i="69"/>
  <c r="E41" i="13"/>
  <c r="E40" i="13" s="1"/>
  <c r="G85" i="19" l="1"/>
  <c r="N16" i="16" l="1"/>
  <c r="N11" i="16"/>
  <c r="F138" i="69" l="1"/>
  <c r="H213" i="69"/>
  <c r="H212" i="69"/>
  <c r="D213" i="69"/>
  <c r="D212" i="69"/>
  <c r="H210" i="69" l="1"/>
  <c r="H209" i="69"/>
  <c r="D210" i="69"/>
  <c r="D209" i="69"/>
  <c r="H198" i="69" l="1"/>
  <c r="H199" i="69"/>
  <c r="H200" i="69"/>
  <c r="H201" i="69"/>
  <c r="H202" i="69"/>
  <c r="H203" i="69"/>
  <c r="H204" i="69"/>
  <c r="H205" i="69"/>
  <c r="H206" i="69"/>
  <c r="H207" i="69"/>
  <c r="H197" i="69"/>
  <c r="D197" i="69"/>
  <c r="D199" i="69"/>
  <c r="D200" i="69"/>
  <c r="D201" i="69"/>
  <c r="D202" i="69"/>
  <c r="D203" i="69"/>
  <c r="D204" i="69"/>
  <c r="D205" i="69"/>
  <c r="D206" i="69"/>
  <c r="D207" i="69"/>
  <c r="D198" i="69"/>
  <c r="N31" i="16" l="1"/>
  <c r="H194" i="69" l="1"/>
  <c r="G195" i="69"/>
  <c r="H195" i="69" s="1"/>
  <c r="D195" i="69"/>
  <c r="D194" i="69"/>
  <c r="L69" i="16" l="1"/>
  <c r="M69" i="16" s="1"/>
  <c r="C14" i="15"/>
  <c r="G189" i="69" l="1"/>
  <c r="H189" i="69" s="1"/>
  <c r="H192" i="69"/>
  <c r="H191" i="69"/>
  <c r="F130" i="2" s="1"/>
  <c r="H190" i="69"/>
  <c r="D191" i="69"/>
  <c r="D192" i="69"/>
  <c r="D190" i="69"/>
  <c r="D189" i="69"/>
  <c r="H4" i="61" l="1"/>
  <c r="G4" i="61"/>
  <c r="K13" i="61" l="1"/>
  <c r="K14" i="61"/>
  <c r="K15" i="61"/>
  <c r="K16" i="61"/>
  <c r="I25" i="61"/>
  <c r="H187" i="69" l="1"/>
  <c r="H183" i="69"/>
  <c r="F186" i="69"/>
  <c r="H186" i="69" s="1"/>
  <c r="D187" i="69"/>
  <c r="D186" i="69"/>
  <c r="G132" i="50"/>
  <c r="G133" i="50" s="1"/>
  <c r="G184" i="69" l="1"/>
  <c r="H184" i="69" s="1"/>
  <c r="D184" i="69" l="1"/>
  <c r="D183" i="69"/>
  <c r="D181" i="69"/>
  <c r="D82" i="69" l="1"/>
  <c r="D81" i="69"/>
  <c r="H81" i="69"/>
  <c r="G82" i="69"/>
  <c r="H82" i="69" s="1"/>
  <c r="H78" i="69"/>
  <c r="G79" i="69"/>
  <c r="H79" i="69" s="1"/>
  <c r="D79" i="69"/>
  <c r="D78" i="69"/>
  <c r="A177" i="69"/>
  <c r="A126" i="69"/>
  <c r="A129" i="69" s="1"/>
  <c r="A132" i="69" s="1"/>
  <c r="A135" i="69" s="1"/>
  <c r="A138" i="69" s="1"/>
  <c r="A141" i="69" s="1"/>
  <c r="A144" i="69" s="1"/>
  <c r="A147" i="69" s="1"/>
  <c r="A150" i="69" s="1"/>
  <c r="A153" i="69" s="1"/>
  <c r="A156" i="69" s="1"/>
  <c r="A94" i="69"/>
  <c r="A97" i="69" s="1"/>
  <c r="A100" i="69" s="1"/>
  <c r="A103" i="69" s="1"/>
  <c r="A106" i="69" s="1"/>
  <c r="A109" i="69" s="1"/>
  <c r="A112" i="69" s="1"/>
  <c r="A115" i="69" s="1"/>
  <c r="A118" i="69" s="1"/>
  <c r="A67" i="69"/>
  <c r="A69" i="69" s="1"/>
  <c r="A71" i="69" s="1"/>
  <c r="A73" i="69" s="1"/>
  <c r="A75" i="69" s="1"/>
  <c r="A87" i="69" s="1"/>
  <c r="A54" i="69"/>
  <c r="A57" i="69" s="1"/>
  <c r="A60" i="69" s="1"/>
  <c r="H73" i="69"/>
  <c r="G74" i="69"/>
  <c r="H74" i="69" s="1"/>
  <c r="D74" i="69"/>
  <c r="D73" i="69"/>
  <c r="H71" i="69"/>
  <c r="G72" i="69"/>
  <c r="H72" i="69" s="1"/>
  <c r="D72" i="69"/>
  <c r="D71" i="69"/>
  <c r="H69" i="69"/>
  <c r="G70" i="69"/>
  <c r="D70" i="69"/>
  <c r="D69" i="69"/>
  <c r="H67" i="69"/>
  <c r="G68" i="69"/>
  <c r="H68" i="69" s="1"/>
  <c r="D68" i="69"/>
  <c r="D67" i="69"/>
  <c r="H65" i="69"/>
  <c r="G66" i="69"/>
  <c r="H66" i="69" s="1"/>
  <c r="D66" i="69"/>
  <c r="D65" i="69"/>
  <c r="H70" i="69" l="1"/>
  <c r="E199" i="19"/>
  <c r="E41" i="65"/>
  <c r="H28" i="24"/>
  <c r="H178" i="69" l="1"/>
  <c r="H179" i="69"/>
  <c r="H180" i="69"/>
  <c r="H181" i="69"/>
  <c r="H177" i="69"/>
  <c r="D178" i="69"/>
  <c r="D179" i="69"/>
  <c r="D180" i="69"/>
  <c r="D177" i="69"/>
  <c r="H174" i="69"/>
  <c r="G175" i="69"/>
  <c r="H175" i="69" s="1"/>
  <c r="D175" i="69"/>
  <c r="D174" i="69"/>
  <c r="H171" i="69"/>
  <c r="H172" i="69"/>
  <c r="H170" i="69"/>
  <c r="D171" i="69"/>
  <c r="D172" i="69"/>
  <c r="D170" i="69"/>
  <c r="H157" i="69"/>
  <c r="H158" i="69"/>
  <c r="H159" i="69"/>
  <c r="H160" i="69"/>
  <c r="H161" i="69"/>
  <c r="H162" i="69"/>
  <c r="H163" i="69"/>
  <c r="H164" i="69"/>
  <c r="H165" i="69"/>
  <c r="F91" i="2" s="1"/>
  <c r="H166" i="69"/>
  <c r="H167" i="69"/>
  <c r="H168" i="69"/>
  <c r="H156" i="69"/>
  <c r="F28" i="2" s="1"/>
  <c r="D157" i="69"/>
  <c r="D158" i="69"/>
  <c r="D159" i="69"/>
  <c r="D160" i="69"/>
  <c r="D161" i="69"/>
  <c r="D162" i="69"/>
  <c r="D163" i="69"/>
  <c r="D164" i="69"/>
  <c r="D165" i="69"/>
  <c r="D166" i="69"/>
  <c r="D167" i="69"/>
  <c r="D168" i="69"/>
  <c r="D156" i="69"/>
  <c r="E26" i="16" l="1"/>
  <c r="E27" i="16" s="1"/>
  <c r="H50" i="16" l="1"/>
  <c r="I49" i="16"/>
  <c r="D108" i="22" l="1"/>
  <c r="D41" i="19" l="1"/>
  <c r="C31" i="19"/>
  <c r="G18" i="17"/>
  <c r="J51" i="16"/>
  <c r="I42" i="16"/>
  <c r="H42" i="16"/>
  <c r="G42" i="16"/>
  <c r="F42" i="16"/>
  <c r="E42" i="16"/>
  <c r="D42" i="16"/>
  <c r="K15" i="16"/>
  <c r="K14" i="16"/>
  <c r="K13" i="16"/>
  <c r="K12" i="16"/>
  <c r="K11" i="16"/>
  <c r="K10" i="16"/>
  <c r="K9" i="16"/>
  <c r="J17" i="16"/>
  <c r="E17" i="15"/>
  <c r="E45" i="15"/>
  <c r="H153" i="69"/>
  <c r="G154" i="69"/>
  <c r="H154" i="69" s="1"/>
  <c r="K17" i="16" l="1"/>
  <c r="D154" i="69"/>
  <c r="D153" i="69"/>
  <c r="D23" i="15" l="1"/>
  <c r="D14" i="15"/>
  <c r="R10" i="66" l="1"/>
  <c r="D172" i="19" l="1"/>
  <c r="D160" i="19"/>
  <c r="F26" i="16" l="1"/>
  <c r="F27" i="16" l="1"/>
  <c r="J27" i="16" s="1"/>
  <c r="Q30" i="16"/>
  <c r="I25" i="16" s="1"/>
  <c r="O29" i="16" l="1"/>
  <c r="O28" i="16"/>
  <c r="O27" i="16" l="1"/>
  <c r="P31" i="16"/>
  <c r="O31" i="16" l="1"/>
  <c r="Q16" i="16" l="1"/>
  <c r="H14" i="16" s="1"/>
  <c r="I14" i="16" s="1"/>
  <c r="K353" i="68" s="1"/>
  <c r="P12" i="16" l="1"/>
  <c r="P9" i="16"/>
  <c r="O13" i="16"/>
  <c r="O12" i="16"/>
  <c r="Q12" i="16" s="1"/>
  <c r="O11" i="16"/>
  <c r="O10" i="16"/>
  <c r="Q10" i="16" s="1"/>
  <c r="Q9" i="16" l="1"/>
  <c r="O34" i="16"/>
  <c r="N13" i="16"/>
  <c r="R13" i="16" l="1"/>
  <c r="Q17" i="16"/>
  <c r="Q13" i="16"/>
  <c r="N34" i="16"/>
  <c r="Q11" i="16"/>
  <c r="H9" i="16" l="1"/>
  <c r="D151" i="69"/>
  <c r="D150" i="69"/>
  <c r="H150" i="69"/>
  <c r="G151" i="69"/>
  <c r="H151" i="69" s="1"/>
  <c r="H147" i="69" l="1"/>
  <c r="G148" i="69"/>
  <c r="H148" i="69" s="1"/>
  <c r="D148" i="69"/>
  <c r="D147" i="69"/>
  <c r="H144" i="69"/>
  <c r="G145" i="69"/>
  <c r="H145" i="69" s="1"/>
  <c r="D145" i="69"/>
  <c r="D144" i="69"/>
  <c r="H141" i="69"/>
  <c r="G142" i="69"/>
  <c r="H142" i="69" s="1"/>
  <c r="D142" i="69"/>
  <c r="D141" i="69"/>
  <c r="G139" i="69" l="1"/>
  <c r="H139" i="69" s="1"/>
  <c r="H138" i="69"/>
  <c r="D139" i="69"/>
  <c r="D138" i="69"/>
  <c r="H135" i="69" l="1"/>
  <c r="G136" i="69"/>
  <c r="H136" i="69" s="1"/>
  <c r="D136" i="69" l="1"/>
  <c r="D135" i="69"/>
  <c r="H132" i="69"/>
  <c r="G133" i="69"/>
  <c r="H133" i="69" s="1"/>
  <c r="D133" i="69"/>
  <c r="D132" i="69"/>
  <c r="P4" i="2" l="1"/>
  <c r="O4" i="2"/>
  <c r="Q17" i="66" l="1"/>
  <c r="D45" i="65"/>
  <c r="F129" i="69"/>
  <c r="H129" i="69" s="1"/>
  <c r="D130" i="69"/>
  <c r="D129" i="69"/>
  <c r="F127" i="69"/>
  <c r="H127" i="69" s="1"/>
  <c r="D127" i="69"/>
  <c r="D126" i="69"/>
  <c r="I10" i="60"/>
  <c r="H41" i="61"/>
  <c r="A21" i="69"/>
  <c r="A28" i="69" s="1"/>
  <c r="A35" i="69" s="1"/>
  <c r="A38" i="69" s="1"/>
  <c r="A41" i="69" s="1"/>
  <c r="A44" i="69" s="1"/>
  <c r="G124" i="69"/>
  <c r="H124" i="69" s="1"/>
  <c r="D124" i="69"/>
  <c r="H123" i="69"/>
  <c r="D123" i="69"/>
  <c r="D122" i="69"/>
  <c r="D121" i="69"/>
  <c r="H120" i="69"/>
  <c r="D120" i="69"/>
  <c r="F119" i="69"/>
  <c r="D119" i="69"/>
  <c r="F118" i="69"/>
  <c r="H118" i="69" s="1"/>
  <c r="D118" i="69"/>
  <c r="H64" i="69"/>
  <c r="D64" i="69"/>
  <c r="H63" i="69"/>
  <c r="D63" i="69"/>
  <c r="F62" i="69"/>
  <c r="H62" i="69" s="1"/>
  <c r="D62" i="69"/>
  <c r="D61" i="69"/>
  <c r="D60" i="69"/>
  <c r="D59" i="69"/>
  <c r="G58" i="69"/>
  <c r="H58" i="69" s="1"/>
  <c r="D58" i="69"/>
  <c r="H57" i="69"/>
  <c r="D57" i="69"/>
  <c r="D56" i="69"/>
  <c r="G55" i="69"/>
  <c r="D55" i="69"/>
  <c r="H54" i="69"/>
  <c r="D54" i="69"/>
  <c r="D53" i="69"/>
  <c r="H52" i="69"/>
  <c r="D52" i="69"/>
  <c r="H51" i="69"/>
  <c r="D51" i="69"/>
  <c r="D50" i="69"/>
  <c r="H49" i="69"/>
  <c r="D49" i="69"/>
  <c r="H48" i="69"/>
  <c r="D48" i="69"/>
  <c r="D47" i="69"/>
  <c r="H46" i="69"/>
  <c r="D46" i="69"/>
  <c r="H45" i="69"/>
  <c r="D45" i="69"/>
  <c r="H44" i="69"/>
  <c r="D44" i="69"/>
  <c r="H55" i="69" l="1"/>
  <c r="H119" i="69"/>
  <c r="G121" i="69"/>
  <c r="H121" i="69" s="1"/>
  <c r="G130" i="69"/>
  <c r="H130" i="69" s="1"/>
  <c r="G126" i="69"/>
  <c r="H126" i="69" s="1"/>
  <c r="AE10" i="66"/>
  <c r="S17" i="66" l="1"/>
  <c r="I16" i="66"/>
  <c r="Q16" i="66" s="1"/>
  <c r="F54" i="6" l="1"/>
  <c r="F52" i="6"/>
  <c r="F46" i="6"/>
  <c r="E17" i="22"/>
  <c r="E16" i="22"/>
  <c r="E29" i="22"/>
  <c r="E28" i="22"/>
  <c r="F55" i="6" l="1"/>
  <c r="H115" i="69"/>
  <c r="H112" i="69"/>
  <c r="G116" i="69" l="1"/>
  <c r="H116" i="69" s="1"/>
  <c r="D116" i="69"/>
  <c r="D115" i="69"/>
  <c r="G113" i="69" l="1"/>
  <c r="H113" i="69" s="1"/>
  <c r="F109" i="69"/>
  <c r="H109" i="69" s="1"/>
  <c r="G110" i="69" l="1"/>
  <c r="H110" i="69" s="1"/>
  <c r="F106" i="69"/>
  <c r="H106" i="69" s="1"/>
  <c r="F103" i="69"/>
  <c r="H103" i="69" s="1"/>
  <c r="F100" i="69"/>
  <c r="H100" i="69" s="1"/>
  <c r="H97" i="69"/>
  <c r="H94" i="69"/>
  <c r="H85" i="69"/>
  <c r="G84" i="69"/>
  <c r="G98" i="69"/>
  <c r="H98" i="69" s="1"/>
  <c r="H84" i="69" l="1"/>
  <c r="G104" i="69"/>
  <c r="H104" i="69" s="1"/>
  <c r="G107" i="69"/>
  <c r="G101" i="69"/>
  <c r="H101" i="69" s="1"/>
  <c r="G95" i="69"/>
  <c r="H95" i="69" s="1"/>
  <c r="H91" i="69"/>
  <c r="H88" i="69"/>
  <c r="H89" i="69"/>
  <c r="H87" i="69"/>
  <c r="H107" i="69" l="1"/>
  <c r="G92" i="69"/>
  <c r="G1" i="69" s="1"/>
  <c r="H92" i="69" l="1"/>
  <c r="H75" i="69"/>
  <c r="F76" i="69" l="1"/>
  <c r="H76" i="69" l="1"/>
  <c r="D69" i="22"/>
  <c r="C69" i="22"/>
  <c r="I236" i="68"/>
  <c r="I314" i="68" s="1"/>
  <c r="H236" i="68"/>
  <c r="H314" i="68" s="1"/>
  <c r="I197" i="68"/>
  <c r="I194" i="68"/>
  <c r="I193" i="68"/>
  <c r="I188" i="68"/>
  <c r="G24" i="13"/>
  <c r="F41" i="69" l="1"/>
  <c r="D42" i="69"/>
  <c r="D41" i="69"/>
  <c r="L14" i="13" l="1"/>
  <c r="H41" i="69" l="1"/>
  <c r="K10" i="60" l="1"/>
  <c r="I11" i="60" l="1"/>
  <c r="K11" i="60" s="1"/>
  <c r="AG10" i="66"/>
  <c r="B53" i="66"/>
  <c r="O15" i="66" l="1"/>
  <c r="P15" i="66"/>
  <c r="S10" i="66"/>
  <c r="Y10" i="66"/>
  <c r="D12" i="65"/>
  <c r="AD10" i="66" l="1"/>
  <c r="U10" i="66"/>
  <c r="H134" i="17" l="1"/>
  <c r="E10" i="66" s="1"/>
  <c r="E8" i="66" s="1"/>
  <c r="Y166" i="2"/>
  <c r="E52" i="6"/>
  <c r="R109" i="2"/>
  <c r="H58" i="16"/>
  <c r="E73" i="15"/>
  <c r="C19" i="15"/>
  <c r="C48" i="15" s="1"/>
  <c r="G14" i="13"/>
  <c r="G15" i="13"/>
  <c r="G23" i="13"/>
  <c r="D43" i="69"/>
  <c r="D75" i="69"/>
  <c r="D76" i="69"/>
  <c r="D77" i="69"/>
  <c r="D84" i="69"/>
  <c r="D85" i="69"/>
  <c r="D86" i="69"/>
  <c r="D87" i="69"/>
  <c r="D88" i="69"/>
  <c r="D89" i="69"/>
  <c r="D90" i="69"/>
  <c r="D91" i="69"/>
  <c r="D92" i="69"/>
  <c r="D93" i="69"/>
  <c r="D94" i="69"/>
  <c r="D95" i="69"/>
  <c r="D96" i="69"/>
  <c r="D97" i="69"/>
  <c r="D98" i="69"/>
  <c r="D99" i="69"/>
  <c r="D100" i="69"/>
  <c r="D101" i="69"/>
  <c r="D102" i="69"/>
  <c r="D103" i="69"/>
  <c r="D104" i="69"/>
  <c r="D105" i="69"/>
  <c r="D106" i="69"/>
  <c r="D107" i="69"/>
  <c r="D108" i="69"/>
  <c r="D109" i="69"/>
  <c r="D110" i="69"/>
  <c r="D111" i="69"/>
  <c r="D112" i="69"/>
  <c r="D113" i="69"/>
  <c r="D114" i="69"/>
  <c r="H42" i="69"/>
  <c r="H39" i="69"/>
  <c r="G22" i="13" l="1"/>
  <c r="G25" i="13" s="1"/>
  <c r="F14" i="13" l="1"/>
  <c r="E14" i="13"/>
  <c r="H14" i="13" s="1"/>
  <c r="H23" i="13"/>
  <c r="H19" i="13" l="1"/>
  <c r="G80" i="13" l="1"/>
  <c r="H36" i="13"/>
  <c r="H37" i="13"/>
  <c r="D41" i="13"/>
  <c r="H42" i="13" s="1"/>
  <c r="D118" i="19"/>
  <c r="D119" i="19"/>
  <c r="D113" i="19"/>
  <c r="D174" i="19"/>
  <c r="D168" i="19"/>
  <c r="D157" i="19"/>
  <c r="K193" i="68" s="1"/>
  <c r="L193" i="68" s="1"/>
  <c r="D175" i="19"/>
  <c r="K199" i="68" s="1"/>
  <c r="L199" i="68" s="1"/>
  <c r="D180" i="19"/>
  <c r="D181" i="19"/>
  <c r="D183" i="19"/>
  <c r="D184" i="19"/>
  <c r="E43" i="7"/>
  <c r="D28" i="7"/>
  <c r="X14" i="66" s="1"/>
  <c r="G18" i="50"/>
  <c r="F8" i="2" l="1"/>
  <c r="H36" i="69"/>
  <c r="H35" i="69"/>
  <c r="H33" i="69"/>
  <c r="H32" i="69"/>
  <c r="H31" i="69"/>
  <c r="H30" i="69"/>
  <c r="H29" i="69"/>
  <c r="H28" i="69"/>
  <c r="H26" i="69"/>
  <c r="H25" i="69"/>
  <c r="H24" i="69"/>
  <c r="H23" i="69"/>
  <c r="H22" i="69"/>
  <c r="H21" i="69"/>
  <c r="H19" i="69"/>
  <c r="H18" i="69"/>
  <c r="H17" i="69"/>
  <c r="H16" i="69"/>
  <c r="H15" i="69"/>
  <c r="H14" i="69"/>
  <c r="H13" i="69"/>
  <c r="H12" i="69"/>
  <c r="H11" i="69"/>
  <c r="H10" i="69"/>
  <c r="H9" i="69"/>
  <c r="H7" i="69"/>
  <c r="H6" i="69"/>
  <c r="H4" i="69"/>
  <c r="I16" i="60" l="1"/>
  <c r="K16" i="60" s="1"/>
  <c r="I17" i="60"/>
  <c r="I18" i="60"/>
  <c r="I19" i="60"/>
  <c r="S623" i="2" l="1"/>
  <c r="S622" i="2"/>
  <c r="S621" i="2"/>
  <c r="S620" i="2"/>
  <c r="S619" i="2"/>
  <c r="S618" i="2"/>
  <c r="S617" i="2"/>
  <c r="S616" i="2"/>
  <c r="S615" i="2"/>
  <c r="S614" i="2"/>
  <c r="S613" i="2"/>
  <c r="S612" i="2"/>
  <c r="S611" i="2"/>
  <c r="S610" i="2"/>
  <c r="S609" i="2"/>
  <c r="S608" i="2"/>
  <c r="S607" i="2"/>
  <c r="S606" i="2"/>
  <c r="S605" i="2"/>
  <c r="S604" i="2"/>
  <c r="S603" i="2"/>
  <c r="S602" i="2"/>
  <c r="S601" i="2"/>
  <c r="S600" i="2"/>
  <c r="S599" i="2"/>
  <c r="S598" i="2"/>
  <c r="S597" i="2"/>
  <c r="S596" i="2"/>
  <c r="S595" i="2"/>
  <c r="S594" i="2"/>
  <c r="S593" i="2"/>
  <c r="S592" i="2"/>
  <c r="S591" i="2"/>
  <c r="S590" i="2"/>
  <c r="S589" i="2"/>
  <c r="S588" i="2"/>
  <c r="S587" i="2"/>
  <c r="S586" i="2"/>
  <c r="S585" i="2"/>
  <c r="S584" i="2"/>
  <c r="S583" i="2"/>
  <c r="S582" i="2"/>
  <c r="S581" i="2"/>
  <c r="S580" i="2"/>
  <c r="S579" i="2"/>
  <c r="S578" i="2"/>
  <c r="S577" i="2"/>
  <c r="S576" i="2"/>
  <c r="S575" i="2"/>
  <c r="S574" i="2"/>
  <c r="S573" i="2"/>
  <c r="S572" i="2"/>
  <c r="S571" i="2"/>
  <c r="S570" i="2"/>
  <c r="S569" i="2"/>
  <c r="S568" i="2"/>
  <c r="S567" i="2"/>
  <c r="S566" i="2"/>
  <c r="S565" i="2"/>
  <c r="S564" i="2"/>
  <c r="S563" i="2"/>
  <c r="S562" i="2"/>
  <c r="S561" i="2"/>
  <c r="S560" i="2"/>
  <c r="S559" i="2"/>
  <c r="S558" i="2"/>
  <c r="S557" i="2"/>
  <c r="S556" i="2"/>
  <c r="S555" i="2"/>
  <c r="S554" i="2"/>
  <c r="S553" i="2"/>
  <c r="S552" i="2"/>
  <c r="S551" i="2"/>
  <c r="S550" i="2"/>
  <c r="S549" i="2"/>
  <c r="S548" i="2"/>
  <c r="S547" i="2"/>
  <c r="S546" i="2"/>
  <c r="S545" i="2"/>
  <c r="S544" i="2"/>
  <c r="S543" i="2"/>
  <c r="S542" i="2"/>
  <c r="S541" i="2"/>
  <c r="S540" i="2"/>
  <c r="S539" i="2"/>
  <c r="S538" i="2"/>
  <c r="S534" i="2"/>
  <c r="S533" i="2"/>
  <c r="S532" i="2"/>
  <c r="S531" i="2"/>
  <c r="S530" i="2"/>
  <c r="S529" i="2"/>
  <c r="S528" i="2"/>
  <c r="S527" i="2"/>
  <c r="S526" i="2"/>
  <c r="S525" i="2"/>
  <c r="S523" i="2"/>
  <c r="S522" i="2"/>
  <c r="S520" i="2"/>
  <c r="S518" i="2"/>
  <c r="S517" i="2"/>
  <c r="S516" i="2"/>
  <c r="S515" i="2"/>
  <c r="S514" i="2"/>
  <c r="S513" i="2"/>
  <c r="S512" i="2"/>
  <c r="S511" i="2"/>
  <c r="S510" i="2"/>
  <c r="S509" i="2"/>
  <c r="S508" i="2"/>
  <c r="S507" i="2"/>
  <c r="S506" i="2"/>
  <c r="S505" i="2"/>
  <c r="S504" i="2"/>
  <c r="S503" i="2"/>
  <c r="S502" i="2"/>
  <c r="S501" i="2"/>
  <c r="S500" i="2"/>
  <c r="S499" i="2"/>
  <c r="S498" i="2"/>
  <c r="S497" i="2"/>
  <c r="S496" i="2"/>
  <c r="S495" i="2"/>
  <c r="S494" i="2"/>
  <c r="S493" i="2"/>
  <c r="S492" i="2"/>
  <c r="S491" i="2"/>
  <c r="S490" i="2"/>
  <c r="S489" i="2"/>
  <c r="S488" i="2"/>
  <c r="S487" i="2"/>
  <c r="S486" i="2"/>
  <c r="S485" i="2"/>
  <c r="S484" i="2"/>
  <c r="S483" i="2"/>
  <c r="S482" i="2"/>
  <c r="S481" i="2"/>
  <c r="S480" i="2"/>
  <c r="S479" i="2"/>
  <c r="S478" i="2"/>
  <c r="S477" i="2"/>
  <c r="S476" i="2"/>
  <c r="S475" i="2"/>
  <c r="S474" i="2"/>
  <c r="S473" i="2"/>
  <c r="S472" i="2"/>
  <c r="S471" i="2"/>
  <c r="S470" i="2"/>
  <c r="S469" i="2"/>
  <c r="S468" i="2"/>
  <c r="S467" i="2"/>
  <c r="S466" i="2"/>
  <c r="S465" i="2"/>
  <c r="S464" i="2"/>
  <c r="S463" i="2"/>
  <c r="S462" i="2"/>
  <c r="S461" i="2"/>
  <c r="S460" i="2"/>
  <c r="S459" i="2"/>
  <c r="S458" i="2"/>
  <c r="S457" i="2"/>
  <c r="S456" i="2"/>
  <c r="S455" i="2"/>
  <c r="S454" i="2"/>
  <c r="S453" i="2"/>
  <c r="S452" i="2"/>
  <c r="S451" i="2"/>
  <c r="S450" i="2"/>
  <c r="S449" i="2"/>
  <c r="S448" i="2"/>
  <c r="S446" i="2"/>
  <c r="S445" i="2"/>
  <c r="S444" i="2"/>
  <c r="S443" i="2"/>
  <c r="S442" i="2"/>
  <c r="S441" i="2"/>
  <c r="S440" i="2"/>
  <c r="S439" i="2"/>
  <c r="S438" i="2"/>
  <c r="S437" i="2"/>
  <c r="S436" i="2"/>
  <c r="S435" i="2"/>
  <c r="S434" i="2"/>
  <c r="S433" i="2"/>
  <c r="S432" i="2"/>
  <c r="S431" i="2"/>
  <c r="S430" i="2"/>
  <c r="S429" i="2"/>
  <c r="S428" i="2"/>
  <c r="S427" i="2"/>
  <c r="S426" i="2"/>
  <c r="S425" i="2"/>
  <c r="S424" i="2"/>
  <c r="S423" i="2"/>
  <c r="S422" i="2"/>
  <c r="S421" i="2"/>
  <c r="S420" i="2"/>
  <c r="S419" i="2"/>
  <c r="S418" i="2"/>
  <c r="S417" i="2"/>
  <c r="S416" i="2"/>
  <c r="S415" i="2"/>
  <c r="S414" i="2"/>
  <c r="S413" i="2"/>
  <c r="S412" i="2"/>
  <c r="S411" i="2"/>
  <c r="S410" i="2"/>
  <c r="S409" i="2"/>
  <c r="S408" i="2"/>
  <c r="S407" i="2"/>
  <c r="S406" i="2"/>
  <c r="S405" i="2"/>
  <c r="S404" i="2"/>
  <c r="S403" i="2"/>
  <c r="S402" i="2"/>
  <c r="S401" i="2"/>
  <c r="S400" i="2"/>
  <c r="S399" i="2"/>
  <c r="S398" i="2"/>
  <c r="S397" i="2"/>
  <c r="S396" i="2"/>
  <c r="S395" i="2"/>
  <c r="S394" i="2"/>
  <c r="S393" i="2"/>
  <c r="S392" i="2"/>
  <c r="S391" i="2"/>
  <c r="S390" i="2"/>
  <c r="S389" i="2"/>
  <c r="S388" i="2"/>
  <c r="S387" i="2"/>
  <c r="S386" i="2"/>
  <c r="S385" i="2"/>
  <c r="S384" i="2"/>
  <c r="S383" i="2"/>
  <c r="S382" i="2"/>
  <c r="S381" i="2"/>
  <c r="S380" i="2"/>
  <c r="S379" i="2"/>
  <c r="S378" i="2"/>
  <c r="S377" i="2"/>
  <c r="S376" i="2"/>
  <c r="S375" i="2"/>
  <c r="S374" i="2"/>
  <c r="S373" i="2"/>
  <c r="S372" i="2"/>
  <c r="S371" i="2"/>
  <c r="S370" i="2"/>
  <c r="S369" i="2"/>
  <c r="S368" i="2"/>
  <c r="S367" i="2"/>
  <c r="S366" i="2"/>
  <c r="S365" i="2"/>
  <c r="S364" i="2"/>
  <c r="S363" i="2"/>
  <c r="S362" i="2"/>
  <c r="S361" i="2"/>
  <c r="S360" i="2"/>
  <c r="S359" i="2"/>
  <c r="S358" i="2"/>
  <c r="S357" i="2"/>
  <c r="S356" i="2"/>
  <c r="S355" i="2"/>
  <c r="S354" i="2"/>
  <c r="S353" i="2"/>
  <c r="S352" i="2"/>
  <c r="S351" i="2"/>
  <c r="S350" i="2"/>
  <c r="S349" i="2"/>
  <c r="S348" i="2"/>
  <c r="S347" i="2"/>
  <c r="S346" i="2"/>
  <c r="S345" i="2"/>
  <c r="S344" i="2"/>
  <c r="S343" i="2"/>
  <c r="S342" i="2"/>
  <c r="S341" i="2"/>
  <c r="S340" i="2"/>
  <c r="S339" i="2"/>
  <c r="S338" i="2"/>
  <c r="S337" i="2"/>
  <c r="S336" i="2"/>
  <c r="S335" i="2"/>
  <c r="S334" i="2"/>
  <c r="S333" i="2"/>
  <c r="S332" i="2"/>
  <c r="S331" i="2"/>
  <c r="S330" i="2"/>
  <c r="S329" i="2"/>
  <c r="S328" i="2"/>
  <c r="S327" i="2"/>
  <c r="S326" i="2"/>
  <c r="S325" i="2"/>
  <c r="S324" i="2"/>
  <c r="S323" i="2"/>
  <c r="S322" i="2"/>
  <c r="S321" i="2"/>
  <c r="S320" i="2"/>
  <c r="S319" i="2"/>
  <c r="S318" i="2"/>
  <c r="S317" i="2"/>
  <c r="S316" i="2"/>
  <c r="S315" i="2"/>
  <c r="S314" i="2"/>
  <c r="S313" i="2"/>
  <c r="S312" i="2"/>
  <c r="S311" i="2"/>
  <c r="S310" i="2"/>
  <c r="S309" i="2"/>
  <c r="S308" i="2"/>
  <c r="S307" i="2"/>
  <c r="S306" i="2"/>
  <c r="S305" i="2"/>
  <c r="S303" i="2"/>
  <c r="S302" i="2"/>
  <c r="S301" i="2"/>
  <c r="S300" i="2"/>
  <c r="S299" i="2"/>
  <c r="S298" i="2"/>
  <c r="S297" i="2"/>
  <c r="S296" i="2"/>
  <c r="S295" i="2"/>
  <c r="S294" i="2"/>
  <c r="S293" i="2"/>
  <c r="S292" i="2"/>
  <c r="S291" i="2"/>
  <c r="S290" i="2"/>
  <c r="S289" i="2"/>
  <c r="S288" i="2"/>
  <c r="S287" i="2"/>
  <c r="S286" i="2"/>
  <c r="S285" i="2"/>
  <c r="S284" i="2"/>
  <c r="S283" i="2"/>
  <c r="S282" i="2"/>
  <c r="S281" i="2"/>
  <c r="S280" i="2"/>
  <c r="S279" i="2"/>
  <c r="S278" i="2"/>
  <c r="S277" i="2"/>
  <c r="S276" i="2"/>
  <c r="S275" i="2"/>
  <c r="S274" i="2"/>
  <c r="S273" i="2"/>
  <c r="S272" i="2"/>
  <c r="S271" i="2"/>
  <c r="S270" i="2"/>
  <c r="S269" i="2"/>
  <c r="S268" i="2"/>
  <c r="S267" i="2"/>
  <c r="S266" i="2"/>
  <c r="S265" i="2"/>
  <c r="S264" i="2"/>
  <c r="S263" i="2"/>
  <c r="S262" i="2"/>
  <c r="S261" i="2"/>
  <c r="S260" i="2"/>
  <c r="S259" i="2"/>
  <c r="S258" i="2"/>
  <c r="S257" i="2"/>
  <c r="S256" i="2"/>
  <c r="S255" i="2"/>
  <c r="S254" i="2"/>
  <c r="S253" i="2"/>
  <c r="S252" i="2"/>
  <c r="S251" i="2"/>
  <c r="S250" i="2"/>
  <c r="S249" i="2"/>
  <c r="S248" i="2"/>
  <c r="S247" i="2"/>
  <c r="S246" i="2"/>
  <c r="S245" i="2"/>
  <c r="S244" i="2"/>
  <c r="S243" i="2"/>
  <c r="S242" i="2"/>
  <c r="S241" i="2"/>
  <c r="S240" i="2"/>
  <c r="S239" i="2"/>
  <c r="S238" i="2"/>
  <c r="S237" i="2"/>
  <c r="S236" i="2"/>
  <c r="S235" i="2"/>
  <c r="S234" i="2"/>
  <c r="S233" i="2"/>
  <c r="S232" i="2"/>
  <c r="S231" i="2"/>
  <c r="S230" i="2"/>
  <c r="S229" i="2"/>
  <c r="S228" i="2"/>
  <c r="S227" i="2"/>
  <c r="S226" i="2"/>
  <c r="S225" i="2"/>
  <c r="S224" i="2"/>
  <c r="S223" i="2"/>
  <c r="S222" i="2"/>
  <c r="S221" i="2"/>
  <c r="S220" i="2"/>
  <c r="S219" i="2"/>
  <c r="S218" i="2"/>
  <c r="S217" i="2"/>
  <c r="S216" i="2"/>
  <c r="S215" i="2"/>
  <c r="S214" i="2"/>
  <c r="S213" i="2"/>
  <c r="S212" i="2"/>
  <c r="S211" i="2"/>
  <c r="S210" i="2"/>
  <c r="S209" i="2"/>
  <c r="S208" i="2"/>
  <c r="S207" i="2"/>
  <c r="S206" i="2"/>
  <c r="S205" i="2"/>
  <c r="S204" i="2"/>
  <c r="S203" i="2"/>
  <c r="S202" i="2"/>
  <c r="S201" i="2"/>
  <c r="S200" i="2"/>
  <c r="S199" i="2"/>
  <c r="S198" i="2"/>
  <c r="S197" i="2"/>
  <c r="S196" i="2"/>
  <c r="S195" i="2"/>
  <c r="S194" i="2"/>
  <c r="S193" i="2"/>
  <c r="S192" i="2"/>
  <c r="S191" i="2"/>
  <c r="S190" i="2"/>
  <c r="S189" i="2"/>
  <c r="S188" i="2"/>
  <c r="S187" i="2"/>
  <c r="S186" i="2"/>
  <c r="S185" i="2"/>
  <c r="S184" i="2"/>
  <c r="S183" i="2"/>
  <c r="S182" i="2"/>
  <c r="S181" i="2"/>
  <c r="S180" i="2"/>
  <c r="S179" i="2"/>
  <c r="S178" i="2"/>
  <c r="S177" i="2"/>
  <c r="S176" i="2"/>
  <c r="S175" i="2"/>
  <c r="S174" i="2"/>
  <c r="S173" i="2"/>
  <c r="S172" i="2"/>
  <c r="S171" i="2"/>
  <c r="S170" i="2"/>
  <c r="S169" i="2"/>
  <c r="S168" i="2"/>
  <c r="S167" i="2"/>
  <c r="S166" i="2"/>
  <c r="S165" i="2"/>
  <c r="S164" i="2"/>
  <c r="S163" i="2"/>
  <c r="S162" i="2"/>
  <c r="S161" i="2"/>
  <c r="S160" i="2"/>
  <c r="S159" i="2"/>
  <c r="S158" i="2"/>
  <c r="S157" i="2"/>
  <c r="S156" i="2"/>
  <c r="S155" i="2"/>
  <c r="S154" i="2"/>
  <c r="S153" i="2"/>
  <c r="S152" i="2"/>
  <c r="S151" i="2"/>
  <c r="S150" i="2"/>
  <c r="S149" i="2"/>
  <c r="S148" i="2"/>
  <c r="S147" i="2"/>
  <c r="S146" i="2"/>
  <c r="S145" i="2"/>
  <c r="S144" i="2"/>
  <c r="S143" i="2"/>
  <c r="S142" i="2"/>
  <c r="S141" i="2"/>
  <c r="S140" i="2"/>
  <c r="S139" i="2"/>
  <c r="S138" i="2"/>
  <c r="S137" i="2"/>
  <c r="S136" i="2"/>
  <c r="S135" i="2"/>
  <c r="S134" i="2"/>
  <c r="S133" i="2"/>
  <c r="S132" i="2"/>
  <c r="S131" i="2"/>
  <c r="S130" i="2"/>
  <c r="S129" i="2"/>
  <c r="S128" i="2"/>
  <c r="S127" i="2"/>
  <c r="S126" i="2"/>
  <c r="S125" i="2"/>
  <c r="S124" i="2"/>
  <c r="S123" i="2"/>
  <c r="S122" i="2"/>
  <c r="S121" i="2"/>
  <c r="S120" i="2"/>
  <c r="S119" i="2"/>
  <c r="S118" i="2"/>
  <c r="S117" i="2"/>
  <c r="S116" i="2"/>
  <c r="S115" i="2"/>
  <c r="S114" i="2"/>
  <c r="S113" i="2"/>
  <c r="S112" i="2"/>
  <c r="S111" i="2"/>
  <c r="S110" i="2"/>
  <c r="S108" i="2"/>
  <c r="S107" i="2"/>
  <c r="S106" i="2"/>
  <c r="S105" i="2"/>
  <c r="S104" i="2"/>
  <c r="S103" i="2"/>
  <c r="S102" i="2"/>
  <c r="S101" i="2"/>
  <c r="S100" i="2"/>
  <c r="S99" i="2"/>
  <c r="S98" i="2"/>
  <c r="S97" i="2"/>
  <c r="S96" i="2"/>
  <c r="S95" i="2"/>
  <c r="S94" i="2"/>
  <c r="S93" i="2"/>
  <c r="S92" i="2"/>
  <c r="S91" i="2"/>
  <c r="S90" i="2"/>
  <c r="S89" i="2"/>
  <c r="S88" i="2"/>
  <c r="S87" i="2"/>
  <c r="S86" i="2"/>
  <c r="S85" i="2"/>
  <c r="S84" i="2"/>
  <c r="S83" i="2"/>
  <c r="S82" i="2"/>
  <c r="S81" i="2"/>
  <c r="S80" i="2"/>
  <c r="S79" i="2"/>
  <c r="S78" i="2"/>
  <c r="S77" i="2"/>
  <c r="S76" i="2"/>
  <c r="S75" i="2"/>
  <c r="S74" i="2"/>
  <c r="S73" i="2"/>
  <c r="S72" i="2"/>
  <c r="S71" i="2"/>
  <c r="S70" i="2"/>
  <c r="S69" i="2"/>
  <c r="S68" i="2"/>
  <c r="S67" i="2"/>
  <c r="S66" i="2"/>
  <c r="S65" i="2"/>
  <c r="S64" i="2"/>
  <c r="S63" i="2"/>
  <c r="S62" i="2"/>
  <c r="S61" i="2"/>
  <c r="S60" i="2"/>
  <c r="S59" i="2"/>
  <c r="S58" i="2"/>
  <c r="S57" i="2"/>
  <c r="S56" i="2"/>
  <c r="S55" i="2"/>
  <c r="S54" i="2"/>
  <c r="S53" i="2"/>
  <c r="S52" i="2"/>
  <c r="S51" i="2"/>
  <c r="S50" i="2"/>
  <c r="S49" i="2"/>
  <c r="S48" i="2"/>
  <c r="S47" i="2"/>
  <c r="S46" i="2"/>
  <c r="S45" i="2"/>
  <c r="S43" i="2"/>
  <c r="S42" i="2"/>
  <c r="S41" i="2"/>
  <c r="S40"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L623" i="2"/>
  <c r="L622" i="2"/>
  <c r="L621" i="2"/>
  <c r="L620" i="2"/>
  <c r="L619" i="2"/>
  <c r="L618" i="2"/>
  <c r="L617" i="2"/>
  <c r="L616" i="2"/>
  <c r="L615" i="2"/>
  <c r="L614" i="2"/>
  <c r="L613" i="2"/>
  <c r="L612" i="2"/>
  <c r="L611" i="2"/>
  <c r="L610" i="2"/>
  <c r="L609" i="2"/>
  <c r="L608" i="2"/>
  <c r="L607" i="2"/>
  <c r="L606" i="2"/>
  <c r="L605" i="2"/>
  <c r="L604" i="2"/>
  <c r="L603" i="2"/>
  <c r="L602" i="2"/>
  <c r="L601" i="2"/>
  <c r="L600" i="2"/>
  <c r="L599" i="2"/>
  <c r="L598" i="2"/>
  <c r="L597" i="2"/>
  <c r="L596" i="2"/>
  <c r="L595" i="2"/>
  <c r="L594" i="2"/>
  <c r="L593" i="2"/>
  <c r="L592" i="2"/>
  <c r="L591" i="2"/>
  <c r="L590" i="2"/>
  <c r="L589" i="2"/>
  <c r="L588" i="2"/>
  <c r="L587" i="2"/>
  <c r="L586" i="2"/>
  <c r="L585" i="2"/>
  <c r="L584" i="2"/>
  <c r="L583" i="2"/>
  <c r="L582" i="2"/>
  <c r="L581" i="2"/>
  <c r="L580" i="2"/>
  <c r="L579" i="2"/>
  <c r="L578" i="2"/>
  <c r="L577" i="2"/>
  <c r="L576" i="2"/>
  <c r="L575" i="2"/>
  <c r="L574" i="2"/>
  <c r="L573" i="2"/>
  <c r="L572" i="2"/>
  <c r="L571" i="2"/>
  <c r="L570" i="2"/>
  <c r="L569" i="2"/>
  <c r="L568" i="2"/>
  <c r="L567" i="2"/>
  <c r="L566" i="2"/>
  <c r="L565" i="2"/>
  <c r="L564" i="2"/>
  <c r="L563" i="2"/>
  <c r="L562" i="2"/>
  <c r="L561" i="2"/>
  <c r="L560" i="2"/>
  <c r="L559" i="2"/>
  <c r="L558" i="2"/>
  <c r="L557" i="2"/>
  <c r="L556" i="2"/>
  <c r="L555" i="2"/>
  <c r="L554" i="2"/>
  <c r="L553" i="2"/>
  <c r="L552" i="2"/>
  <c r="L551" i="2"/>
  <c r="L550" i="2"/>
  <c r="L549" i="2"/>
  <c r="L548" i="2"/>
  <c r="L547" i="2"/>
  <c r="L546" i="2"/>
  <c r="L545" i="2"/>
  <c r="L544" i="2"/>
  <c r="L543" i="2"/>
  <c r="L542" i="2"/>
  <c r="L541" i="2"/>
  <c r="L540" i="2"/>
  <c r="L539" i="2"/>
  <c r="L538" i="2"/>
  <c r="L534" i="2"/>
  <c r="L533" i="2"/>
  <c r="L532" i="2"/>
  <c r="L531" i="2"/>
  <c r="L530" i="2"/>
  <c r="L529" i="2"/>
  <c r="L528" i="2"/>
  <c r="L526" i="2"/>
  <c r="L525" i="2"/>
  <c r="L523" i="2"/>
  <c r="L522" i="2"/>
  <c r="L521" i="2"/>
  <c r="L519" i="2"/>
  <c r="L518" i="2"/>
  <c r="L517" i="2"/>
  <c r="L516" i="2"/>
  <c r="L515" i="2"/>
  <c r="L514" i="2"/>
  <c r="L513" i="2"/>
  <c r="L512" i="2"/>
  <c r="L511" i="2"/>
  <c r="L510" i="2"/>
  <c r="L509" i="2"/>
  <c r="L508" i="2"/>
  <c r="L507" i="2"/>
  <c r="L506" i="2"/>
  <c r="L505" i="2"/>
  <c r="L504" i="2"/>
  <c r="L503" i="2"/>
  <c r="L502" i="2"/>
  <c r="L501" i="2"/>
  <c r="L500" i="2"/>
  <c r="L499" i="2"/>
  <c r="L498" i="2"/>
  <c r="L497" i="2"/>
  <c r="L496" i="2"/>
  <c r="L495" i="2"/>
  <c r="L494" i="2"/>
  <c r="L493" i="2"/>
  <c r="L492" i="2"/>
  <c r="L491" i="2"/>
  <c r="L490" i="2"/>
  <c r="L489" i="2"/>
  <c r="L488" i="2"/>
  <c r="L487" i="2"/>
  <c r="L486" i="2"/>
  <c r="L484" i="2"/>
  <c r="L482" i="2"/>
  <c r="L481" i="2"/>
  <c r="L479" i="2"/>
  <c r="L478" i="2"/>
  <c r="L476" i="2"/>
  <c r="L475" i="2"/>
  <c r="L474" i="2"/>
  <c r="L473" i="2"/>
  <c r="L472" i="2"/>
  <c r="L471" i="2"/>
  <c r="L470" i="2"/>
  <c r="L469" i="2"/>
  <c r="L468" i="2"/>
  <c r="L467" i="2"/>
  <c r="L466" i="2"/>
  <c r="L465" i="2"/>
  <c r="L464" i="2"/>
  <c r="L463" i="2"/>
  <c r="L462" i="2"/>
  <c r="L461" i="2"/>
  <c r="L460" i="2"/>
  <c r="L459" i="2"/>
  <c r="L458" i="2"/>
  <c r="L457" i="2"/>
  <c r="L456" i="2"/>
  <c r="L455" i="2"/>
  <c r="L454" i="2"/>
  <c r="L453" i="2"/>
  <c r="L452" i="2"/>
  <c r="L451" i="2"/>
  <c r="L450" i="2"/>
  <c r="L449" i="2"/>
  <c r="L448" i="2"/>
  <c r="L446" i="2"/>
  <c r="L445" i="2"/>
  <c r="L444" i="2"/>
  <c r="L443" i="2"/>
  <c r="L442" i="2"/>
  <c r="L441" i="2"/>
  <c r="L440" i="2"/>
  <c r="L439" i="2"/>
  <c r="L438" i="2"/>
  <c r="L437" i="2"/>
  <c r="L436" i="2"/>
  <c r="L435" i="2"/>
  <c r="L434" i="2"/>
  <c r="L433" i="2"/>
  <c r="L432" i="2"/>
  <c r="L431" i="2"/>
  <c r="L430" i="2"/>
  <c r="L429" i="2"/>
  <c r="L428" i="2"/>
  <c r="L427" i="2"/>
  <c r="L426" i="2"/>
  <c r="L425" i="2"/>
  <c r="L424" i="2"/>
  <c r="L423" i="2"/>
  <c r="L421" i="2"/>
  <c r="L420" i="2"/>
  <c r="L419" i="2"/>
  <c r="L418" i="2"/>
  <c r="L417" i="2"/>
  <c r="L416" i="2"/>
  <c r="L415" i="2"/>
  <c r="L414" i="2"/>
  <c r="L413" i="2"/>
  <c r="L412" i="2"/>
  <c r="L411" i="2"/>
  <c r="L410" i="2"/>
  <c r="L409" i="2"/>
  <c r="L408" i="2"/>
  <c r="L407" i="2"/>
  <c r="L406" i="2"/>
  <c r="L405" i="2"/>
  <c r="L404" i="2"/>
  <c r="L403" i="2"/>
  <c r="L402" i="2"/>
  <c r="L401" i="2"/>
  <c r="L400" i="2"/>
  <c r="L399" i="2"/>
  <c r="L398" i="2"/>
  <c r="L397" i="2"/>
  <c r="L396" i="2"/>
  <c r="L395" i="2"/>
  <c r="L394" i="2"/>
  <c r="L393" i="2"/>
  <c r="L392" i="2"/>
  <c r="L391" i="2"/>
  <c r="L390" i="2"/>
  <c r="L389" i="2"/>
  <c r="L388" i="2"/>
  <c r="L387" i="2"/>
  <c r="L386" i="2"/>
  <c r="L385" i="2"/>
  <c r="L384" i="2"/>
  <c r="L383" i="2"/>
  <c r="L382" i="2"/>
  <c r="L381" i="2"/>
  <c r="L380" i="2"/>
  <c r="L379" i="2"/>
  <c r="L378" i="2"/>
  <c r="L377" i="2"/>
  <c r="L376" i="2"/>
  <c r="L375" i="2"/>
  <c r="L374" i="2"/>
  <c r="L373" i="2"/>
  <c r="L372" i="2"/>
  <c r="L371" i="2"/>
  <c r="L370" i="2"/>
  <c r="L369" i="2"/>
  <c r="L368" i="2"/>
  <c r="L367" i="2"/>
  <c r="L366" i="2"/>
  <c r="L365" i="2"/>
  <c r="L364" i="2"/>
  <c r="L363" i="2"/>
  <c r="L362" i="2"/>
  <c r="L361" i="2"/>
  <c r="L360" i="2"/>
  <c r="L359" i="2"/>
  <c r="L358" i="2"/>
  <c r="L357" i="2"/>
  <c r="L356" i="2"/>
  <c r="L355" i="2"/>
  <c r="L354" i="2"/>
  <c r="L353" i="2"/>
  <c r="L352" i="2"/>
  <c r="L351" i="2"/>
  <c r="L350" i="2"/>
  <c r="L349" i="2"/>
  <c r="L348" i="2"/>
  <c r="L347" i="2"/>
  <c r="L346" i="2"/>
  <c r="L345" i="2"/>
  <c r="L344" i="2"/>
  <c r="L343" i="2"/>
  <c r="L342" i="2"/>
  <c r="L341" i="2"/>
  <c r="L340" i="2"/>
  <c r="L339" i="2"/>
  <c r="L338" i="2"/>
  <c r="L337" i="2"/>
  <c r="L336" i="2"/>
  <c r="L335" i="2"/>
  <c r="L334" i="2"/>
  <c r="L333" i="2"/>
  <c r="L332" i="2"/>
  <c r="L331" i="2"/>
  <c r="L330" i="2"/>
  <c r="L329" i="2"/>
  <c r="L328" i="2"/>
  <c r="L327" i="2"/>
  <c r="L326" i="2"/>
  <c r="L325" i="2"/>
  <c r="L324" i="2"/>
  <c r="L323" i="2"/>
  <c r="L321" i="2"/>
  <c r="L320" i="2"/>
  <c r="L319" i="2"/>
  <c r="L318" i="2"/>
  <c r="L317" i="2"/>
  <c r="L316" i="2"/>
  <c r="L314" i="2"/>
  <c r="L313" i="2"/>
  <c r="L312" i="2"/>
  <c r="L311" i="2"/>
  <c r="L310" i="2"/>
  <c r="L309" i="2"/>
  <c r="L308" i="2"/>
  <c r="L307" i="2"/>
  <c r="L306" i="2"/>
  <c r="L305" i="2"/>
  <c r="L304" i="2"/>
  <c r="L303" i="2"/>
  <c r="L302" i="2"/>
  <c r="L301" i="2"/>
  <c r="L300" i="2"/>
  <c r="L299" i="2"/>
  <c r="L298" i="2"/>
  <c r="L297" i="2"/>
  <c r="L296" i="2"/>
  <c r="L295" i="2"/>
  <c r="L294" i="2"/>
  <c r="L293" i="2"/>
  <c r="L292" i="2"/>
  <c r="L291" i="2"/>
  <c r="L290" i="2"/>
  <c r="L289" i="2"/>
  <c r="L288" i="2"/>
  <c r="L287" i="2"/>
  <c r="L286" i="2"/>
  <c r="L285" i="2"/>
  <c r="L284" i="2"/>
  <c r="L283" i="2"/>
  <c r="L282" i="2"/>
  <c r="L281" i="2"/>
  <c r="L280" i="2"/>
  <c r="L279" i="2"/>
  <c r="L278" i="2"/>
  <c r="L277" i="2"/>
  <c r="L276" i="2"/>
  <c r="L275" i="2"/>
  <c r="L274" i="2"/>
  <c r="L273" i="2"/>
  <c r="L272" i="2"/>
  <c r="L271" i="2"/>
  <c r="L270" i="2"/>
  <c r="L269" i="2"/>
  <c r="L268" i="2"/>
  <c r="L267" i="2"/>
  <c r="L266" i="2"/>
  <c r="L265" i="2"/>
  <c r="L264" i="2"/>
  <c r="L263" i="2"/>
  <c r="L262" i="2"/>
  <c r="L261" i="2"/>
  <c r="L260" i="2"/>
  <c r="L259" i="2"/>
  <c r="L258" i="2"/>
  <c r="L257" i="2"/>
  <c r="L256" i="2"/>
  <c r="L255" i="2"/>
  <c r="L254" i="2"/>
  <c r="L253" i="2"/>
  <c r="L252" i="2"/>
  <c r="L251" i="2"/>
  <c r="L250" i="2"/>
  <c r="L249" i="2"/>
  <c r="L248" i="2"/>
  <c r="L247" i="2"/>
  <c r="L246" i="2"/>
  <c r="L245" i="2"/>
  <c r="L244" i="2"/>
  <c r="L243" i="2"/>
  <c r="L242" i="2"/>
  <c r="L241" i="2"/>
  <c r="L240" i="2"/>
  <c r="L239" i="2"/>
  <c r="L238" i="2"/>
  <c r="L237" i="2"/>
  <c r="L236" i="2"/>
  <c r="L235" i="2"/>
  <c r="L234" i="2"/>
  <c r="L233" i="2"/>
  <c r="L232" i="2"/>
  <c r="L231" i="2"/>
  <c r="L230" i="2"/>
  <c r="L229" i="2"/>
  <c r="L228" i="2"/>
  <c r="L227" i="2"/>
  <c r="L226" i="2"/>
  <c r="L225" i="2"/>
  <c r="L224" i="2"/>
  <c r="L223" i="2"/>
  <c r="L222" i="2"/>
  <c r="L221" i="2"/>
  <c r="L220" i="2"/>
  <c r="L219" i="2"/>
  <c r="L218" i="2"/>
  <c r="L217" i="2"/>
  <c r="L216" i="2"/>
  <c r="L215" i="2"/>
  <c r="L214" i="2"/>
  <c r="L213" i="2"/>
  <c r="L212" i="2"/>
  <c r="L211" i="2"/>
  <c r="L210" i="2"/>
  <c r="L209" i="2"/>
  <c r="L208" i="2"/>
  <c r="L207" i="2"/>
  <c r="L206" i="2"/>
  <c r="L205" i="2"/>
  <c r="L204" i="2"/>
  <c r="L203" i="2"/>
  <c r="L202" i="2"/>
  <c r="L201" i="2"/>
  <c r="L200" i="2"/>
  <c r="L198" i="2"/>
  <c r="L197" i="2"/>
  <c r="L196" i="2"/>
  <c r="L195" i="2"/>
  <c r="L194" i="2"/>
  <c r="L193" i="2"/>
  <c r="L192" i="2"/>
  <c r="L191" i="2"/>
  <c r="L190" i="2"/>
  <c r="L189" i="2"/>
  <c r="L188" i="2"/>
  <c r="L187" i="2"/>
  <c r="L186" i="2"/>
  <c r="L185" i="2"/>
  <c r="L184" i="2"/>
  <c r="L183" i="2"/>
  <c r="L182" i="2"/>
  <c r="L181" i="2"/>
  <c r="L180" i="2"/>
  <c r="L179" i="2"/>
  <c r="L178" i="2"/>
  <c r="L177" i="2"/>
  <c r="L176" i="2"/>
  <c r="L175" i="2"/>
  <c r="L174" i="2"/>
  <c r="L173" i="2"/>
  <c r="L172" i="2"/>
  <c r="L171" i="2"/>
  <c r="L170" i="2"/>
  <c r="L169" i="2"/>
  <c r="L168" i="2"/>
  <c r="L167" i="2"/>
  <c r="L166" i="2"/>
  <c r="L165" i="2"/>
  <c r="L164" i="2"/>
  <c r="L163" i="2"/>
  <c r="L162" i="2"/>
  <c r="L161" i="2"/>
  <c r="L160" i="2"/>
  <c r="L159" i="2"/>
  <c r="L158" i="2"/>
  <c r="L157" i="2"/>
  <c r="L156" i="2"/>
  <c r="L155" i="2"/>
  <c r="L154" i="2"/>
  <c r="L153" i="2"/>
  <c r="L152" i="2"/>
  <c r="L151" i="2"/>
  <c r="L150" i="2"/>
  <c r="L149" i="2"/>
  <c r="L148" i="2"/>
  <c r="L147" i="2"/>
  <c r="L146" i="2"/>
  <c r="L145" i="2"/>
  <c r="L144" i="2"/>
  <c r="L143" i="2"/>
  <c r="L142" i="2"/>
  <c r="L141" i="2"/>
  <c r="L140" i="2"/>
  <c r="L139" i="2"/>
  <c r="L138" i="2"/>
  <c r="L137" i="2"/>
  <c r="L136" i="2"/>
  <c r="L135" i="2"/>
  <c r="L134" i="2"/>
  <c r="L133" i="2"/>
  <c r="L132" i="2"/>
  <c r="L131" i="2"/>
  <c r="L130" i="2"/>
  <c r="L129" i="2"/>
  <c r="L128" i="2"/>
  <c r="L127" i="2"/>
  <c r="L126" i="2"/>
  <c r="L125" i="2"/>
  <c r="L124" i="2"/>
  <c r="L123" i="2"/>
  <c r="L122" i="2"/>
  <c r="L121" i="2"/>
  <c r="L120" i="2"/>
  <c r="L119" i="2"/>
  <c r="L118" i="2"/>
  <c r="L117" i="2"/>
  <c r="L116" i="2"/>
  <c r="L115" i="2"/>
  <c r="L114" i="2"/>
  <c r="L113" i="2"/>
  <c r="L112" i="2"/>
  <c r="L111" i="2"/>
  <c r="L110" i="2"/>
  <c r="L109" i="2"/>
  <c r="L108" i="2"/>
  <c r="L107" i="2"/>
  <c r="L106" i="2"/>
  <c r="L105" i="2"/>
  <c r="L104" i="2"/>
  <c r="L103" i="2"/>
  <c r="L102" i="2"/>
  <c r="L101" i="2"/>
  <c r="L100" i="2"/>
  <c r="L99" i="2"/>
  <c r="L98" i="2"/>
  <c r="L97" i="2"/>
  <c r="L96" i="2"/>
  <c r="L95" i="2"/>
  <c r="L94" i="2"/>
  <c r="L93" i="2"/>
  <c r="L92" i="2"/>
  <c r="L91" i="2"/>
  <c r="L90" i="2"/>
  <c r="L89"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8" i="2"/>
  <c r="L57" i="2"/>
  <c r="L56" i="2"/>
  <c r="L55" i="2"/>
  <c r="L54" i="2"/>
  <c r="L53" i="2"/>
  <c r="L52" i="2"/>
  <c r="L51" i="2"/>
  <c r="L50" i="2"/>
  <c r="L49" i="2"/>
  <c r="L48" i="2"/>
  <c r="L47" i="2"/>
  <c r="L46" i="2"/>
  <c r="L45" i="2"/>
  <c r="L43" i="2"/>
  <c r="L42" i="2"/>
  <c r="L41" i="2"/>
  <c r="L40" i="2"/>
  <c r="L39" i="2"/>
  <c r="L38" i="2"/>
  <c r="L37" i="2"/>
  <c r="L36" i="2"/>
  <c r="L35" i="2"/>
  <c r="L34" i="2"/>
  <c r="L32" i="2"/>
  <c r="L31" i="2"/>
  <c r="L30" i="2"/>
  <c r="L29" i="2"/>
  <c r="L28" i="2"/>
  <c r="L27" i="2"/>
  <c r="L26" i="2"/>
  <c r="L25" i="2"/>
  <c r="L24" i="2"/>
  <c r="L23" i="2"/>
  <c r="L22" i="2"/>
  <c r="L21" i="2"/>
  <c r="L20" i="2"/>
  <c r="L19" i="2"/>
  <c r="L18" i="2"/>
  <c r="L17" i="2"/>
  <c r="L16" i="2"/>
  <c r="L15" i="2"/>
  <c r="L14" i="2"/>
  <c r="L13" i="2"/>
  <c r="L12" i="2"/>
  <c r="L11" i="2"/>
  <c r="L10" i="2"/>
  <c r="L9" i="2"/>
  <c r="L8" i="2"/>
  <c r="G623" i="2"/>
  <c r="G622" i="2"/>
  <c r="G621" i="2"/>
  <c r="G620" i="2"/>
  <c r="G619" i="2"/>
  <c r="G618" i="2"/>
  <c r="G617" i="2"/>
  <c r="G616" i="2"/>
  <c r="G615" i="2"/>
  <c r="G614" i="2"/>
  <c r="G613" i="2"/>
  <c r="G612" i="2"/>
  <c r="G611" i="2"/>
  <c r="G610" i="2"/>
  <c r="G609" i="2"/>
  <c r="G608" i="2"/>
  <c r="G607" i="2"/>
  <c r="G606" i="2"/>
  <c r="G605" i="2"/>
  <c r="G604" i="2"/>
  <c r="G603" i="2"/>
  <c r="G602" i="2"/>
  <c r="G601" i="2"/>
  <c r="G600" i="2"/>
  <c r="G599" i="2"/>
  <c r="G598" i="2"/>
  <c r="G597" i="2"/>
  <c r="G596" i="2"/>
  <c r="G595" i="2"/>
  <c r="G594" i="2"/>
  <c r="G593" i="2"/>
  <c r="G592" i="2"/>
  <c r="G591" i="2"/>
  <c r="G590" i="2"/>
  <c r="G589" i="2"/>
  <c r="G588" i="2"/>
  <c r="G587" i="2"/>
  <c r="G586" i="2"/>
  <c r="G585" i="2"/>
  <c r="G584" i="2"/>
  <c r="G583" i="2"/>
  <c r="G582" i="2"/>
  <c r="G581" i="2"/>
  <c r="G580" i="2"/>
  <c r="G579" i="2"/>
  <c r="G578" i="2"/>
  <c r="G577" i="2"/>
  <c r="G576" i="2"/>
  <c r="G575" i="2"/>
  <c r="G574" i="2"/>
  <c r="G573" i="2"/>
  <c r="G572" i="2"/>
  <c r="G571" i="2"/>
  <c r="G570" i="2"/>
  <c r="G569" i="2"/>
  <c r="G568" i="2"/>
  <c r="G567" i="2"/>
  <c r="G566" i="2"/>
  <c r="G565" i="2"/>
  <c r="G564" i="2"/>
  <c r="G563" i="2"/>
  <c r="G562" i="2"/>
  <c r="G561" i="2"/>
  <c r="G560" i="2"/>
  <c r="G559" i="2"/>
  <c r="G558" i="2"/>
  <c r="G557" i="2"/>
  <c r="G556" i="2"/>
  <c r="G555" i="2"/>
  <c r="G554" i="2"/>
  <c r="G553" i="2"/>
  <c r="G552" i="2"/>
  <c r="G551" i="2"/>
  <c r="G550" i="2"/>
  <c r="G549" i="2"/>
  <c r="G548" i="2"/>
  <c r="G547" i="2"/>
  <c r="G546" i="2"/>
  <c r="G545" i="2"/>
  <c r="G544" i="2"/>
  <c r="G543" i="2"/>
  <c r="G542" i="2"/>
  <c r="G541" i="2"/>
  <c r="G540" i="2"/>
  <c r="G539" i="2"/>
  <c r="G538" i="2"/>
  <c r="G534" i="2"/>
  <c r="G533" i="2"/>
  <c r="G532" i="2"/>
  <c r="G531" i="2"/>
  <c r="G530" i="2"/>
  <c r="G529" i="2"/>
  <c r="G528" i="2"/>
  <c r="G527" i="2"/>
  <c r="G526" i="2"/>
  <c r="G525" i="2"/>
  <c r="G523" i="2"/>
  <c r="G522" i="2"/>
  <c r="G521" i="2"/>
  <c r="G519" i="2"/>
  <c r="G518" i="2"/>
  <c r="G517" i="2"/>
  <c r="G516" i="2"/>
  <c r="G515" i="2"/>
  <c r="G514" i="2"/>
  <c r="G513" i="2"/>
  <c r="G512" i="2"/>
  <c r="G511" i="2"/>
  <c r="G510" i="2"/>
  <c r="G509" i="2"/>
  <c r="G508" i="2"/>
  <c r="G507" i="2"/>
  <c r="G506" i="2"/>
  <c r="G505" i="2"/>
  <c r="G504" i="2"/>
  <c r="G503" i="2"/>
  <c r="G502" i="2"/>
  <c r="G501" i="2"/>
  <c r="G499" i="2"/>
  <c r="G498" i="2"/>
  <c r="G497" i="2"/>
  <c r="G496" i="2"/>
  <c r="G495" i="2"/>
  <c r="G494" i="2"/>
  <c r="G493" i="2"/>
  <c r="G492" i="2"/>
  <c r="G491" i="2"/>
  <c r="G490" i="2"/>
  <c r="G489" i="2"/>
  <c r="G488" i="2"/>
  <c r="G487" i="2"/>
  <c r="G486" i="2"/>
  <c r="G484" i="2"/>
  <c r="G482" i="2"/>
  <c r="G481" i="2"/>
  <c r="G479" i="2"/>
  <c r="G478" i="2"/>
  <c r="G476" i="2"/>
  <c r="G475" i="2"/>
  <c r="G474" i="2"/>
  <c r="G473" i="2"/>
  <c r="G472" i="2"/>
  <c r="G471" i="2"/>
  <c r="G470" i="2"/>
  <c r="G469" i="2"/>
  <c r="G468" i="2"/>
  <c r="G467" i="2"/>
  <c r="G466" i="2"/>
  <c r="G465" i="2"/>
  <c r="G464" i="2"/>
  <c r="G463" i="2"/>
  <c r="G462" i="2"/>
  <c r="G461" i="2"/>
  <c r="G460" i="2"/>
  <c r="G459" i="2"/>
  <c r="G458" i="2"/>
  <c r="G457" i="2"/>
  <c r="G456" i="2"/>
  <c r="G455" i="2"/>
  <c r="G454" i="2"/>
  <c r="G453" i="2"/>
  <c r="G452" i="2"/>
  <c r="G451" i="2"/>
  <c r="G450" i="2"/>
  <c r="G449" i="2"/>
  <c r="G448" i="2"/>
  <c r="G446" i="2"/>
  <c r="G445" i="2"/>
  <c r="G444" i="2"/>
  <c r="G443" i="2"/>
  <c r="G442" i="2"/>
  <c r="G441" i="2"/>
  <c r="G440" i="2"/>
  <c r="G439" i="2"/>
  <c r="G438" i="2"/>
  <c r="G437" i="2"/>
  <c r="G436" i="2"/>
  <c r="G435" i="2"/>
  <c r="G434" i="2"/>
  <c r="G433" i="2"/>
  <c r="G432" i="2"/>
  <c r="G431" i="2"/>
  <c r="G430" i="2"/>
  <c r="G429" i="2"/>
  <c r="G428" i="2"/>
  <c r="G427" i="2"/>
  <c r="G426" i="2"/>
  <c r="G425" i="2"/>
  <c r="G424" i="2"/>
  <c r="G423" i="2"/>
  <c r="G422" i="2"/>
  <c r="G421" i="2"/>
  <c r="G420" i="2"/>
  <c r="G419" i="2"/>
  <c r="G418" i="2"/>
  <c r="G417" i="2"/>
  <c r="G416" i="2"/>
  <c r="G415" i="2"/>
  <c r="G414" i="2"/>
  <c r="G413" i="2"/>
  <c r="G412" i="2"/>
  <c r="G411" i="2"/>
  <c r="G410" i="2"/>
  <c r="G409" i="2"/>
  <c r="G408" i="2"/>
  <c r="G407" i="2"/>
  <c r="G406" i="2"/>
  <c r="G405" i="2"/>
  <c r="G404" i="2"/>
  <c r="G403" i="2"/>
  <c r="G402" i="2"/>
  <c r="G401" i="2"/>
  <c r="G400" i="2"/>
  <c r="G399" i="2"/>
  <c r="G398" i="2"/>
  <c r="G397" i="2"/>
  <c r="G396" i="2"/>
  <c r="G395" i="2"/>
  <c r="G394" i="2"/>
  <c r="G393" i="2"/>
  <c r="G392" i="2"/>
  <c r="G391" i="2"/>
  <c r="G390" i="2"/>
  <c r="G389" i="2"/>
  <c r="G388" i="2"/>
  <c r="G387" i="2"/>
  <c r="G386" i="2"/>
  <c r="G385" i="2"/>
  <c r="G384" i="2"/>
  <c r="G383" i="2"/>
  <c r="G382" i="2"/>
  <c r="G381" i="2"/>
  <c r="G380" i="2"/>
  <c r="G379" i="2"/>
  <c r="G378" i="2"/>
  <c r="G377" i="2"/>
  <c r="G376" i="2"/>
  <c r="G375" i="2"/>
  <c r="G374" i="2"/>
  <c r="G373" i="2"/>
  <c r="G372" i="2"/>
  <c r="G371" i="2"/>
  <c r="G370" i="2"/>
  <c r="G369" i="2"/>
  <c r="G368" i="2"/>
  <c r="G367" i="2"/>
  <c r="G366" i="2"/>
  <c r="G365" i="2"/>
  <c r="G364" i="2"/>
  <c r="G363" i="2"/>
  <c r="G362" i="2"/>
  <c r="G361" i="2"/>
  <c r="G360" i="2"/>
  <c r="G359" i="2"/>
  <c r="G358" i="2"/>
  <c r="G357" i="2"/>
  <c r="G356" i="2"/>
  <c r="G355" i="2"/>
  <c r="G354" i="2"/>
  <c r="G353" i="2"/>
  <c r="G352" i="2"/>
  <c r="G351" i="2"/>
  <c r="G350" i="2"/>
  <c r="G349" i="2"/>
  <c r="G348" i="2"/>
  <c r="G347" i="2"/>
  <c r="G346" i="2"/>
  <c r="G345" i="2"/>
  <c r="G344" i="2"/>
  <c r="G343" i="2"/>
  <c r="G342" i="2"/>
  <c r="G341" i="2"/>
  <c r="G340" i="2"/>
  <c r="G339" i="2"/>
  <c r="G338" i="2"/>
  <c r="G337" i="2"/>
  <c r="G336" i="2"/>
  <c r="G335" i="2"/>
  <c r="G334" i="2"/>
  <c r="G333" i="2"/>
  <c r="G332" i="2"/>
  <c r="G331" i="2"/>
  <c r="G330" i="2"/>
  <c r="G329" i="2"/>
  <c r="G327" i="2"/>
  <c r="G326" i="2"/>
  <c r="G325" i="2"/>
  <c r="G324" i="2"/>
  <c r="G323" i="2"/>
  <c r="G321" i="2"/>
  <c r="G319" i="2"/>
  <c r="G318" i="2"/>
  <c r="G317" i="2"/>
  <c r="G313" i="2"/>
  <c r="G312" i="2"/>
  <c r="G311" i="2"/>
  <c r="G310" i="2"/>
  <c r="G309" i="2"/>
  <c r="G308" i="2"/>
  <c r="G307" i="2"/>
  <c r="G306" i="2"/>
  <c r="G305" i="2"/>
  <c r="G302" i="2"/>
  <c r="G301" i="2"/>
  <c r="G300" i="2"/>
  <c r="G299" i="2"/>
  <c r="G298" i="2"/>
  <c r="G297" i="2"/>
  <c r="G296" i="2"/>
  <c r="G295" i="2"/>
  <c r="G294" i="2"/>
  <c r="G293" i="2"/>
  <c r="G292" i="2"/>
  <c r="G291" i="2"/>
  <c r="G290" i="2"/>
  <c r="G289" i="2"/>
  <c r="G288" i="2"/>
  <c r="G287" i="2"/>
  <c r="G286" i="2"/>
  <c r="G285" i="2"/>
  <c r="G284" i="2"/>
  <c r="G283" i="2"/>
  <c r="G282" i="2"/>
  <c r="G281" i="2"/>
  <c r="G280" i="2"/>
  <c r="G278" i="2"/>
  <c r="G277" i="2"/>
  <c r="G276" i="2"/>
  <c r="G275" i="2"/>
  <c r="G274" i="2"/>
  <c r="G273" i="2"/>
  <c r="G272" i="2"/>
  <c r="G271" i="2"/>
  <c r="G270" i="2"/>
  <c r="G269" i="2"/>
  <c r="G268" i="2"/>
  <c r="G267" i="2"/>
  <c r="G266" i="2"/>
  <c r="G264" i="2"/>
  <c r="G263" i="2"/>
  <c r="G262" i="2"/>
  <c r="G261" i="2"/>
  <c r="G260" i="2"/>
  <c r="G259" i="2"/>
  <c r="G258" i="2"/>
  <c r="G257" i="2"/>
  <c r="G256" i="2"/>
  <c r="G255" i="2"/>
  <c r="G254" i="2"/>
  <c r="G253" i="2"/>
  <c r="G252" i="2"/>
  <c r="G251" i="2"/>
  <c r="G250" i="2"/>
  <c r="G249" i="2"/>
  <c r="G248" i="2"/>
  <c r="G247" i="2"/>
  <c r="G246" i="2"/>
  <c r="G245" i="2"/>
  <c r="G244" i="2"/>
  <c r="G243" i="2"/>
  <c r="G242" i="2"/>
  <c r="G241" i="2"/>
  <c r="G240" i="2"/>
  <c r="G239" i="2"/>
  <c r="G238" i="2"/>
  <c r="G237" i="2"/>
  <c r="G236" i="2"/>
  <c r="G235" i="2"/>
  <c r="G234" i="2"/>
  <c r="G233" i="2"/>
  <c r="G232" i="2"/>
  <c r="G231" i="2"/>
  <c r="G230" i="2"/>
  <c r="G229" i="2"/>
  <c r="G228" i="2"/>
  <c r="G227" i="2"/>
  <c r="G226" i="2"/>
  <c r="G225" i="2"/>
  <c r="G224" i="2"/>
  <c r="G223" i="2"/>
  <c r="G222" i="2"/>
  <c r="G221" i="2"/>
  <c r="G220" i="2"/>
  <c r="G219" i="2"/>
  <c r="G218" i="2"/>
  <c r="G217" i="2"/>
  <c r="G216" i="2"/>
  <c r="G215" i="2"/>
  <c r="G214" i="2"/>
  <c r="G213" i="2"/>
  <c r="G212" i="2"/>
  <c r="G211" i="2"/>
  <c r="G210" i="2"/>
  <c r="G209" i="2"/>
  <c r="G208" i="2"/>
  <c r="G207" i="2"/>
  <c r="G206" i="2"/>
  <c r="G205" i="2"/>
  <c r="G204" i="2"/>
  <c r="G203" i="2"/>
  <c r="G202" i="2"/>
  <c r="G200" i="2"/>
  <c r="G198" i="2"/>
  <c r="G197" i="2"/>
  <c r="G196" i="2"/>
  <c r="G195" i="2"/>
  <c r="G194" i="2"/>
  <c r="G193" i="2"/>
  <c r="G192" i="2"/>
  <c r="G191" i="2"/>
  <c r="G190" i="2"/>
  <c r="G189" i="2"/>
  <c r="G188" i="2"/>
  <c r="G187" i="2"/>
  <c r="G186" i="2"/>
  <c r="G185" i="2"/>
  <c r="G184" i="2"/>
  <c r="G183" i="2"/>
  <c r="G182" i="2"/>
  <c r="G181" i="2"/>
  <c r="G180" i="2"/>
  <c r="G179" i="2"/>
  <c r="G178" i="2"/>
  <c r="G177" i="2"/>
  <c r="G176" i="2"/>
  <c r="G175" i="2"/>
  <c r="G174" i="2"/>
  <c r="G173" i="2"/>
  <c r="G172" i="2"/>
  <c r="G171" i="2"/>
  <c r="G170" i="2"/>
  <c r="G169" i="2"/>
  <c r="G168" i="2"/>
  <c r="G167" i="2"/>
  <c r="G166" i="2"/>
  <c r="G165" i="2"/>
  <c r="G164" i="2"/>
  <c r="G163" i="2"/>
  <c r="G162" i="2"/>
  <c r="G161" i="2"/>
  <c r="G160" i="2"/>
  <c r="G159" i="2"/>
  <c r="G158" i="2"/>
  <c r="G157" i="2"/>
  <c r="G156" i="2"/>
  <c r="G155" i="2"/>
  <c r="G154" i="2"/>
  <c r="G153" i="2"/>
  <c r="G152" i="2"/>
  <c r="G151" i="2"/>
  <c r="G150" i="2"/>
  <c r="G149" i="2"/>
  <c r="G148" i="2"/>
  <c r="G147" i="2"/>
  <c r="G146" i="2"/>
  <c r="G145" i="2"/>
  <c r="G144" i="2"/>
  <c r="G143" i="2"/>
  <c r="G142" i="2"/>
  <c r="G141" i="2"/>
  <c r="G140" i="2"/>
  <c r="G139" i="2"/>
  <c r="G138" i="2"/>
  <c r="G137" i="2"/>
  <c r="G136" i="2"/>
  <c r="G135" i="2"/>
  <c r="G134" i="2"/>
  <c r="G133" i="2"/>
  <c r="G132" i="2"/>
  <c r="G131" i="2"/>
  <c r="G130" i="2"/>
  <c r="G129" i="2"/>
  <c r="G128" i="2"/>
  <c r="G127" i="2"/>
  <c r="G126" i="2"/>
  <c r="G125" i="2"/>
  <c r="G124" i="2"/>
  <c r="G123" i="2"/>
  <c r="G122" i="2"/>
  <c r="G121" i="2"/>
  <c r="G120" i="2"/>
  <c r="G119" i="2"/>
  <c r="G118" i="2"/>
  <c r="G117" i="2"/>
  <c r="G116" i="2"/>
  <c r="G115" i="2"/>
  <c r="G114" i="2"/>
  <c r="G113" i="2"/>
  <c r="G112" i="2"/>
  <c r="G111" i="2"/>
  <c r="G110" i="2"/>
  <c r="G109" i="2"/>
  <c r="G108" i="2"/>
  <c r="G107" i="2"/>
  <c r="G106" i="2"/>
  <c r="G105" i="2"/>
  <c r="G104" i="2"/>
  <c r="G103" i="2"/>
  <c r="G102" i="2"/>
  <c r="G101" i="2"/>
  <c r="G100" i="2"/>
  <c r="G99" i="2"/>
  <c r="G98" i="2"/>
  <c r="G97" i="2"/>
  <c r="G96" i="2"/>
  <c r="G95" i="2"/>
  <c r="G94" i="2"/>
  <c r="G93" i="2"/>
  <c r="G92" i="2"/>
  <c r="G91" i="2"/>
  <c r="G90" i="2"/>
  <c r="G89" i="2"/>
  <c r="G88" i="2"/>
  <c r="G87" i="2"/>
  <c r="G86" i="2"/>
  <c r="G85" i="2"/>
  <c r="G84" i="2"/>
  <c r="G83" i="2"/>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52" i="2"/>
  <c r="G51" i="2"/>
  <c r="G50" i="2"/>
  <c r="G49" i="2"/>
  <c r="G48" i="2"/>
  <c r="G47" i="2"/>
  <c r="G46" i="2"/>
  <c r="G45" i="2"/>
  <c r="G42" i="2"/>
  <c r="G41" i="2"/>
  <c r="G40" i="2"/>
  <c r="G39" i="2"/>
  <c r="G38" i="2"/>
  <c r="G37" i="2"/>
  <c r="G36" i="2"/>
  <c r="G35" i="2"/>
  <c r="G34" i="2"/>
  <c r="G32" i="2"/>
  <c r="G31" i="2"/>
  <c r="G30" i="2"/>
  <c r="G29" i="2"/>
  <c r="G28" i="2"/>
  <c r="H28" i="2" s="1"/>
  <c r="G27" i="2"/>
  <c r="G26" i="2"/>
  <c r="G25" i="2"/>
  <c r="G24" i="2"/>
  <c r="G23" i="2"/>
  <c r="G22" i="2"/>
  <c r="G21" i="2"/>
  <c r="G20" i="2"/>
  <c r="G19" i="2"/>
  <c r="G18" i="2"/>
  <c r="G17" i="2"/>
  <c r="G16" i="2"/>
  <c r="G15" i="2"/>
  <c r="G14" i="2"/>
  <c r="G13" i="2"/>
  <c r="G12" i="2"/>
  <c r="G11" i="2"/>
  <c r="G10" i="2"/>
  <c r="G9" i="2"/>
  <c r="G8" i="2"/>
  <c r="Y9" i="2" l="1"/>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5" i="2"/>
  <c r="Y196" i="2"/>
  <c r="Y197" i="2"/>
  <c r="Y198" i="2"/>
  <c r="Y199" i="2"/>
  <c r="Y200" i="2"/>
  <c r="Y201" i="2"/>
  <c r="Y202" i="2"/>
  <c r="Y203" i="2"/>
  <c r="Y204" i="2"/>
  <c r="Y205" i="2"/>
  <c r="Y206" i="2"/>
  <c r="Y207" i="2"/>
  <c r="Y208" i="2"/>
  <c r="Y209" i="2"/>
  <c r="Y210" i="2"/>
  <c r="Y211"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I13" i="60"/>
  <c r="I14" i="60"/>
  <c r="L44" i="2" s="1"/>
  <c r="I15" i="60"/>
  <c r="L199" i="2" s="1"/>
  <c r="K13" i="60" l="1"/>
  <c r="L33" i="2"/>
  <c r="I8" i="60"/>
  <c r="I9" i="60"/>
  <c r="G43" i="2"/>
  <c r="I12" i="60"/>
  <c r="I7" i="60"/>
  <c r="K15" i="60"/>
  <c r="G44" i="2" l="1"/>
  <c r="G33" i="2"/>
  <c r="I29" i="61"/>
  <c r="I41" i="61"/>
  <c r="I42" i="61"/>
  <c r="I43" i="61"/>
  <c r="S524" i="2" s="1"/>
  <c r="I44" i="61"/>
  <c r="S521" i="2" s="1"/>
  <c r="I45" i="61"/>
  <c r="S519" i="2" s="1"/>
  <c r="S447" i="2" l="1"/>
  <c r="K42" i="61"/>
  <c r="S304" i="2"/>
  <c r="K29" i="61"/>
  <c r="G303" i="2"/>
  <c r="I18" i="61" l="1"/>
  <c r="L447" i="2" s="1"/>
  <c r="I19" i="61"/>
  <c r="L520" i="2" s="1"/>
  <c r="I20" i="61"/>
  <c r="L524" i="2" s="1"/>
  <c r="I21" i="61"/>
  <c r="L527" i="2" s="1"/>
  <c r="I22" i="61"/>
  <c r="L422" i="2" s="1"/>
  <c r="L315" i="2"/>
  <c r="L480" i="2"/>
  <c r="L483" i="2"/>
  <c r="I28" i="61"/>
  <c r="L485" i="2" l="1"/>
  <c r="K24" i="61"/>
  <c r="L477" i="2"/>
  <c r="K23" i="61"/>
  <c r="K28" i="61"/>
  <c r="L322" i="2"/>
  <c r="I30" i="61"/>
  <c r="K30" i="61" s="1"/>
  <c r="I31" i="61"/>
  <c r="G314" i="2" s="1"/>
  <c r="I32" i="61"/>
  <c r="I33" i="61"/>
  <c r="K33" i="61" s="1"/>
  <c r="I34" i="61"/>
  <c r="K34" i="61" s="1"/>
  <c r="I35" i="61"/>
  <c r="I36" i="61"/>
  <c r="K37" i="61"/>
  <c r="K38" i="61"/>
  <c r="K40" i="61"/>
  <c r="K39" i="61"/>
  <c r="I17" i="61"/>
  <c r="G9" i="61"/>
  <c r="G15" i="61"/>
  <c r="G12" i="61"/>
  <c r="G11" i="61"/>
  <c r="G10" i="61"/>
  <c r="L4" i="2" l="1"/>
  <c r="K31" i="61"/>
  <c r="K35" i="61"/>
  <c r="G520" i="2"/>
  <c r="K32" i="61"/>
  <c r="G316" i="2"/>
  <c r="K17" i="61"/>
  <c r="G447" i="2"/>
  <c r="K36" i="61"/>
  <c r="G500" i="2"/>
  <c r="G199" i="2"/>
  <c r="K18" i="60" l="1"/>
  <c r="G265" i="2"/>
  <c r="K19" i="60"/>
  <c r="G201" i="2"/>
  <c r="G279" i="2"/>
  <c r="K17" i="60" l="1"/>
  <c r="E103" i="50" l="1"/>
  <c r="E102" i="50"/>
  <c r="E101" i="50"/>
  <c r="E100" i="50"/>
  <c r="E99" i="50"/>
  <c r="E97" i="50"/>
  <c r="R9" i="2" l="1"/>
  <c r="R10" i="2"/>
  <c r="R11" i="2"/>
  <c r="R12" i="2"/>
  <c r="R13" i="2"/>
  <c r="R16" i="2"/>
  <c r="R17" i="2"/>
  <c r="R19" i="2"/>
  <c r="R20" i="2"/>
  <c r="R21" i="2"/>
  <c r="R22" i="2"/>
  <c r="R23" i="2"/>
  <c r="R24" i="2"/>
  <c r="R25" i="2"/>
  <c r="R26" i="2"/>
  <c r="R27" i="2"/>
  <c r="R28" i="2"/>
  <c r="R29" i="2"/>
  <c r="R30" i="2"/>
  <c r="R31" i="2"/>
  <c r="R32" i="2"/>
  <c r="T32" i="2" s="1"/>
  <c r="R33" i="2"/>
  <c r="T33" i="2" s="1"/>
  <c r="R34" i="2"/>
  <c r="T34" i="2" s="1"/>
  <c r="R35" i="2"/>
  <c r="T35" i="2" s="1"/>
  <c r="R36" i="2"/>
  <c r="T36" i="2" s="1"/>
  <c r="R37" i="2"/>
  <c r="T37" i="2" s="1"/>
  <c r="R38" i="2"/>
  <c r="T38" i="2" s="1"/>
  <c r="R39" i="2"/>
  <c r="R40" i="2"/>
  <c r="T40" i="2" s="1"/>
  <c r="R41" i="2"/>
  <c r="T41" i="2" s="1"/>
  <c r="R42" i="2"/>
  <c r="T42" i="2" s="1"/>
  <c r="R43" i="2"/>
  <c r="T43" i="2" s="1"/>
  <c r="R44" i="2"/>
  <c r="R45" i="2"/>
  <c r="T45" i="2" s="1"/>
  <c r="R46" i="2"/>
  <c r="T46" i="2" s="1"/>
  <c r="R47" i="2"/>
  <c r="T47" i="2" s="1"/>
  <c r="R48" i="2"/>
  <c r="T48" i="2" s="1"/>
  <c r="R49" i="2"/>
  <c r="T49" i="2" s="1"/>
  <c r="R50" i="2"/>
  <c r="T50" i="2" s="1"/>
  <c r="R51" i="2"/>
  <c r="T51" i="2" s="1"/>
  <c r="R52" i="2"/>
  <c r="T52" i="2" s="1"/>
  <c r="R53" i="2"/>
  <c r="T53" i="2" s="1"/>
  <c r="R54" i="2"/>
  <c r="T54" i="2" s="1"/>
  <c r="R55" i="2"/>
  <c r="T55" i="2" s="1"/>
  <c r="R56" i="2"/>
  <c r="T56" i="2" s="1"/>
  <c r="R57" i="2"/>
  <c r="T57" i="2" s="1"/>
  <c r="R58" i="2"/>
  <c r="T58" i="2" s="1"/>
  <c r="R59" i="2"/>
  <c r="T59" i="2" s="1"/>
  <c r="R60" i="2"/>
  <c r="T60" i="2" s="1"/>
  <c r="R61" i="2"/>
  <c r="T61" i="2" s="1"/>
  <c r="R62" i="2"/>
  <c r="T62" i="2" s="1"/>
  <c r="R63" i="2"/>
  <c r="T63" i="2" s="1"/>
  <c r="R64" i="2"/>
  <c r="T64" i="2" s="1"/>
  <c r="R65" i="2"/>
  <c r="T65" i="2" s="1"/>
  <c r="R66" i="2"/>
  <c r="T66" i="2" s="1"/>
  <c r="R67" i="2"/>
  <c r="T67" i="2" s="1"/>
  <c r="R68" i="2"/>
  <c r="T68" i="2" s="1"/>
  <c r="R69" i="2"/>
  <c r="T69" i="2" s="1"/>
  <c r="R70" i="2"/>
  <c r="T70" i="2" s="1"/>
  <c r="R71" i="2"/>
  <c r="T71" i="2" s="1"/>
  <c r="R72" i="2"/>
  <c r="T72" i="2" s="1"/>
  <c r="R73" i="2"/>
  <c r="T73" i="2" s="1"/>
  <c r="R74" i="2"/>
  <c r="T74" i="2" s="1"/>
  <c r="R75" i="2"/>
  <c r="T75" i="2" s="1"/>
  <c r="R76" i="2"/>
  <c r="T76" i="2" s="1"/>
  <c r="R77" i="2"/>
  <c r="T77" i="2" s="1"/>
  <c r="R78" i="2"/>
  <c r="T78" i="2" s="1"/>
  <c r="R79" i="2"/>
  <c r="T79" i="2" s="1"/>
  <c r="R80" i="2"/>
  <c r="T80" i="2" s="1"/>
  <c r="R81" i="2"/>
  <c r="T81" i="2" s="1"/>
  <c r="R82" i="2"/>
  <c r="T82" i="2" s="1"/>
  <c r="R83" i="2"/>
  <c r="T83" i="2" s="1"/>
  <c r="R84" i="2"/>
  <c r="T84" i="2" s="1"/>
  <c r="R85" i="2"/>
  <c r="T85" i="2" s="1"/>
  <c r="R86" i="2"/>
  <c r="T86" i="2" s="1"/>
  <c r="R87" i="2"/>
  <c r="T87" i="2" s="1"/>
  <c r="R88" i="2"/>
  <c r="T88" i="2" s="1"/>
  <c r="R89" i="2"/>
  <c r="T89" i="2" s="1"/>
  <c r="R90" i="2"/>
  <c r="T90" i="2" s="1"/>
  <c r="R91" i="2"/>
  <c r="T91" i="2" s="1"/>
  <c r="R92" i="2"/>
  <c r="T92" i="2" s="1"/>
  <c r="R93" i="2"/>
  <c r="T93" i="2" s="1"/>
  <c r="R94" i="2"/>
  <c r="T94" i="2" s="1"/>
  <c r="R95" i="2"/>
  <c r="T95" i="2" s="1"/>
  <c r="R96" i="2"/>
  <c r="T96" i="2" s="1"/>
  <c r="R97" i="2"/>
  <c r="T97" i="2" s="1"/>
  <c r="R98" i="2"/>
  <c r="T98" i="2" s="1"/>
  <c r="R99" i="2"/>
  <c r="T99" i="2" s="1"/>
  <c r="R100" i="2"/>
  <c r="T100" i="2" s="1"/>
  <c r="R101" i="2"/>
  <c r="T101" i="2" s="1"/>
  <c r="R102" i="2"/>
  <c r="T102" i="2" s="1"/>
  <c r="R103" i="2"/>
  <c r="T103" i="2" s="1"/>
  <c r="R104" i="2"/>
  <c r="T104" i="2" s="1"/>
  <c r="R107" i="2"/>
  <c r="T107" i="2" s="1"/>
  <c r="R108" i="2"/>
  <c r="T108" i="2" s="1"/>
  <c r="R110" i="2"/>
  <c r="T110" i="2" s="1"/>
  <c r="R111" i="2"/>
  <c r="T111" i="2" s="1"/>
  <c r="R112" i="2"/>
  <c r="T112" i="2" s="1"/>
  <c r="R113" i="2"/>
  <c r="T113" i="2" s="1"/>
  <c r="R115" i="2"/>
  <c r="T115" i="2" s="1"/>
  <c r="R116" i="2"/>
  <c r="T116" i="2" s="1"/>
  <c r="R117" i="2"/>
  <c r="T117" i="2" s="1"/>
  <c r="R118" i="2"/>
  <c r="T118" i="2" s="1"/>
  <c r="R119" i="2"/>
  <c r="T119" i="2" s="1"/>
  <c r="R120" i="2"/>
  <c r="T120" i="2" s="1"/>
  <c r="R121" i="2"/>
  <c r="T121" i="2" s="1"/>
  <c r="R122" i="2"/>
  <c r="T122" i="2" s="1"/>
  <c r="R123" i="2"/>
  <c r="T123" i="2" s="1"/>
  <c r="R124" i="2"/>
  <c r="T124" i="2" s="1"/>
  <c r="U124" i="2" s="1"/>
  <c r="R125" i="2"/>
  <c r="T125" i="2" s="1"/>
  <c r="R126" i="2"/>
  <c r="T126" i="2" s="1"/>
  <c r="R127" i="2"/>
  <c r="T127" i="2" s="1"/>
  <c r="R128" i="2"/>
  <c r="T128" i="2" s="1"/>
  <c r="R129" i="2"/>
  <c r="T129" i="2" s="1"/>
  <c r="R130" i="2"/>
  <c r="T130" i="2" s="1"/>
  <c r="R131" i="2"/>
  <c r="T131" i="2" s="1"/>
  <c r="R132" i="2"/>
  <c r="T132" i="2" s="1"/>
  <c r="R133" i="2"/>
  <c r="T133" i="2" s="1"/>
  <c r="R134" i="2"/>
  <c r="T134" i="2" s="1"/>
  <c r="R135" i="2"/>
  <c r="T135" i="2" s="1"/>
  <c r="R136" i="2"/>
  <c r="T136" i="2" s="1"/>
  <c r="R137" i="2"/>
  <c r="T137" i="2" s="1"/>
  <c r="R138" i="2"/>
  <c r="T138" i="2" s="1"/>
  <c r="R139" i="2"/>
  <c r="T139" i="2" s="1"/>
  <c r="R140" i="2"/>
  <c r="T140" i="2" s="1"/>
  <c r="R141" i="2"/>
  <c r="T141" i="2" s="1"/>
  <c r="R142" i="2"/>
  <c r="T142" i="2" s="1"/>
  <c r="R143" i="2"/>
  <c r="T143" i="2" s="1"/>
  <c r="R144" i="2"/>
  <c r="T144" i="2" s="1"/>
  <c r="R145" i="2"/>
  <c r="T145" i="2" s="1"/>
  <c r="R146" i="2"/>
  <c r="T146" i="2" s="1"/>
  <c r="R147" i="2"/>
  <c r="T147" i="2" s="1"/>
  <c r="R148" i="2"/>
  <c r="T148" i="2" s="1"/>
  <c r="R149" i="2"/>
  <c r="T149" i="2" s="1"/>
  <c r="R150" i="2"/>
  <c r="T150" i="2" s="1"/>
  <c r="R151" i="2"/>
  <c r="T151" i="2" s="1"/>
  <c r="R152" i="2"/>
  <c r="T152" i="2" s="1"/>
  <c r="R153" i="2"/>
  <c r="T153" i="2" s="1"/>
  <c r="R154" i="2"/>
  <c r="T154" i="2" s="1"/>
  <c r="R155" i="2"/>
  <c r="T155" i="2" s="1"/>
  <c r="R156" i="2"/>
  <c r="T156" i="2" s="1"/>
  <c r="R157" i="2"/>
  <c r="T157" i="2" s="1"/>
  <c r="R158" i="2"/>
  <c r="T158" i="2" s="1"/>
  <c r="R159" i="2"/>
  <c r="T159" i="2" s="1"/>
  <c r="R160" i="2"/>
  <c r="T160" i="2" s="1"/>
  <c r="R161" i="2"/>
  <c r="T161" i="2" s="1"/>
  <c r="R162" i="2"/>
  <c r="T162" i="2" s="1"/>
  <c r="R163" i="2"/>
  <c r="T163" i="2" s="1"/>
  <c r="R164" i="2"/>
  <c r="T164" i="2" s="1"/>
  <c r="R165" i="2"/>
  <c r="T165" i="2" s="1"/>
  <c r="R166" i="2"/>
  <c r="T166" i="2" s="1"/>
  <c r="R167" i="2"/>
  <c r="T167" i="2" s="1"/>
  <c r="R168" i="2"/>
  <c r="T168" i="2" s="1"/>
  <c r="R169" i="2"/>
  <c r="T169" i="2" s="1"/>
  <c r="R170" i="2"/>
  <c r="T170" i="2" s="1"/>
  <c r="R171" i="2"/>
  <c r="T171" i="2" s="1"/>
  <c r="R172" i="2"/>
  <c r="T172" i="2" s="1"/>
  <c r="R173" i="2"/>
  <c r="T173" i="2" s="1"/>
  <c r="R174" i="2"/>
  <c r="T174" i="2" s="1"/>
  <c r="R175" i="2"/>
  <c r="T175" i="2" s="1"/>
  <c r="R176" i="2"/>
  <c r="T176" i="2" s="1"/>
  <c r="R177" i="2"/>
  <c r="T177" i="2" s="1"/>
  <c r="R179" i="2"/>
  <c r="T179" i="2" s="1"/>
  <c r="R180" i="2"/>
  <c r="T180" i="2" s="1"/>
  <c r="R181" i="2"/>
  <c r="T181" i="2" s="1"/>
  <c r="R182" i="2"/>
  <c r="T182" i="2" s="1"/>
  <c r="R183" i="2"/>
  <c r="T183" i="2" s="1"/>
  <c r="R184" i="2"/>
  <c r="T184" i="2" s="1"/>
  <c r="R185" i="2"/>
  <c r="T185" i="2" s="1"/>
  <c r="R186" i="2"/>
  <c r="T186" i="2" s="1"/>
  <c r="R187" i="2"/>
  <c r="T187" i="2" s="1"/>
  <c r="R188" i="2"/>
  <c r="T188" i="2" s="1"/>
  <c r="R189" i="2"/>
  <c r="T189" i="2" s="1"/>
  <c r="R190" i="2"/>
  <c r="T190" i="2" s="1"/>
  <c r="R191" i="2"/>
  <c r="T191" i="2" s="1"/>
  <c r="R192" i="2"/>
  <c r="T192" i="2" s="1"/>
  <c r="R193" i="2"/>
  <c r="T193" i="2" s="1"/>
  <c r="R194" i="2"/>
  <c r="T194" i="2" s="1"/>
  <c r="R195" i="2"/>
  <c r="T195" i="2" s="1"/>
  <c r="R196" i="2"/>
  <c r="T196" i="2" s="1"/>
  <c r="R197" i="2"/>
  <c r="T197" i="2" s="1"/>
  <c r="R198" i="2"/>
  <c r="T198" i="2" s="1"/>
  <c r="R199" i="2"/>
  <c r="T199" i="2" s="1"/>
  <c r="R200" i="2"/>
  <c r="T200" i="2" s="1"/>
  <c r="R201" i="2"/>
  <c r="T201" i="2" s="1"/>
  <c r="R202" i="2"/>
  <c r="T202" i="2" s="1"/>
  <c r="R203" i="2"/>
  <c r="T203" i="2" s="1"/>
  <c r="R204" i="2"/>
  <c r="T204" i="2" s="1"/>
  <c r="R206" i="2"/>
  <c r="T206" i="2" s="1"/>
  <c r="R207" i="2"/>
  <c r="T207" i="2" s="1"/>
  <c r="R208" i="2"/>
  <c r="T208" i="2" s="1"/>
  <c r="R209" i="2"/>
  <c r="T209" i="2" s="1"/>
  <c r="R210" i="2"/>
  <c r="T210" i="2" s="1"/>
  <c r="R211" i="2"/>
  <c r="T211" i="2" s="1"/>
  <c r="R212" i="2"/>
  <c r="T212" i="2" s="1"/>
  <c r="R213" i="2"/>
  <c r="T213" i="2" s="1"/>
  <c r="R214" i="2"/>
  <c r="T214" i="2" s="1"/>
  <c r="R215" i="2"/>
  <c r="T215" i="2" s="1"/>
  <c r="R216" i="2"/>
  <c r="T216" i="2" s="1"/>
  <c r="R217" i="2"/>
  <c r="T217" i="2" s="1"/>
  <c r="R218" i="2"/>
  <c r="T218" i="2" s="1"/>
  <c r="R219" i="2"/>
  <c r="T219" i="2" s="1"/>
  <c r="R220" i="2"/>
  <c r="T220" i="2" s="1"/>
  <c r="R221" i="2"/>
  <c r="T221" i="2" s="1"/>
  <c r="R222" i="2"/>
  <c r="T222" i="2" s="1"/>
  <c r="R223" i="2"/>
  <c r="T223" i="2" s="1"/>
  <c r="R224" i="2"/>
  <c r="T224" i="2" s="1"/>
  <c r="R225" i="2"/>
  <c r="T225" i="2" s="1"/>
  <c r="R226" i="2"/>
  <c r="T226" i="2" s="1"/>
  <c r="R227" i="2"/>
  <c r="T227" i="2" s="1"/>
  <c r="R228" i="2"/>
  <c r="T228" i="2" s="1"/>
  <c r="R229" i="2"/>
  <c r="T229" i="2" s="1"/>
  <c r="R230" i="2"/>
  <c r="T230" i="2" s="1"/>
  <c r="R231" i="2"/>
  <c r="T231" i="2" s="1"/>
  <c r="R232" i="2"/>
  <c r="T232" i="2" s="1"/>
  <c r="R233" i="2"/>
  <c r="T233" i="2" s="1"/>
  <c r="R234" i="2"/>
  <c r="T234" i="2" s="1"/>
  <c r="R235" i="2"/>
  <c r="T235" i="2" s="1"/>
  <c r="R236" i="2"/>
  <c r="T236" i="2" s="1"/>
  <c r="R237" i="2"/>
  <c r="T237" i="2" s="1"/>
  <c r="R238" i="2"/>
  <c r="T238" i="2" s="1"/>
  <c r="R239" i="2"/>
  <c r="T239" i="2" s="1"/>
  <c r="R240" i="2"/>
  <c r="T240" i="2" s="1"/>
  <c r="R241" i="2"/>
  <c r="T241" i="2" s="1"/>
  <c r="R242" i="2"/>
  <c r="T242" i="2" s="1"/>
  <c r="R243" i="2"/>
  <c r="T243" i="2" s="1"/>
  <c r="R244" i="2"/>
  <c r="T244" i="2" s="1"/>
  <c r="R245" i="2"/>
  <c r="T245" i="2" s="1"/>
  <c r="R246" i="2"/>
  <c r="T246" i="2" s="1"/>
  <c r="R247" i="2"/>
  <c r="T247" i="2" s="1"/>
  <c r="R248" i="2"/>
  <c r="T248" i="2" s="1"/>
  <c r="R249" i="2"/>
  <c r="T249" i="2" s="1"/>
  <c r="R250" i="2"/>
  <c r="T250" i="2" s="1"/>
  <c r="R251" i="2"/>
  <c r="T251" i="2" s="1"/>
  <c r="R252" i="2"/>
  <c r="T252" i="2" s="1"/>
  <c r="R253" i="2"/>
  <c r="T253" i="2" s="1"/>
  <c r="R254" i="2"/>
  <c r="T254" i="2" s="1"/>
  <c r="R255" i="2"/>
  <c r="T255" i="2" s="1"/>
  <c r="R256" i="2"/>
  <c r="T256" i="2" s="1"/>
  <c r="R257" i="2"/>
  <c r="T257" i="2" s="1"/>
  <c r="R258" i="2"/>
  <c r="T258" i="2" s="1"/>
  <c r="R259" i="2"/>
  <c r="T259" i="2" s="1"/>
  <c r="R260" i="2"/>
  <c r="T260" i="2" s="1"/>
  <c r="R261" i="2"/>
  <c r="T261" i="2" s="1"/>
  <c r="R262" i="2"/>
  <c r="T262" i="2" s="1"/>
  <c r="R263" i="2"/>
  <c r="T263" i="2" s="1"/>
  <c r="R264" i="2"/>
  <c r="T264" i="2" s="1"/>
  <c r="R265" i="2"/>
  <c r="T265" i="2" s="1"/>
  <c r="R266" i="2"/>
  <c r="T266" i="2" s="1"/>
  <c r="R267" i="2"/>
  <c r="T267" i="2" s="1"/>
  <c r="R268" i="2"/>
  <c r="T268" i="2" s="1"/>
  <c r="R269" i="2"/>
  <c r="T269" i="2" s="1"/>
  <c r="R270" i="2"/>
  <c r="T270" i="2" s="1"/>
  <c r="R271" i="2"/>
  <c r="T271" i="2" s="1"/>
  <c r="R272" i="2"/>
  <c r="T272" i="2" s="1"/>
  <c r="R273" i="2"/>
  <c r="T273" i="2" s="1"/>
  <c r="R274" i="2"/>
  <c r="T274" i="2" s="1"/>
  <c r="R275" i="2"/>
  <c r="T275" i="2" s="1"/>
  <c r="R276" i="2"/>
  <c r="T276" i="2" s="1"/>
  <c r="R277" i="2"/>
  <c r="T277" i="2" s="1"/>
  <c r="R278" i="2"/>
  <c r="T278" i="2" s="1"/>
  <c r="R279" i="2"/>
  <c r="T279" i="2" s="1"/>
  <c r="R280" i="2"/>
  <c r="T280" i="2" s="1"/>
  <c r="R281" i="2"/>
  <c r="T281" i="2" s="1"/>
  <c r="R282" i="2"/>
  <c r="T282" i="2" s="1"/>
  <c r="R283" i="2"/>
  <c r="T283" i="2" s="1"/>
  <c r="R284" i="2"/>
  <c r="T284" i="2" s="1"/>
  <c r="R285" i="2"/>
  <c r="T285" i="2" s="1"/>
  <c r="R286" i="2"/>
  <c r="T286" i="2" s="1"/>
  <c r="R287" i="2"/>
  <c r="T287" i="2" s="1"/>
  <c r="R288" i="2"/>
  <c r="T288" i="2" s="1"/>
  <c r="R289" i="2"/>
  <c r="T289" i="2" s="1"/>
  <c r="R290" i="2"/>
  <c r="T290" i="2" s="1"/>
  <c r="R291" i="2"/>
  <c r="T291" i="2" s="1"/>
  <c r="R292" i="2"/>
  <c r="T292" i="2" s="1"/>
  <c r="R293" i="2"/>
  <c r="T293" i="2" s="1"/>
  <c r="R294" i="2"/>
  <c r="T294" i="2" s="1"/>
  <c r="R295" i="2"/>
  <c r="T295" i="2" s="1"/>
  <c r="R296" i="2"/>
  <c r="T296" i="2" s="1"/>
  <c r="R297" i="2"/>
  <c r="T297" i="2" s="1"/>
  <c r="R298" i="2"/>
  <c r="T298" i="2" s="1"/>
  <c r="R299" i="2"/>
  <c r="T299" i="2" s="1"/>
  <c r="R300" i="2"/>
  <c r="T300" i="2" s="1"/>
  <c r="R301" i="2"/>
  <c r="T301" i="2" s="1"/>
  <c r="R302" i="2"/>
  <c r="T302" i="2" s="1"/>
  <c r="R304" i="2"/>
  <c r="T304" i="2" s="1"/>
  <c r="R305" i="2"/>
  <c r="T305" i="2" s="1"/>
  <c r="R306" i="2"/>
  <c r="T306" i="2" s="1"/>
  <c r="R307" i="2"/>
  <c r="T307" i="2" s="1"/>
  <c r="R308" i="2"/>
  <c r="T308" i="2" s="1"/>
  <c r="R309" i="2"/>
  <c r="T309" i="2" s="1"/>
  <c r="R310" i="2"/>
  <c r="T310" i="2" s="1"/>
  <c r="R311" i="2"/>
  <c r="T311" i="2" s="1"/>
  <c r="R312" i="2"/>
  <c r="T312" i="2" s="1"/>
  <c r="R313" i="2"/>
  <c r="T313" i="2" s="1"/>
  <c r="R314" i="2"/>
  <c r="T314" i="2" s="1"/>
  <c r="R315" i="2"/>
  <c r="T315" i="2" s="1"/>
  <c r="R316" i="2"/>
  <c r="T316" i="2" s="1"/>
  <c r="R317" i="2"/>
  <c r="T317" i="2" s="1"/>
  <c r="R318" i="2"/>
  <c r="T318" i="2" s="1"/>
  <c r="R319" i="2"/>
  <c r="T319" i="2" s="1"/>
  <c r="R321" i="2"/>
  <c r="T321" i="2" s="1"/>
  <c r="R322" i="2"/>
  <c r="T322" i="2" s="1"/>
  <c r="R323" i="2"/>
  <c r="T323" i="2" s="1"/>
  <c r="R324" i="2"/>
  <c r="T324" i="2" s="1"/>
  <c r="R325" i="2"/>
  <c r="T325" i="2" s="1"/>
  <c r="R326" i="2"/>
  <c r="T326" i="2" s="1"/>
  <c r="R327" i="2"/>
  <c r="T327" i="2" s="1"/>
  <c r="R328" i="2"/>
  <c r="T328" i="2" s="1"/>
  <c r="R329" i="2"/>
  <c r="T329" i="2" s="1"/>
  <c r="R330" i="2"/>
  <c r="T330" i="2" s="1"/>
  <c r="R331" i="2"/>
  <c r="T331" i="2" s="1"/>
  <c r="R332" i="2"/>
  <c r="T332" i="2" s="1"/>
  <c r="R333" i="2"/>
  <c r="T333" i="2" s="1"/>
  <c r="R334" i="2"/>
  <c r="T334" i="2" s="1"/>
  <c r="R335" i="2"/>
  <c r="T335" i="2" s="1"/>
  <c r="R336" i="2"/>
  <c r="T336" i="2" s="1"/>
  <c r="R337" i="2"/>
  <c r="T337" i="2" s="1"/>
  <c r="R338" i="2"/>
  <c r="T338" i="2" s="1"/>
  <c r="R339" i="2"/>
  <c r="T339" i="2" s="1"/>
  <c r="R340" i="2"/>
  <c r="T340" i="2" s="1"/>
  <c r="R341" i="2"/>
  <c r="T341" i="2" s="1"/>
  <c r="R342" i="2"/>
  <c r="T342" i="2" s="1"/>
  <c r="R343" i="2"/>
  <c r="T343" i="2" s="1"/>
  <c r="R344" i="2"/>
  <c r="T344" i="2" s="1"/>
  <c r="R345" i="2"/>
  <c r="R347" i="2"/>
  <c r="T347" i="2" s="1"/>
  <c r="R348" i="2"/>
  <c r="T348" i="2" s="1"/>
  <c r="R349" i="2"/>
  <c r="T349" i="2" s="1"/>
  <c r="R351" i="2"/>
  <c r="T351" i="2" s="1"/>
  <c r="R352" i="2"/>
  <c r="T352" i="2" s="1"/>
  <c r="R353" i="2"/>
  <c r="T353" i="2" s="1"/>
  <c r="R354" i="2"/>
  <c r="T354" i="2" s="1"/>
  <c r="R355" i="2"/>
  <c r="T355" i="2" s="1"/>
  <c r="R356" i="2"/>
  <c r="T356" i="2" s="1"/>
  <c r="R357" i="2"/>
  <c r="T357" i="2" s="1"/>
  <c r="R358" i="2"/>
  <c r="T358" i="2" s="1"/>
  <c r="R359" i="2"/>
  <c r="T359" i="2" s="1"/>
  <c r="R360" i="2"/>
  <c r="T360" i="2" s="1"/>
  <c r="R361" i="2"/>
  <c r="T361" i="2" s="1"/>
  <c r="R362" i="2"/>
  <c r="T362" i="2" s="1"/>
  <c r="R363" i="2"/>
  <c r="T363" i="2" s="1"/>
  <c r="R364" i="2"/>
  <c r="T364" i="2" s="1"/>
  <c r="R365" i="2"/>
  <c r="T365" i="2" s="1"/>
  <c r="R366" i="2"/>
  <c r="T366" i="2" s="1"/>
  <c r="R367" i="2"/>
  <c r="T367" i="2" s="1"/>
  <c r="R368" i="2"/>
  <c r="T368" i="2" s="1"/>
  <c r="R369" i="2"/>
  <c r="T369" i="2" s="1"/>
  <c r="R370" i="2"/>
  <c r="T370" i="2" s="1"/>
  <c r="R371" i="2"/>
  <c r="T371" i="2" s="1"/>
  <c r="R372" i="2"/>
  <c r="T372" i="2" s="1"/>
  <c r="R373" i="2"/>
  <c r="T373" i="2" s="1"/>
  <c r="R374" i="2"/>
  <c r="T374" i="2" s="1"/>
  <c r="R375" i="2"/>
  <c r="T375" i="2" s="1"/>
  <c r="R376" i="2"/>
  <c r="T376" i="2" s="1"/>
  <c r="R377" i="2"/>
  <c r="T377" i="2" s="1"/>
  <c r="R378" i="2"/>
  <c r="T378" i="2" s="1"/>
  <c r="R379" i="2"/>
  <c r="T379" i="2" s="1"/>
  <c r="R380" i="2"/>
  <c r="T380" i="2" s="1"/>
  <c r="R381" i="2"/>
  <c r="T381" i="2" s="1"/>
  <c r="R382" i="2"/>
  <c r="T382" i="2" s="1"/>
  <c r="R383" i="2"/>
  <c r="T383" i="2" s="1"/>
  <c r="R384" i="2"/>
  <c r="T384" i="2" s="1"/>
  <c r="R385" i="2"/>
  <c r="T385" i="2" s="1"/>
  <c r="R386" i="2"/>
  <c r="T386" i="2" s="1"/>
  <c r="R387" i="2"/>
  <c r="T387" i="2" s="1"/>
  <c r="R388" i="2"/>
  <c r="T388" i="2" s="1"/>
  <c r="R389" i="2"/>
  <c r="T389" i="2" s="1"/>
  <c r="R390" i="2"/>
  <c r="T390" i="2" s="1"/>
  <c r="R391" i="2"/>
  <c r="T391" i="2" s="1"/>
  <c r="R392" i="2"/>
  <c r="T392" i="2" s="1"/>
  <c r="R393" i="2"/>
  <c r="T393" i="2" s="1"/>
  <c r="R394" i="2"/>
  <c r="T394" i="2" s="1"/>
  <c r="R395" i="2"/>
  <c r="T395" i="2" s="1"/>
  <c r="R396" i="2"/>
  <c r="T396" i="2" s="1"/>
  <c r="R397" i="2"/>
  <c r="T397" i="2" s="1"/>
  <c r="R398" i="2"/>
  <c r="T398" i="2" s="1"/>
  <c r="R399" i="2"/>
  <c r="T399" i="2" s="1"/>
  <c r="R400" i="2"/>
  <c r="T400" i="2" s="1"/>
  <c r="R401" i="2"/>
  <c r="T401" i="2" s="1"/>
  <c r="R402" i="2"/>
  <c r="T402" i="2" s="1"/>
  <c r="R403" i="2"/>
  <c r="T403" i="2" s="1"/>
  <c r="R404" i="2"/>
  <c r="T404" i="2" s="1"/>
  <c r="R405" i="2"/>
  <c r="T405" i="2" s="1"/>
  <c r="R406" i="2"/>
  <c r="T406" i="2" s="1"/>
  <c r="R407" i="2"/>
  <c r="T407" i="2" s="1"/>
  <c r="R408" i="2"/>
  <c r="T408" i="2" s="1"/>
  <c r="R409" i="2"/>
  <c r="T409" i="2" s="1"/>
  <c r="R410" i="2"/>
  <c r="T410" i="2" s="1"/>
  <c r="R411" i="2"/>
  <c r="T411" i="2" s="1"/>
  <c r="R412" i="2"/>
  <c r="T412" i="2" s="1"/>
  <c r="R413" i="2"/>
  <c r="T413" i="2" s="1"/>
  <c r="R414" i="2"/>
  <c r="T414" i="2" s="1"/>
  <c r="R415" i="2"/>
  <c r="T415" i="2" s="1"/>
  <c r="R416" i="2"/>
  <c r="T416" i="2" s="1"/>
  <c r="R417" i="2"/>
  <c r="T417" i="2" s="1"/>
  <c r="R418" i="2"/>
  <c r="T418" i="2" s="1"/>
  <c r="R419" i="2"/>
  <c r="T419" i="2" s="1"/>
  <c r="R420" i="2"/>
  <c r="T420" i="2" s="1"/>
  <c r="R421" i="2"/>
  <c r="T421" i="2" s="1"/>
  <c r="R422" i="2"/>
  <c r="T422" i="2" s="1"/>
  <c r="R423" i="2"/>
  <c r="T423" i="2" s="1"/>
  <c r="R424" i="2"/>
  <c r="T424" i="2" s="1"/>
  <c r="R425" i="2"/>
  <c r="T425" i="2" s="1"/>
  <c r="R426" i="2"/>
  <c r="T426" i="2" s="1"/>
  <c r="R427" i="2"/>
  <c r="T427" i="2" s="1"/>
  <c r="R428" i="2"/>
  <c r="T428" i="2" s="1"/>
  <c r="R429" i="2"/>
  <c r="T429" i="2" s="1"/>
  <c r="R430" i="2"/>
  <c r="T430" i="2" s="1"/>
  <c r="R431" i="2"/>
  <c r="T431" i="2" s="1"/>
  <c r="R432" i="2"/>
  <c r="T432" i="2" s="1"/>
  <c r="R433" i="2"/>
  <c r="T433" i="2" s="1"/>
  <c r="R434" i="2"/>
  <c r="T434" i="2" s="1"/>
  <c r="R435" i="2"/>
  <c r="T435" i="2" s="1"/>
  <c r="R436" i="2"/>
  <c r="T436" i="2" s="1"/>
  <c r="R437" i="2"/>
  <c r="T437" i="2" s="1"/>
  <c r="R438" i="2"/>
  <c r="T438" i="2" s="1"/>
  <c r="R439" i="2"/>
  <c r="T439" i="2" s="1"/>
  <c r="R440" i="2"/>
  <c r="T440" i="2" s="1"/>
  <c r="R441" i="2"/>
  <c r="T441" i="2" s="1"/>
  <c r="R442" i="2"/>
  <c r="T442" i="2" s="1"/>
  <c r="R443" i="2"/>
  <c r="T443" i="2" s="1"/>
  <c r="R444" i="2"/>
  <c r="T444" i="2" s="1"/>
  <c r="R445" i="2"/>
  <c r="T445" i="2" s="1"/>
  <c r="R446" i="2"/>
  <c r="T446" i="2" s="1"/>
  <c r="R447" i="2"/>
  <c r="R448" i="2"/>
  <c r="T448" i="2" s="1"/>
  <c r="R449" i="2"/>
  <c r="T449" i="2" s="1"/>
  <c r="R450" i="2"/>
  <c r="T450" i="2" s="1"/>
  <c r="R451" i="2"/>
  <c r="T451" i="2" s="1"/>
  <c r="R452" i="2"/>
  <c r="T452" i="2" s="1"/>
  <c r="R453" i="2"/>
  <c r="T453" i="2" s="1"/>
  <c r="R454" i="2"/>
  <c r="T454" i="2" s="1"/>
  <c r="R455" i="2"/>
  <c r="T455" i="2" s="1"/>
  <c r="R456" i="2"/>
  <c r="T456" i="2" s="1"/>
  <c r="R457" i="2"/>
  <c r="T457" i="2" s="1"/>
  <c r="R458" i="2"/>
  <c r="T458" i="2" s="1"/>
  <c r="R459" i="2"/>
  <c r="T459" i="2" s="1"/>
  <c r="R460" i="2"/>
  <c r="T460" i="2" s="1"/>
  <c r="R461" i="2"/>
  <c r="T461" i="2" s="1"/>
  <c r="R462" i="2"/>
  <c r="T462" i="2" s="1"/>
  <c r="R463" i="2"/>
  <c r="T463" i="2" s="1"/>
  <c r="R464" i="2"/>
  <c r="T464" i="2" s="1"/>
  <c r="R465" i="2"/>
  <c r="T465" i="2" s="1"/>
  <c r="U465" i="2" s="1"/>
  <c r="R466" i="2"/>
  <c r="T466" i="2" s="1"/>
  <c r="R467" i="2"/>
  <c r="T467" i="2" s="1"/>
  <c r="R468" i="2"/>
  <c r="T468" i="2" s="1"/>
  <c r="R469" i="2"/>
  <c r="T469" i="2" s="1"/>
  <c r="R470" i="2"/>
  <c r="T470" i="2" s="1"/>
  <c r="R471" i="2"/>
  <c r="T471" i="2" s="1"/>
  <c r="R472" i="2"/>
  <c r="T472" i="2" s="1"/>
  <c r="R474" i="2"/>
  <c r="T474" i="2" s="1"/>
  <c r="R475" i="2"/>
  <c r="T475" i="2" s="1"/>
  <c r="R476" i="2"/>
  <c r="T476" i="2" s="1"/>
  <c r="R477" i="2"/>
  <c r="R478" i="2"/>
  <c r="T478" i="2" s="1"/>
  <c r="R479" i="2"/>
  <c r="T479" i="2" s="1"/>
  <c r="R480" i="2"/>
  <c r="R481" i="2"/>
  <c r="T481" i="2" s="1"/>
  <c r="R482" i="2"/>
  <c r="T482" i="2" s="1"/>
  <c r="R483" i="2"/>
  <c r="T483" i="2" s="1"/>
  <c r="R484" i="2"/>
  <c r="T484" i="2" s="1"/>
  <c r="R485" i="2"/>
  <c r="T485" i="2" s="1"/>
  <c r="R486" i="2"/>
  <c r="T486" i="2" s="1"/>
  <c r="R488" i="2"/>
  <c r="T488" i="2" s="1"/>
  <c r="R489" i="2"/>
  <c r="T489" i="2" s="1"/>
  <c r="R490" i="2"/>
  <c r="T490" i="2" s="1"/>
  <c r="R491" i="2"/>
  <c r="T491" i="2" s="1"/>
  <c r="R492" i="2"/>
  <c r="T492" i="2" s="1"/>
  <c r="R493" i="2"/>
  <c r="T493" i="2" s="1"/>
  <c r="R494" i="2"/>
  <c r="T494" i="2" s="1"/>
  <c r="R495" i="2"/>
  <c r="T495" i="2" s="1"/>
  <c r="R496" i="2"/>
  <c r="T496" i="2" s="1"/>
  <c r="R497" i="2"/>
  <c r="T497" i="2" s="1"/>
  <c r="R498" i="2"/>
  <c r="T498" i="2" s="1"/>
  <c r="R499" i="2"/>
  <c r="T499" i="2" s="1"/>
  <c r="R500" i="2"/>
  <c r="T500" i="2" s="1"/>
  <c r="R501" i="2"/>
  <c r="T501" i="2" s="1"/>
  <c r="R503" i="2"/>
  <c r="T503" i="2" s="1"/>
  <c r="R504" i="2"/>
  <c r="T504" i="2" s="1"/>
  <c r="R505" i="2"/>
  <c r="T505" i="2" s="1"/>
  <c r="R506" i="2"/>
  <c r="T506" i="2" s="1"/>
  <c r="R507" i="2"/>
  <c r="T507" i="2" s="1"/>
  <c r="R508" i="2"/>
  <c r="T508" i="2" s="1"/>
  <c r="R509" i="2"/>
  <c r="T509" i="2" s="1"/>
  <c r="R510" i="2"/>
  <c r="T510" i="2" s="1"/>
  <c r="R511" i="2"/>
  <c r="T511" i="2" s="1"/>
  <c r="R512" i="2"/>
  <c r="T512" i="2" s="1"/>
  <c r="R513" i="2"/>
  <c r="T513" i="2" s="1"/>
  <c r="R514" i="2"/>
  <c r="T514" i="2" s="1"/>
  <c r="R515" i="2"/>
  <c r="T515" i="2" s="1"/>
  <c r="R516" i="2"/>
  <c r="T516" i="2" s="1"/>
  <c r="R517" i="2"/>
  <c r="T517" i="2" s="1"/>
  <c r="R518" i="2"/>
  <c r="T518" i="2" s="1"/>
  <c r="R519" i="2"/>
  <c r="R520" i="2"/>
  <c r="R521" i="2"/>
  <c r="R522" i="2"/>
  <c r="T522" i="2" s="1"/>
  <c r="R523" i="2"/>
  <c r="T523" i="2" s="1"/>
  <c r="R524" i="2"/>
  <c r="R525" i="2"/>
  <c r="T525" i="2" s="1"/>
  <c r="R526" i="2"/>
  <c r="T526" i="2" s="1"/>
  <c r="R527" i="2"/>
  <c r="T527" i="2" s="1"/>
  <c r="R528" i="2"/>
  <c r="T528" i="2" s="1"/>
  <c r="R529" i="2"/>
  <c r="T529" i="2" s="1"/>
  <c r="R530" i="2"/>
  <c r="T530" i="2" s="1"/>
  <c r="R531" i="2"/>
  <c r="T531" i="2" s="1"/>
  <c r="R532" i="2"/>
  <c r="T532" i="2" s="1"/>
  <c r="R533" i="2"/>
  <c r="T533" i="2" s="1"/>
  <c r="R534" i="2"/>
  <c r="T534" i="2" s="1"/>
  <c r="R538" i="2"/>
  <c r="T538" i="2" s="1"/>
  <c r="R539" i="2"/>
  <c r="T539" i="2" s="1"/>
  <c r="R540" i="2"/>
  <c r="T540" i="2" s="1"/>
  <c r="R541" i="2"/>
  <c r="T541" i="2" s="1"/>
  <c r="R542" i="2"/>
  <c r="T542" i="2" s="1"/>
  <c r="R543" i="2"/>
  <c r="T543" i="2" s="1"/>
  <c r="R544" i="2"/>
  <c r="T544" i="2" s="1"/>
  <c r="R545" i="2"/>
  <c r="T545" i="2" s="1"/>
  <c r="R546" i="2"/>
  <c r="T546" i="2" s="1"/>
  <c r="R547" i="2"/>
  <c r="T547" i="2" s="1"/>
  <c r="R548" i="2"/>
  <c r="T548" i="2" s="1"/>
  <c r="R549" i="2"/>
  <c r="T549" i="2" s="1"/>
  <c r="R550" i="2"/>
  <c r="T550" i="2" s="1"/>
  <c r="R551" i="2"/>
  <c r="T551" i="2" s="1"/>
  <c r="R552" i="2"/>
  <c r="T552" i="2" s="1"/>
  <c r="R553" i="2"/>
  <c r="T553" i="2" s="1"/>
  <c r="R554" i="2"/>
  <c r="T554" i="2" s="1"/>
  <c r="R555" i="2"/>
  <c r="T555" i="2" s="1"/>
  <c r="R556" i="2"/>
  <c r="T556" i="2" s="1"/>
  <c r="R557" i="2"/>
  <c r="T557" i="2" s="1"/>
  <c r="R558" i="2"/>
  <c r="T558" i="2" s="1"/>
  <c r="R559" i="2"/>
  <c r="T559" i="2" s="1"/>
  <c r="R560" i="2"/>
  <c r="T560" i="2" s="1"/>
  <c r="R561" i="2"/>
  <c r="T561" i="2" s="1"/>
  <c r="R562" i="2"/>
  <c r="T562" i="2" s="1"/>
  <c r="R563" i="2"/>
  <c r="T563" i="2" s="1"/>
  <c r="R564" i="2"/>
  <c r="T564" i="2" s="1"/>
  <c r="R565" i="2"/>
  <c r="T565" i="2" s="1"/>
  <c r="R566" i="2"/>
  <c r="T566" i="2" s="1"/>
  <c r="R567" i="2"/>
  <c r="T567" i="2" s="1"/>
  <c r="R568" i="2"/>
  <c r="T568" i="2" s="1"/>
  <c r="R569" i="2"/>
  <c r="T569" i="2" s="1"/>
  <c r="R570" i="2"/>
  <c r="T570" i="2" s="1"/>
  <c r="R571" i="2"/>
  <c r="T571" i="2" s="1"/>
  <c r="R572" i="2"/>
  <c r="T572" i="2" s="1"/>
  <c r="R573" i="2"/>
  <c r="T573" i="2" s="1"/>
  <c r="R574" i="2"/>
  <c r="T574" i="2" s="1"/>
  <c r="R575" i="2"/>
  <c r="T575" i="2" s="1"/>
  <c r="R576" i="2"/>
  <c r="T576" i="2" s="1"/>
  <c r="R577" i="2"/>
  <c r="T577" i="2" s="1"/>
  <c r="R578" i="2"/>
  <c r="T578" i="2" s="1"/>
  <c r="R579" i="2"/>
  <c r="T579" i="2" s="1"/>
  <c r="R580" i="2"/>
  <c r="T580" i="2" s="1"/>
  <c r="R581" i="2"/>
  <c r="T581" i="2" s="1"/>
  <c r="R582" i="2"/>
  <c r="T582" i="2" s="1"/>
  <c r="R583" i="2"/>
  <c r="T583" i="2" s="1"/>
  <c r="R584" i="2"/>
  <c r="T584" i="2" s="1"/>
  <c r="R585" i="2"/>
  <c r="T585" i="2" s="1"/>
  <c r="R586" i="2"/>
  <c r="T586" i="2" s="1"/>
  <c r="R587" i="2"/>
  <c r="T587" i="2" s="1"/>
  <c r="R588" i="2"/>
  <c r="T588" i="2" s="1"/>
  <c r="R589" i="2"/>
  <c r="T589" i="2" s="1"/>
  <c r="R590" i="2"/>
  <c r="T590" i="2" s="1"/>
  <c r="R591" i="2"/>
  <c r="T591" i="2" s="1"/>
  <c r="R592" i="2"/>
  <c r="T592" i="2" s="1"/>
  <c r="R593" i="2"/>
  <c r="T593" i="2" s="1"/>
  <c r="R594" i="2"/>
  <c r="T594" i="2" s="1"/>
  <c r="R595" i="2"/>
  <c r="T595" i="2" s="1"/>
  <c r="R596" i="2"/>
  <c r="T596" i="2" s="1"/>
  <c r="R597" i="2"/>
  <c r="T597" i="2" s="1"/>
  <c r="R598" i="2"/>
  <c r="T598" i="2" s="1"/>
  <c r="R599" i="2"/>
  <c r="T599" i="2" s="1"/>
  <c r="R600" i="2"/>
  <c r="T600" i="2" s="1"/>
  <c r="R601" i="2"/>
  <c r="T601" i="2" s="1"/>
  <c r="R602" i="2"/>
  <c r="T602" i="2" s="1"/>
  <c r="R603" i="2"/>
  <c r="T603" i="2" s="1"/>
  <c r="R604" i="2"/>
  <c r="T604" i="2" s="1"/>
  <c r="R605" i="2"/>
  <c r="T605" i="2" s="1"/>
  <c r="R606" i="2"/>
  <c r="T606" i="2" s="1"/>
  <c r="R607" i="2"/>
  <c r="T607" i="2" s="1"/>
  <c r="R608" i="2"/>
  <c r="T608" i="2" s="1"/>
  <c r="R609" i="2"/>
  <c r="T609" i="2" s="1"/>
  <c r="R610" i="2"/>
  <c r="T610" i="2" s="1"/>
  <c r="R611" i="2"/>
  <c r="T611" i="2" s="1"/>
  <c r="R612" i="2"/>
  <c r="T612" i="2" s="1"/>
  <c r="R613" i="2"/>
  <c r="T613" i="2" s="1"/>
  <c r="R614" i="2"/>
  <c r="T614" i="2" s="1"/>
  <c r="R615" i="2"/>
  <c r="T615" i="2" s="1"/>
  <c r="R616" i="2"/>
  <c r="T616" i="2" s="1"/>
  <c r="R617" i="2"/>
  <c r="T617" i="2" s="1"/>
  <c r="R618" i="2"/>
  <c r="T618" i="2" s="1"/>
  <c r="R619" i="2"/>
  <c r="T619" i="2" s="1"/>
  <c r="R620" i="2"/>
  <c r="T620" i="2" s="1"/>
  <c r="R621" i="2"/>
  <c r="T621" i="2" s="1"/>
  <c r="R622" i="2"/>
  <c r="T622" i="2" s="1"/>
  <c r="F9" i="2"/>
  <c r="F10" i="2"/>
  <c r="F11" i="2"/>
  <c r="F13" i="2"/>
  <c r="F14" i="2"/>
  <c r="F15" i="2"/>
  <c r="F16" i="2"/>
  <c r="F17" i="2"/>
  <c r="F18" i="2"/>
  <c r="F19" i="2"/>
  <c r="F20" i="2"/>
  <c r="F21" i="2"/>
  <c r="F22" i="2"/>
  <c r="F23" i="2"/>
  <c r="F24" i="2"/>
  <c r="F25" i="2"/>
  <c r="F27" i="2"/>
  <c r="F29" i="2"/>
  <c r="F30"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1" i="2"/>
  <c r="F132" i="2"/>
  <c r="F133" i="2"/>
  <c r="F134" i="2"/>
  <c r="F135" i="2"/>
  <c r="F136" i="2"/>
  <c r="F137" i="2"/>
  <c r="F138" i="2"/>
  <c r="F139" i="2"/>
  <c r="F140" i="2"/>
  <c r="F141" i="2"/>
  <c r="F142" i="2"/>
  <c r="F144" i="2"/>
  <c r="F145" i="2"/>
  <c r="F146" i="2"/>
  <c r="F147" i="2"/>
  <c r="F148" i="2"/>
  <c r="F149" i="2"/>
  <c r="F150" i="2"/>
  <c r="F151" i="2"/>
  <c r="F152" i="2"/>
  <c r="F153" i="2"/>
  <c r="F154" i="2"/>
  <c r="F155" i="2"/>
  <c r="H155" i="2" s="1"/>
  <c r="F156" i="2"/>
  <c r="F157" i="2"/>
  <c r="F158" i="2"/>
  <c r="F159" i="2"/>
  <c r="F160" i="2"/>
  <c r="F161" i="2"/>
  <c r="F162" i="2"/>
  <c r="F163" i="2"/>
  <c r="F164" i="2"/>
  <c r="F165" i="2"/>
  <c r="F166" i="2"/>
  <c r="H166" i="2" s="1"/>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1" i="2"/>
  <c r="F252" i="2"/>
  <c r="F253" i="2"/>
  <c r="F254" i="2"/>
  <c r="F255" i="2"/>
  <c r="F256" i="2"/>
  <c r="F257" i="2"/>
  <c r="F258" i="2"/>
  <c r="F259" i="2"/>
  <c r="F260" i="2"/>
  <c r="F261" i="2"/>
  <c r="F262" i="2"/>
  <c r="F263" i="2"/>
  <c r="F264" i="2"/>
  <c r="F266" i="2"/>
  <c r="F267" i="2"/>
  <c r="F268" i="2"/>
  <c r="F269" i="2"/>
  <c r="F270" i="2"/>
  <c r="F271" i="2"/>
  <c r="F272"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3" i="2"/>
  <c r="F444" i="2"/>
  <c r="F445" i="2"/>
  <c r="F446"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9" i="2"/>
  <c r="F480"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8" i="2"/>
  <c r="F539" i="2"/>
  <c r="F540" i="2"/>
  <c r="F541" i="2"/>
  <c r="F542" i="2"/>
  <c r="H542" i="2" s="1"/>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H600" i="2" s="1"/>
  <c r="F601" i="2"/>
  <c r="F602" i="2"/>
  <c r="F603" i="2"/>
  <c r="F604" i="2"/>
  <c r="F605" i="2"/>
  <c r="F606" i="2"/>
  <c r="F607" i="2"/>
  <c r="F608" i="2"/>
  <c r="F609" i="2"/>
  <c r="F610" i="2"/>
  <c r="F611" i="2"/>
  <c r="F612" i="2"/>
  <c r="F613" i="2"/>
  <c r="F614" i="2"/>
  <c r="F615" i="2"/>
  <c r="F616" i="2"/>
  <c r="F617" i="2"/>
  <c r="F618" i="2"/>
  <c r="F619" i="2"/>
  <c r="F620" i="2"/>
  <c r="F621" i="2"/>
  <c r="F622" i="2"/>
  <c r="F623" i="2"/>
  <c r="K9" i="2"/>
  <c r="K10" i="2"/>
  <c r="K12" i="2"/>
  <c r="K13" i="2"/>
  <c r="K14" i="2"/>
  <c r="K16" i="2"/>
  <c r="K17"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626" i="2" s="1"/>
  <c r="K627" i="2" s="1" a="1"/>
  <c r="K627" i="2" s="1"/>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7" i="2"/>
  <c r="K348" i="2"/>
  <c r="K349"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M467" i="2" s="1"/>
  <c r="N467" i="2" s="1"/>
  <c r="K468" i="2"/>
  <c r="K469" i="2"/>
  <c r="K470" i="2"/>
  <c r="K471" i="2"/>
  <c r="K472"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H3" i="69"/>
  <c r="F12" i="2"/>
  <c r="T345" i="2" l="1"/>
  <c r="U345" i="2" s="1"/>
  <c r="F481" i="2"/>
  <c r="K178" i="2"/>
  <c r="K346" i="2"/>
  <c r="K350" i="2"/>
  <c r="K18" i="2"/>
  <c r="K473" i="2"/>
  <c r="K15" i="2"/>
  <c r="R487" i="2" l="1"/>
  <c r="T487" i="2" s="1"/>
  <c r="R303" i="2"/>
  <c r="T303" i="2" s="1"/>
  <c r="R320" i="2"/>
  <c r="T320" i="2" s="1"/>
  <c r="R205" i="2"/>
  <c r="T205" i="2" s="1"/>
  <c r="R502" i="2"/>
  <c r="T502" i="2" s="1"/>
  <c r="R178" i="2"/>
  <c r="T178" i="2" s="1"/>
  <c r="R346" i="2"/>
  <c r="T346" i="2" s="1"/>
  <c r="R623" i="2"/>
  <c r="T623" i="2" s="1"/>
  <c r="U623" i="2" s="1"/>
  <c r="R18" i="2"/>
  <c r="R350" i="2"/>
  <c r="T350" i="2" s="1"/>
  <c r="R473" i="2"/>
  <c r="T473" i="2" s="1"/>
  <c r="R106" i="2"/>
  <c r="T106" i="2" s="1"/>
  <c r="R105" i="2"/>
  <c r="T105" i="2" s="1"/>
  <c r="R114" i="2"/>
  <c r="T114" i="2" s="1"/>
  <c r="R15" i="2"/>
  <c r="F447" i="2"/>
  <c r="F442" i="2"/>
  <c r="R14" i="2" l="1"/>
  <c r="E58" i="65"/>
  <c r="F56" i="6"/>
  <c r="E25" i="15" l="1"/>
  <c r="F27" i="6" s="1"/>
  <c r="B29" i="8" l="1"/>
  <c r="E20" i="65"/>
  <c r="H48" i="13"/>
  <c r="H49" i="13"/>
  <c r="G50" i="13"/>
  <c r="F50" i="13"/>
  <c r="F53" i="13" s="1"/>
  <c r="H15" i="13"/>
  <c r="H12" i="13"/>
  <c r="H11" i="13"/>
  <c r="H10" i="13"/>
  <c r="G13" i="13"/>
  <c r="G16" i="13" l="1"/>
  <c r="G28" i="13" s="1"/>
  <c r="G29" i="13"/>
  <c r="H13" i="13"/>
  <c r="H16" i="13" s="1"/>
  <c r="E19" i="15" l="1"/>
  <c r="E32" i="15" s="1"/>
  <c r="D19" i="15"/>
  <c r="D32" i="15" s="1"/>
  <c r="J37" i="16"/>
  <c r="J38" i="16"/>
  <c r="J39" i="16"/>
  <c r="J40" i="16"/>
  <c r="J41" i="16"/>
  <c r="J36" i="16"/>
  <c r="G102" i="17"/>
  <c r="E102" i="17"/>
  <c r="D29" i="19"/>
  <c r="D30" i="19"/>
  <c r="I128" i="64"/>
  <c r="U412" i="2" l="1"/>
  <c r="U579" i="2"/>
  <c r="U580" i="2"/>
  <c r="U587" i="2"/>
  <c r="U588" i="2"/>
  <c r="U614" i="2"/>
  <c r="U620" i="2"/>
  <c r="U33" i="2"/>
  <c r="U34" i="2"/>
  <c r="U37" i="2"/>
  <c r="U74" i="2"/>
  <c r="U94" i="2"/>
  <c r="U112" i="2"/>
  <c r="U160" i="2"/>
  <c r="U174" i="2"/>
  <c r="U201" i="2"/>
  <c r="U227" i="2"/>
  <c r="U266" i="2"/>
  <c r="U267" i="2"/>
  <c r="W4" i="2"/>
  <c r="V4" i="2"/>
  <c r="M620" i="2" l="1"/>
  <c r="N620" i="2" s="1"/>
  <c r="X620" i="2" s="1"/>
  <c r="M74" i="2"/>
  <c r="M34" i="2"/>
  <c r="N34" i="2" s="1"/>
  <c r="M37" i="2"/>
  <c r="N37" i="2" s="1"/>
  <c r="M94" i="2"/>
  <c r="N94" i="2" s="1"/>
  <c r="M98" i="2"/>
  <c r="N98" i="2" s="1"/>
  <c r="M104" i="2"/>
  <c r="N104" i="2" s="1"/>
  <c r="M160" i="2"/>
  <c r="N160" i="2" s="1"/>
  <c r="M174" i="2"/>
  <c r="N174" i="2" s="1"/>
  <c r="M201" i="2"/>
  <c r="N201" i="2" s="1"/>
  <c r="M266" i="2"/>
  <c r="N266" i="2" s="1"/>
  <c r="M267" i="2"/>
  <c r="N267" i="2" s="1"/>
  <c r="M412" i="2"/>
  <c r="N412" i="2" s="1"/>
  <c r="M579" i="2"/>
  <c r="N579" i="2" s="1"/>
  <c r="M580" i="2"/>
  <c r="N580" i="2" s="1"/>
  <c r="M587" i="2"/>
  <c r="N587" i="2" s="1"/>
  <c r="M588" i="2"/>
  <c r="N588" i="2" s="1"/>
  <c r="M614" i="2"/>
  <c r="N614" i="2" s="1"/>
  <c r="M112" i="2"/>
  <c r="M33" i="2"/>
  <c r="N33" i="2" s="1"/>
  <c r="M227" i="2"/>
  <c r="N112" i="2" l="1"/>
  <c r="X112" i="2" s="1"/>
  <c r="N227" i="2"/>
  <c r="X227" i="2" s="1"/>
  <c r="N74" i="2"/>
  <c r="X74" i="2" s="1"/>
  <c r="H34" i="2" l="1"/>
  <c r="X34" i="2" s="1"/>
  <c r="H33" i="2"/>
  <c r="X33" i="2" s="1"/>
  <c r="H37" i="2"/>
  <c r="X37" i="2" s="1"/>
  <c r="H160" i="2"/>
  <c r="X160" i="2" s="1"/>
  <c r="H174" i="2"/>
  <c r="X174" i="2" s="1"/>
  <c r="H266" i="2"/>
  <c r="X266" i="2" s="1"/>
  <c r="H267" i="2"/>
  <c r="X267" i="2" s="1"/>
  <c r="H412" i="2"/>
  <c r="X412" i="2" s="1"/>
  <c r="H587" i="2"/>
  <c r="H588" i="2"/>
  <c r="X588" i="2" s="1"/>
  <c r="H614" i="2"/>
  <c r="X614" i="2" s="1"/>
  <c r="H580" i="2"/>
  <c r="H579" i="2"/>
  <c r="H94" i="2"/>
  <c r="X94" i="2" s="1"/>
  <c r="X587" i="2" l="1"/>
  <c r="X579" i="2"/>
  <c r="X580" i="2"/>
  <c r="U98" i="2"/>
  <c r="U104" i="2"/>
  <c r="H98" i="2"/>
  <c r="X98" i="2" l="1"/>
  <c r="H104" i="2"/>
  <c r="X104" i="2" s="1"/>
  <c r="J4" i="2"/>
  <c r="E4" i="2"/>
  <c r="U603" i="2" l="1"/>
  <c r="M41" i="2"/>
  <c r="N41" i="2" s="1"/>
  <c r="M9" i="2"/>
  <c r="N9" i="2" s="1"/>
  <c r="M10" i="2"/>
  <c r="N10" i="2" s="1"/>
  <c r="M11" i="2"/>
  <c r="N11" i="2" s="1"/>
  <c r="M12" i="2"/>
  <c r="N12" i="2" s="1"/>
  <c r="M13" i="2"/>
  <c r="N13" i="2" s="1"/>
  <c r="M14" i="2"/>
  <c r="N14" i="2" s="1"/>
  <c r="M15" i="2"/>
  <c r="N15" i="2" s="1"/>
  <c r="M16" i="2"/>
  <c r="N16" i="2" s="1"/>
  <c r="M17" i="2"/>
  <c r="N17" i="2" s="1"/>
  <c r="M18" i="2"/>
  <c r="N18" i="2" s="1"/>
  <c r="M19" i="2"/>
  <c r="N19" i="2" s="1"/>
  <c r="M20" i="2"/>
  <c r="N20" i="2" s="1"/>
  <c r="M21" i="2"/>
  <c r="N21" i="2" s="1"/>
  <c r="M22" i="2"/>
  <c r="N22" i="2" s="1"/>
  <c r="M23" i="2"/>
  <c r="N23" i="2" s="1"/>
  <c r="M24" i="2"/>
  <c r="N24" i="2" s="1"/>
  <c r="M25" i="2"/>
  <c r="N25" i="2" s="1"/>
  <c r="M26" i="2"/>
  <c r="N26" i="2" s="1"/>
  <c r="M27" i="2"/>
  <c r="N27" i="2" s="1"/>
  <c r="M28" i="2"/>
  <c r="N28" i="2" s="1"/>
  <c r="M29" i="2"/>
  <c r="N29" i="2" s="1"/>
  <c r="M30" i="2"/>
  <c r="N30" i="2" s="1"/>
  <c r="M31" i="2"/>
  <c r="N31" i="2" s="1"/>
  <c r="M32" i="2"/>
  <c r="N32" i="2" s="1"/>
  <c r="M35" i="2"/>
  <c r="N35" i="2" s="1"/>
  <c r="M36" i="2"/>
  <c r="N36" i="2" s="1"/>
  <c r="M38" i="2"/>
  <c r="N38" i="2" s="1"/>
  <c r="M39" i="2"/>
  <c r="N39" i="2" s="1"/>
  <c r="M40" i="2"/>
  <c r="N40" i="2" s="1"/>
  <c r="M42" i="2"/>
  <c r="N42" i="2" s="1"/>
  <c r="M45" i="2"/>
  <c r="N45" i="2" s="1"/>
  <c r="M46" i="2"/>
  <c r="N46" i="2" s="1"/>
  <c r="M47" i="2"/>
  <c r="N47" i="2" s="1"/>
  <c r="M48" i="2"/>
  <c r="N48" i="2" s="1"/>
  <c r="M49" i="2"/>
  <c r="N49" i="2" s="1"/>
  <c r="M50" i="2"/>
  <c r="N50" i="2" s="1"/>
  <c r="M51" i="2"/>
  <c r="N51" i="2" s="1"/>
  <c r="M52" i="2"/>
  <c r="N52" i="2" s="1"/>
  <c r="M53" i="2"/>
  <c r="N53" i="2" s="1"/>
  <c r="M54" i="2"/>
  <c r="N54" i="2" s="1"/>
  <c r="M55" i="2"/>
  <c r="N55" i="2" s="1"/>
  <c r="M56" i="2"/>
  <c r="N56" i="2" s="1"/>
  <c r="M57" i="2"/>
  <c r="N57" i="2" s="1"/>
  <c r="M58" i="2"/>
  <c r="N58" i="2" s="1"/>
  <c r="M59" i="2"/>
  <c r="N59" i="2" s="1"/>
  <c r="M60" i="2"/>
  <c r="N60" i="2" s="1"/>
  <c r="M61" i="2"/>
  <c r="N61" i="2" s="1"/>
  <c r="M62" i="2"/>
  <c r="N62" i="2" s="1"/>
  <c r="M63" i="2"/>
  <c r="N63" i="2" s="1"/>
  <c r="M64" i="2"/>
  <c r="N64" i="2" s="1"/>
  <c r="M65" i="2"/>
  <c r="M66" i="2"/>
  <c r="N66" i="2" s="1"/>
  <c r="M67" i="2"/>
  <c r="N67" i="2" s="1"/>
  <c r="M68" i="2"/>
  <c r="N68" i="2" s="1"/>
  <c r="M69" i="2"/>
  <c r="N69" i="2" s="1"/>
  <c r="M70" i="2"/>
  <c r="N70" i="2" s="1"/>
  <c r="M71" i="2"/>
  <c r="N71" i="2" s="1"/>
  <c r="M72" i="2"/>
  <c r="N72" i="2" s="1"/>
  <c r="M73" i="2"/>
  <c r="N73" i="2" s="1"/>
  <c r="M75" i="2"/>
  <c r="N75" i="2" s="1"/>
  <c r="M76" i="2"/>
  <c r="N76" i="2" s="1"/>
  <c r="M77" i="2"/>
  <c r="N77" i="2" s="1"/>
  <c r="M78" i="2"/>
  <c r="N78" i="2" s="1"/>
  <c r="M79" i="2"/>
  <c r="N79" i="2" s="1"/>
  <c r="M80" i="2"/>
  <c r="N80" i="2" s="1"/>
  <c r="M81" i="2"/>
  <c r="N81" i="2" s="1"/>
  <c r="M82" i="2"/>
  <c r="N82" i="2" s="1"/>
  <c r="M83" i="2"/>
  <c r="N83" i="2" s="1"/>
  <c r="M84" i="2"/>
  <c r="N84" i="2" s="1"/>
  <c r="M85" i="2"/>
  <c r="N85" i="2" s="1"/>
  <c r="M86" i="2"/>
  <c r="N86" i="2" s="1"/>
  <c r="M87" i="2"/>
  <c r="N87" i="2" s="1"/>
  <c r="M88" i="2"/>
  <c r="N88" i="2" s="1"/>
  <c r="M89" i="2"/>
  <c r="N89" i="2" s="1"/>
  <c r="M90" i="2"/>
  <c r="N90" i="2" s="1"/>
  <c r="M91" i="2"/>
  <c r="N91" i="2" s="1"/>
  <c r="M92" i="2"/>
  <c r="N92" i="2" s="1"/>
  <c r="M93" i="2"/>
  <c r="N93" i="2" s="1"/>
  <c r="M95" i="2"/>
  <c r="N95" i="2" s="1"/>
  <c r="M96" i="2"/>
  <c r="N96" i="2" s="1"/>
  <c r="M97" i="2"/>
  <c r="N97" i="2" s="1"/>
  <c r="M99" i="2"/>
  <c r="N99" i="2" s="1"/>
  <c r="M100" i="2"/>
  <c r="N100" i="2" s="1"/>
  <c r="M101" i="2"/>
  <c r="N101" i="2" s="1"/>
  <c r="M102" i="2"/>
  <c r="N102" i="2" s="1"/>
  <c r="M103" i="2"/>
  <c r="N103" i="2" s="1"/>
  <c r="M105" i="2"/>
  <c r="N105" i="2" s="1"/>
  <c r="M106" i="2"/>
  <c r="N106" i="2" s="1"/>
  <c r="M107" i="2"/>
  <c r="N107" i="2" s="1"/>
  <c r="M108" i="2"/>
  <c r="N108" i="2" s="1"/>
  <c r="M109" i="2"/>
  <c r="N109" i="2" s="1"/>
  <c r="M110" i="2"/>
  <c r="N110" i="2" s="1"/>
  <c r="M111" i="2"/>
  <c r="N111" i="2" s="1"/>
  <c r="M113" i="2"/>
  <c r="N113" i="2" s="1"/>
  <c r="M114" i="2"/>
  <c r="N114" i="2" s="1"/>
  <c r="M115" i="2"/>
  <c r="N115" i="2" s="1"/>
  <c r="M116" i="2"/>
  <c r="N116" i="2" s="1"/>
  <c r="M117" i="2"/>
  <c r="N117" i="2" s="1"/>
  <c r="M118" i="2"/>
  <c r="N118" i="2" s="1"/>
  <c r="M119" i="2"/>
  <c r="N119" i="2" s="1"/>
  <c r="M120" i="2"/>
  <c r="N120" i="2" s="1"/>
  <c r="M121" i="2"/>
  <c r="N121" i="2" s="1"/>
  <c r="M122" i="2"/>
  <c r="N122" i="2" s="1"/>
  <c r="M123" i="2"/>
  <c r="N123" i="2" s="1"/>
  <c r="M124" i="2"/>
  <c r="N124" i="2" s="1"/>
  <c r="M125" i="2"/>
  <c r="N125" i="2" s="1"/>
  <c r="M126" i="2"/>
  <c r="N126" i="2" s="1"/>
  <c r="M127" i="2"/>
  <c r="N127" i="2" s="1"/>
  <c r="M128" i="2"/>
  <c r="N128" i="2" s="1"/>
  <c r="M129" i="2"/>
  <c r="N129" i="2" s="1"/>
  <c r="M130" i="2"/>
  <c r="N130" i="2" s="1"/>
  <c r="M131" i="2"/>
  <c r="N131" i="2" s="1"/>
  <c r="M132" i="2"/>
  <c r="N132" i="2" s="1"/>
  <c r="M133" i="2"/>
  <c r="N133" i="2" s="1"/>
  <c r="M134" i="2"/>
  <c r="N134" i="2" s="1"/>
  <c r="M135" i="2"/>
  <c r="N135" i="2" s="1"/>
  <c r="M136" i="2"/>
  <c r="N136" i="2" s="1"/>
  <c r="M137" i="2"/>
  <c r="N137" i="2" s="1"/>
  <c r="M138" i="2"/>
  <c r="N138" i="2" s="1"/>
  <c r="M139" i="2"/>
  <c r="N139" i="2" s="1"/>
  <c r="M140" i="2"/>
  <c r="N140" i="2" s="1"/>
  <c r="M141" i="2"/>
  <c r="N141" i="2" s="1"/>
  <c r="M142" i="2"/>
  <c r="N142" i="2" s="1"/>
  <c r="M143" i="2"/>
  <c r="N143" i="2" s="1"/>
  <c r="M144" i="2"/>
  <c r="N144" i="2" s="1"/>
  <c r="M145" i="2"/>
  <c r="N145" i="2" s="1"/>
  <c r="M146" i="2"/>
  <c r="N146" i="2" s="1"/>
  <c r="M147" i="2"/>
  <c r="N147" i="2" s="1"/>
  <c r="M148" i="2"/>
  <c r="N148" i="2" s="1"/>
  <c r="M149" i="2"/>
  <c r="N149" i="2" s="1"/>
  <c r="M150" i="2"/>
  <c r="N150" i="2" s="1"/>
  <c r="M151" i="2"/>
  <c r="N151" i="2" s="1"/>
  <c r="M152" i="2"/>
  <c r="N152" i="2" s="1"/>
  <c r="M153" i="2"/>
  <c r="N153" i="2" s="1"/>
  <c r="M154" i="2"/>
  <c r="N154" i="2" s="1"/>
  <c r="M155" i="2"/>
  <c r="N155" i="2" s="1"/>
  <c r="M156" i="2"/>
  <c r="N156" i="2" s="1"/>
  <c r="M157" i="2"/>
  <c r="N157" i="2" s="1"/>
  <c r="M158" i="2"/>
  <c r="N158" i="2" s="1"/>
  <c r="M159" i="2"/>
  <c r="N159" i="2" s="1"/>
  <c r="M161" i="2"/>
  <c r="N161" i="2" s="1"/>
  <c r="M162" i="2"/>
  <c r="N162" i="2" s="1"/>
  <c r="M163" i="2"/>
  <c r="N163" i="2" s="1"/>
  <c r="M164" i="2"/>
  <c r="N164" i="2" s="1"/>
  <c r="M165" i="2"/>
  <c r="N165" i="2" s="1"/>
  <c r="M166" i="2"/>
  <c r="N166" i="2" s="1"/>
  <c r="M167" i="2"/>
  <c r="M168" i="2"/>
  <c r="N168" i="2" s="1"/>
  <c r="M169" i="2"/>
  <c r="M170" i="2"/>
  <c r="N170" i="2" s="1"/>
  <c r="M171" i="2"/>
  <c r="N171" i="2" s="1"/>
  <c r="M172" i="2"/>
  <c r="N172" i="2" s="1"/>
  <c r="M173" i="2"/>
  <c r="N173" i="2" s="1"/>
  <c r="M175" i="2"/>
  <c r="N175" i="2" s="1"/>
  <c r="M176" i="2"/>
  <c r="N176" i="2" s="1"/>
  <c r="M177" i="2"/>
  <c r="N177" i="2" s="1"/>
  <c r="M178" i="2"/>
  <c r="N178" i="2" s="1"/>
  <c r="M179" i="2"/>
  <c r="N179" i="2" s="1"/>
  <c r="M180" i="2"/>
  <c r="N180" i="2" s="1"/>
  <c r="M181" i="2"/>
  <c r="N181" i="2" s="1"/>
  <c r="M182" i="2"/>
  <c r="N182" i="2" s="1"/>
  <c r="M183" i="2"/>
  <c r="N183" i="2" s="1"/>
  <c r="M184" i="2"/>
  <c r="N184" i="2" s="1"/>
  <c r="M185" i="2"/>
  <c r="N185" i="2" s="1"/>
  <c r="M186" i="2"/>
  <c r="N186" i="2" s="1"/>
  <c r="M187" i="2"/>
  <c r="N187" i="2" s="1"/>
  <c r="M188" i="2"/>
  <c r="N188" i="2" s="1"/>
  <c r="M189" i="2"/>
  <c r="N189" i="2" s="1"/>
  <c r="M190" i="2"/>
  <c r="N190" i="2" s="1"/>
  <c r="M191" i="2"/>
  <c r="N191" i="2" s="1"/>
  <c r="M192" i="2"/>
  <c r="N192" i="2" s="1"/>
  <c r="M193" i="2"/>
  <c r="N193" i="2" s="1"/>
  <c r="M194" i="2"/>
  <c r="N194" i="2" s="1"/>
  <c r="M195" i="2"/>
  <c r="N195" i="2" s="1"/>
  <c r="M196" i="2"/>
  <c r="N196" i="2" s="1"/>
  <c r="M197" i="2"/>
  <c r="N197" i="2" s="1"/>
  <c r="M198" i="2"/>
  <c r="N198" i="2" s="1"/>
  <c r="M200" i="2"/>
  <c r="N200" i="2" s="1"/>
  <c r="M202" i="2"/>
  <c r="N202" i="2" s="1"/>
  <c r="M203" i="2"/>
  <c r="N203" i="2" s="1"/>
  <c r="M204" i="2"/>
  <c r="N204" i="2" s="1"/>
  <c r="M205" i="2"/>
  <c r="N205" i="2" s="1"/>
  <c r="M206" i="2"/>
  <c r="N206" i="2" s="1"/>
  <c r="M207" i="2"/>
  <c r="N207" i="2" s="1"/>
  <c r="M208" i="2"/>
  <c r="N208" i="2" s="1"/>
  <c r="M209" i="2"/>
  <c r="N209" i="2" s="1"/>
  <c r="M210" i="2"/>
  <c r="N210" i="2" s="1"/>
  <c r="M211" i="2"/>
  <c r="N211" i="2" s="1"/>
  <c r="M212" i="2"/>
  <c r="N212" i="2" s="1"/>
  <c r="M213" i="2"/>
  <c r="N213" i="2" s="1"/>
  <c r="M214" i="2"/>
  <c r="N214" i="2" s="1"/>
  <c r="M215" i="2"/>
  <c r="N215" i="2" s="1"/>
  <c r="M216" i="2"/>
  <c r="N216" i="2" s="1"/>
  <c r="M217" i="2"/>
  <c r="N217" i="2" s="1"/>
  <c r="M218" i="2"/>
  <c r="N218" i="2" s="1"/>
  <c r="M219" i="2"/>
  <c r="N219" i="2" s="1"/>
  <c r="M220" i="2"/>
  <c r="N220" i="2" s="1"/>
  <c r="M221" i="2"/>
  <c r="N221" i="2" s="1"/>
  <c r="M222" i="2"/>
  <c r="N222" i="2" s="1"/>
  <c r="M223" i="2"/>
  <c r="N223" i="2" s="1"/>
  <c r="M224" i="2"/>
  <c r="N224" i="2" s="1"/>
  <c r="M225" i="2"/>
  <c r="N225" i="2" s="1"/>
  <c r="M226" i="2"/>
  <c r="N226" i="2" s="1"/>
  <c r="M228" i="2"/>
  <c r="N228" i="2" s="1"/>
  <c r="M229" i="2"/>
  <c r="N229" i="2" s="1"/>
  <c r="M230" i="2"/>
  <c r="N230" i="2" s="1"/>
  <c r="M231" i="2"/>
  <c r="N231" i="2" s="1"/>
  <c r="M232" i="2"/>
  <c r="N232" i="2" s="1"/>
  <c r="M233" i="2"/>
  <c r="N233" i="2" s="1"/>
  <c r="M234" i="2"/>
  <c r="N234" i="2" s="1"/>
  <c r="M235" i="2"/>
  <c r="N235" i="2" s="1"/>
  <c r="M236" i="2"/>
  <c r="N236" i="2" s="1"/>
  <c r="M237" i="2"/>
  <c r="N237" i="2" s="1"/>
  <c r="M238" i="2"/>
  <c r="N238" i="2" s="1"/>
  <c r="M239" i="2"/>
  <c r="N239" i="2" s="1"/>
  <c r="M240" i="2"/>
  <c r="N240" i="2" s="1"/>
  <c r="M241" i="2"/>
  <c r="N241" i="2" s="1"/>
  <c r="M242" i="2"/>
  <c r="N242" i="2" s="1"/>
  <c r="M243" i="2"/>
  <c r="N243" i="2" s="1"/>
  <c r="M244" i="2"/>
  <c r="N244" i="2" s="1"/>
  <c r="M245" i="2"/>
  <c r="N245" i="2" s="1"/>
  <c r="M246" i="2"/>
  <c r="N246" i="2" s="1"/>
  <c r="M247" i="2"/>
  <c r="N247" i="2" s="1"/>
  <c r="M248" i="2"/>
  <c r="N248" i="2" s="1"/>
  <c r="M249" i="2"/>
  <c r="N249" i="2" s="1"/>
  <c r="M250" i="2"/>
  <c r="N250" i="2" s="1"/>
  <c r="M251" i="2"/>
  <c r="N251" i="2" s="1"/>
  <c r="M252" i="2"/>
  <c r="N252" i="2" s="1"/>
  <c r="M253" i="2"/>
  <c r="N253" i="2" s="1"/>
  <c r="M254" i="2"/>
  <c r="N254" i="2" s="1"/>
  <c r="M255" i="2"/>
  <c r="N255" i="2" s="1"/>
  <c r="M256" i="2"/>
  <c r="N256" i="2" s="1"/>
  <c r="M257" i="2"/>
  <c r="N257" i="2" s="1"/>
  <c r="M258" i="2"/>
  <c r="N258" i="2" s="1"/>
  <c r="M259" i="2"/>
  <c r="N259" i="2" s="1"/>
  <c r="M260" i="2"/>
  <c r="N260" i="2" s="1"/>
  <c r="M261" i="2"/>
  <c r="N261" i="2" s="1"/>
  <c r="M262" i="2"/>
  <c r="N262" i="2" s="1"/>
  <c r="M263" i="2"/>
  <c r="N263" i="2" s="1"/>
  <c r="M264" i="2"/>
  <c r="N264" i="2" s="1"/>
  <c r="M265" i="2"/>
  <c r="M268" i="2"/>
  <c r="N268" i="2" s="1"/>
  <c r="M269" i="2"/>
  <c r="N269" i="2" s="1"/>
  <c r="M270" i="2"/>
  <c r="N270" i="2" s="1"/>
  <c r="M271" i="2"/>
  <c r="N271" i="2" s="1"/>
  <c r="M272" i="2"/>
  <c r="N272" i="2" s="1"/>
  <c r="M273" i="2"/>
  <c r="N273" i="2" s="1"/>
  <c r="M274" i="2"/>
  <c r="N274" i="2" s="1"/>
  <c r="M275" i="2"/>
  <c r="N275" i="2" s="1"/>
  <c r="M276" i="2"/>
  <c r="N276" i="2" s="1"/>
  <c r="M277" i="2"/>
  <c r="N277" i="2" s="1"/>
  <c r="M278" i="2"/>
  <c r="N278" i="2" s="1"/>
  <c r="M280" i="2"/>
  <c r="N280" i="2" s="1"/>
  <c r="M281" i="2"/>
  <c r="N281" i="2" s="1"/>
  <c r="M282" i="2"/>
  <c r="N282" i="2" s="1"/>
  <c r="M283" i="2"/>
  <c r="N283" i="2" s="1"/>
  <c r="M284" i="2"/>
  <c r="N284" i="2" s="1"/>
  <c r="M285" i="2"/>
  <c r="N285" i="2" s="1"/>
  <c r="M286" i="2"/>
  <c r="N286" i="2" s="1"/>
  <c r="M287" i="2"/>
  <c r="N287" i="2" s="1"/>
  <c r="M288" i="2"/>
  <c r="N288" i="2" s="1"/>
  <c r="M289" i="2"/>
  <c r="N289" i="2" s="1"/>
  <c r="M290" i="2"/>
  <c r="N290" i="2" s="1"/>
  <c r="M291" i="2"/>
  <c r="N291" i="2" s="1"/>
  <c r="M292" i="2"/>
  <c r="N292" i="2" s="1"/>
  <c r="M293" i="2"/>
  <c r="N293" i="2" s="1"/>
  <c r="M294" i="2"/>
  <c r="N294" i="2" s="1"/>
  <c r="M295" i="2"/>
  <c r="N295" i="2" s="1"/>
  <c r="M296" i="2"/>
  <c r="N296" i="2" s="1"/>
  <c r="M297" i="2"/>
  <c r="N297" i="2" s="1"/>
  <c r="M298" i="2"/>
  <c r="N298" i="2" s="1"/>
  <c r="M299" i="2"/>
  <c r="N299" i="2" s="1"/>
  <c r="M300" i="2"/>
  <c r="N300" i="2" s="1"/>
  <c r="M301" i="2"/>
  <c r="N301" i="2" s="1"/>
  <c r="M302" i="2"/>
  <c r="N302" i="2" s="1"/>
  <c r="M303" i="2"/>
  <c r="M304" i="2"/>
  <c r="N304" i="2" s="1"/>
  <c r="M305" i="2"/>
  <c r="N305" i="2" s="1"/>
  <c r="M306" i="2"/>
  <c r="N306" i="2" s="1"/>
  <c r="M307" i="2"/>
  <c r="N307" i="2" s="1"/>
  <c r="M308" i="2"/>
  <c r="N308" i="2" s="1"/>
  <c r="M309" i="2"/>
  <c r="N309" i="2" s="1"/>
  <c r="M310" i="2"/>
  <c r="N310" i="2" s="1"/>
  <c r="M311" i="2"/>
  <c r="N311" i="2" s="1"/>
  <c r="M312" i="2"/>
  <c r="N312" i="2" s="1"/>
  <c r="M313" i="2"/>
  <c r="N313" i="2" s="1"/>
  <c r="M314" i="2"/>
  <c r="N314" i="2" s="1"/>
  <c r="M316" i="2"/>
  <c r="N316" i="2" s="1"/>
  <c r="M317" i="2"/>
  <c r="N317" i="2" s="1"/>
  <c r="M318" i="2"/>
  <c r="N318" i="2" s="1"/>
  <c r="M319" i="2"/>
  <c r="N319" i="2" s="1"/>
  <c r="M320" i="2"/>
  <c r="N320" i="2" s="1"/>
  <c r="M321" i="2"/>
  <c r="N321" i="2" s="1"/>
  <c r="M322" i="2"/>
  <c r="N322" i="2" s="1"/>
  <c r="M323" i="2"/>
  <c r="N323" i="2" s="1"/>
  <c r="M324" i="2"/>
  <c r="N324" i="2" s="1"/>
  <c r="M325" i="2"/>
  <c r="N325" i="2" s="1"/>
  <c r="M326" i="2"/>
  <c r="N326" i="2" s="1"/>
  <c r="M327" i="2"/>
  <c r="N327" i="2" s="1"/>
  <c r="M328" i="2"/>
  <c r="N328" i="2" s="1"/>
  <c r="M329" i="2"/>
  <c r="N329" i="2" s="1"/>
  <c r="M330" i="2"/>
  <c r="N330" i="2" s="1"/>
  <c r="M331" i="2"/>
  <c r="N331" i="2" s="1"/>
  <c r="M332" i="2"/>
  <c r="N332" i="2" s="1"/>
  <c r="M333" i="2"/>
  <c r="N333" i="2" s="1"/>
  <c r="M334" i="2"/>
  <c r="N334" i="2" s="1"/>
  <c r="M335" i="2"/>
  <c r="N335" i="2" s="1"/>
  <c r="M336" i="2"/>
  <c r="N336" i="2" s="1"/>
  <c r="M337" i="2"/>
  <c r="N337" i="2" s="1"/>
  <c r="M338" i="2"/>
  <c r="N338" i="2" s="1"/>
  <c r="M339" i="2"/>
  <c r="N339" i="2" s="1"/>
  <c r="M340" i="2"/>
  <c r="N340" i="2" s="1"/>
  <c r="M341" i="2"/>
  <c r="N341" i="2" s="1"/>
  <c r="M342" i="2"/>
  <c r="N342" i="2" s="1"/>
  <c r="M343" i="2"/>
  <c r="N343" i="2" s="1"/>
  <c r="M344" i="2"/>
  <c r="N344" i="2" s="1"/>
  <c r="M345" i="2"/>
  <c r="N345" i="2" s="1"/>
  <c r="M346" i="2"/>
  <c r="N346" i="2" s="1"/>
  <c r="M347" i="2"/>
  <c r="N347" i="2" s="1"/>
  <c r="M348" i="2"/>
  <c r="N348" i="2" s="1"/>
  <c r="M349" i="2"/>
  <c r="N349" i="2" s="1"/>
  <c r="M350" i="2"/>
  <c r="N350" i="2" s="1"/>
  <c r="M351" i="2"/>
  <c r="N351" i="2" s="1"/>
  <c r="M352" i="2"/>
  <c r="N352" i="2" s="1"/>
  <c r="M353" i="2"/>
  <c r="N353" i="2" s="1"/>
  <c r="M354" i="2"/>
  <c r="N354" i="2" s="1"/>
  <c r="M355" i="2"/>
  <c r="N355" i="2" s="1"/>
  <c r="M356" i="2"/>
  <c r="N356" i="2" s="1"/>
  <c r="M357" i="2"/>
  <c r="N357" i="2" s="1"/>
  <c r="M358" i="2"/>
  <c r="N358" i="2" s="1"/>
  <c r="M359" i="2"/>
  <c r="N359" i="2" s="1"/>
  <c r="M360" i="2"/>
  <c r="N360" i="2" s="1"/>
  <c r="M361" i="2"/>
  <c r="N361" i="2" s="1"/>
  <c r="M362" i="2"/>
  <c r="N362" i="2" s="1"/>
  <c r="M363" i="2"/>
  <c r="N363" i="2" s="1"/>
  <c r="M364" i="2"/>
  <c r="N364" i="2" s="1"/>
  <c r="M365" i="2"/>
  <c r="N365" i="2" s="1"/>
  <c r="M366" i="2"/>
  <c r="N366" i="2" s="1"/>
  <c r="M367" i="2"/>
  <c r="N367" i="2" s="1"/>
  <c r="M368" i="2"/>
  <c r="N368" i="2" s="1"/>
  <c r="M369" i="2"/>
  <c r="N369" i="2" s="1"/>
  <c r="M370" i="2"/>
  <c r="N370" i="2" s="1"/>
  <c r="M371" i="2"/>
  <c r="N371" i="2" s="1"/>
  <c r="M372" i="2"/>
  <c r="N372" i="2" s="1"/>
  <c r="M373" i="2"/>
  <c r="N373" i="2" s="1"/>
  <c r="M374" i="2"/>
  <c r="N374" i="2" s="1"/>
  <c r="M375" i="2"/>
  <c r="N375" i="2" s="1"/>
  <c r="M376" i="2"/>
  <c r="N376" i="2" s="1"/>
  <c r="M377" i="2"/>
  <c r="N377" i="2" s="1"/>
  <c r="M378" i="2"/>
  <c r="N378" i="2" s="1"/>
  <c r="M379" i="2"/>
  <c r="N379" i="2" s="1"/>
  <c r="M380" i="2"/>
  <c r="N380" i="2" s="1"/>
  <c r="M381" i="2"/>
  <c r="N381" i="2" s="1"/>
  <c r="M382" i="2"/>
  <c r="N382" i="2" s="1"/>
  <c r="M383" i="2"/>
  <c r="N383" i="2" s="1"/>
  <c r="M384" i="2"/>
  <c r="N384" i="2" s="1"/>
  <c r="M385" i="2"/>
  <c r="N385" i="2" s="1"/>
  <c r="M386" i="2"/>
  <c r="N386" i="2" s="1"/>
  <c r="M387" i="2"/>
  <c r="N387" i="2" s="1"/>
  <c r="M388" i="2"/>
  <c r="N388" i="2" s="1"/>
  <c r="M389" i="2"/>
  <c r="N389" i="2" s="1"/>
  <c r="M390" i="2"/>
  <c r="N390" i="2" s="1"/>
  <c r="M391" i="2"/>
  <c r="N391" i="2" s="1"/>
  <c r="M392" i="2"/>
  <c r="N392" i="2" s="1"/>
  <c r="M393" i="2"/>
  <c r="N393" i="2" s="1"/>
  <c r="M394" i="2"/>
  <c r="N394" i="2" s="1"/>
  <c r="M395" i="2"/>
  <c r="N395" i="2" s="1"/>
  <c r="M396" i="2"/>
  <c r="N396" i="2" s="1"/>
  <c r="M397" i="2"/>
  <c r="N397" i="2" s="1"/>
  <c r="M398" i="2"/>
  <c r="N398" i="2" s="1"/>
  <c r="M399" i="2"/>
  <c r="N399" i="2" s="1"/>
  <c r="M400" i="2"/>
  <c r="N400" i="2" s="1"/>
  <c r="M401" i="2"/>
  <c r="N401" i="2" s="1"/>
  <c r="M402" i="2"/>
  <c r="N402" i="2" s="1"/>
  <c r="M403" i="2"/>
  <c r="N403" i="2" s="1"/>
  <c r="M404" i="2"/>
  <c r="N404" i="2" s="1"/>
  <c r="M405" i="2"/>
  <c r="N405" i="2" s="1"/>
  <c r="M406" i="2"/>
  <c r="N406" i="2" s="1"/>
  <c r="M407" i="2"/>
  <c r="N407" i="2" s="1"/>
  <c r="M408" i="2"/>
  <c r="N408" i="2" s="1"/>
  <c r="M409" i="2"/>
  <c r="N409" i="2" s="1"/>
  <c r="M410" i="2"/>
  <c r="N410" i="2" s="1"/>
  <c r="M411" i="2"/>
  <c r="N411" i="2" s="1"/>
  <c r="M413" i="2"/>
  <c r="N413" i="2" s="1"/>
  <c r="M414" i="2"/>
  <c r="N414" i="2" s="1"/>
  <c r="M415" i="2"/>
  <c r="N415" i="2" s="1"/>
  <c r="M416" i="2"/>
  <c r="N416" i="2" s="1"/>
  <c r="M417" i="2"/>
  <c r="N417" i="2" s="1"/>
  <c r="M418" i="2"/>
  <c r="N418" i="2" s="1"/>
  <c r="M419" i="2"/>
  <c r="N419" i="2" s="1"/>
  <c r="M420" i="2"/>
  <c r="N420" i="2" s="1"/>
  <c r="M421" i="2"/>
  <c r="N421" i="2" s="1"/>
  <c r="M422" i="2"/>
  <c r="N422" i="2" s="1"/>
  <c r="M423" i="2"/>
  <c r="N423" i="2" s="1"/>
  <c r="M424" i="2"/>
  <c r="N424" i="2" s="1"/>
  <c r="M425" i="2"/>
  <c r="N425" i="2" s="1"/>
  <c r="M426" i="2"/>
  <c r="N426" i="2" s="1"/>
  <c r="M427" i="2"/>
  <c r="N427" i="2" s="1"/>
  <c r="M428" i="2"/>
  <c r="N428" i="2" s="1"/>
  <c r="M429" i="2"/>
  <c r="N429" i="2" s="1"/>
  <c r="M430" i="2"/>
  <c r="N430" i="2" s="1"/>
  <c r="M431" i="2"/>
  <c r="N431" i="2" s="1"/>
  <c r="M432" i="2"/>
  <c r="N432" i="2" s="1"/>
  <c r="M433" i="2"/>
  <c r="N433" i="2" s="1"/>
  <c r="M434" i="2"/>
  <c r="N434" i="2" s="1"/>
  <c r="M435" i="2"/>
  <c r="N435" i="2" s="1"/>
  <c r="M436" i="2"/>
  <c r="N436" i="2" s="1"/>
  <c r="M437" i="2"/>
  <c r="N437" i="2" s="1"/>
  <c r="M438" i="2"/>
  <c r="N438" i="2" s="1"/>
  <c r="M439" i="2"/>
  <c r="N439" i="2" s="1"/>
  <c r="M440" i="2"/>
  <c r="N440" i="2" s="1"/>
  <c r="M441" i="2"/>
  <c r="N441" i="2" s="1"/>
  <c r="M442" i="2"/>
  <c r="N442" i="2" s="1"/>
  <c r="M443" i="2"/>
  <c r="N443" i="2" s="1"/>
  <c r="M444" i="2"/>
  <c r="N444" i="2" s="1"/>
  <c r="M445" i="2"/>
  <c r="N445" i="2" s="1"/>
  <c r="M446" i="2"/>
  <c r="N446" i="2" s="1"/>
  <c r="M448" i="2"/>
  <c r="N448" i="2" s="1"/>
  <c r="M449" i="2"/>
  <c r="N449" i="2" s="1"/>
  <c r="M450" i="2"/>
  <c r="N450" i="2" s="1"/>
  <c r="M451" i="2"/>
  <c r="N451" i="2" s="1"/>
  <c r="M452" i="2"/>
  <c r="N452" i="2" s="1"/>
  <c r="M453" i="2"/>
  <c r="N453" i="2" s="1"/>
  <c r="M454" i="2"/>
  <c r="N454" i="2" s="1"/>
  <c r="M455" i="2"/>
  <c r="N455" i="2" s="1"/>
  <c r="M456" i="2"/>
  <c r="N456" i="2" s="1"/>
  <c r="M457" i="2"/>
  <c r="N457" i="2" s="1"/>
  <c r="M458" i="2"/>
  <c r="N458" i="2" s="1"/>
  <c r="M459" i="2"/>
  <c r="N459" i="2" s="1"/>
  <c r="M460" i="2"/>
  <c r="N460" i="2" s="1"/>
  <c r="M461" i="2"/>
  <c r="N461" i="2" s="1"/>
  <c r="M462" i="2"/>
  <c r="N462" i="2" s="1"/>
  <c r="M463" i="2"/>
  <c r="N463" i="2" s="1"/>
  <c r="M464" i="2"/>
  <c r="N464" i="2" s="1"/>
  <c r="M465" i="2"/>
  <c r="N465" i="2" s="1"/>
  <c r="M466" i="2"/>
  <c r="N466" i="2" s="1"/>
  <c r="M468" i="2"/>
  <c r="N468" i="2" s="1"/>
  <c r="M469" i="2"/>
  <c r="N469" i="2" s="1"/>
  <c r="M470" i="2"/>
  <c r="N470" i="2" s="1"/>
  <c r="M471" i="2"/>
  <c r="N471" i="2" s="1"/>
  <c r="M472" i="2"/>
  <c r="N472" i="2" s="1"/>
  <c r="M473" i="2"/>
  <c r="N473" i="2" s="1"/>
  <c r="M474" i="2"/>
  <c r="N474" i="2" s="1"/>
  <c r="M475" i="2"/>
  <c r="N475" i="2" s="1"/>
  <c r="M476" i="2"/>
  <c r="N476" i="2" s="1"/>
  <c r="M478" i="2"/>
  <c r="N478" i="2" s="1"/>
  <c r="M479" i="2"/>
  <c r="N479" i="2" s="1"/>
  <c r="M481" i="2"/>
  <c r="N481" i="2" s="1"/>
  <c r="M482" i="2"/>
  <c r="N482" i="2" s="1"/>
  <c r="M484" i="2"/>
  <c r="N484" i="2" s="1"/>
  <c r="M486" i="2"/>
  <c r="N486" i="2" s="1"/>
  <c r="M487" i="2"/>
  <c r="N487" i="2" s="1"/>
  <c r="M488" i="2"/>
  <c r="N488" i="2" s="1"/>
  <c r="M489" i="2"/>
  <c r="N489" i="2" s="1"/>
  <c r="M490" i="2"/>
  <c r="N490" i="2" s="1"/>
  <c r="M491" i="2"/>
  <c r="N491" i="2" s="1"/>
  <c r="M492" i="2"/>
  <c r="N492" i="2" s="1"/>
  <c r="M493" i="2"/>
  <c r="N493" i="2" s="1"/>
  <c r="M494" i="2"/>
  <c r="N494" i="2" s="1"/>
  <c r="M495" i="2"/>
  <c r="N495" i="2" s="1"/>
  <c r="M496" i="2"/>
  <c r="N496" i="2" s="1"/>
  <c r="M497" i="2"/>
  <c r="N497" i="2" s="1"/>
  <c r="M498" i="2"/>
  <c r="N498" i="2" s="1"/>
  <c r="M499" i="2"/>
  <c r="N499" i="2" s="1"/>
  <c r="M500" i="2"/>
  <c r="N500" i="2" s="1"/>
  <c r="M501" i="2"/>
  <c r="N501" i="2" s="1"/>
  <c r="M502" i="2"/>
  <c r="N502" i="2" s="1"/>
  <c r="M503" i="2"/>
  <c r="N503" i="2" s="1"/>
  <c r="M504" i="2"/>
  <c r="N504" i="2" s="1"/>
  <c r="M505" i="2"/>
  <c r="N505" i="2" s="1"/>
  <c r="M506" i="2"/>
  <c r="N506" i="2" s="1"/>
  <c r="M507" i="2"/>
  <c r="N507" i="2" s="1"/>
  <c r="M508" i="2"/>
  <c r="N508" i="2" s="1"/>
  <c r="M509" i="2"/>
  <c r="N509" i="2" s="1"/>
  <c r="M510" i="2"/>
  <c r="N510" i="2" s="1"/>
  <c r="M511" i="2"/>
  <c r="N511" i="2" s="1"/>
  <c r="M512" i="2"/>
  <c r="N512" i="2" s="1"/>
  <c r="M513" i="2"/>
  <c r="N513" i="2" s="1"/>
  <c r="M514" i="2"/>
  <c r="N514" i="2" s="1"/>
  <c r="M515" i="2"/>
  <c r="N515" i="2" s="1"/>
  <c r="M516" i="2"/>
  <c r="N516" i="2" s="1"/>
  <c r="M517" i="2"/>
  <c r="N517" i="2" s="1"/>
  <c r="M518" i="2"/>
  <c r="N518" i="2" s="1"/>
  <c r="M519" i="2"/>
  <c r="N519" i="2" s="1"/>
  <c r="M521" i="2"/>
  <c r="N521" i="2" s="1"/>
  <c r="M522" i="2"/>
  <c r="N522" i="2" s="1"/>
  <c r="M523" i="2"/>
  <c r="N523" i="2" s="1"/>
  <c r="M525" i="2"/>
  <c r="N525" i="2" s="1"/>
  <c r="M526" i="2"/>
  <c r="N526" i="2" s="1"/>
  <c r="M528" i="2"/>
  <c r="N528" i="2" s="1"/>
  <c r="M529" i="2"/>
  <c r="N529" i="2" s="1"/>
  <c r="M530" i="2"/>
  <c r="N530" i="2" s="1"/>
  <c r="M531" i="2"/>
  <c r="N531" i="2" s="1"/>
  <c r="M532" i="2"/>
  <c r="N532" i="2" s="1"/>
  <c r="M533" i="2"/>
  <c r="N533" i="2" s="1"/>
  <c r="M538" i="2"/>
  <c r="N538" i="2" s="1"/>
  <c r="M539" i="2"/>
  <c r="N539" i="2" s="1"/>
  <c r="M540" i="2"/>
  <c r="N540" i="2" s="1"/>
  <c r="M541" i="2"/>
  <c r="N541" i="2" s="1"/>
  <c r="M542" i="2"/>
  <c r="N542" i="2" s="1"/>
  <c r="M543" i="2"/>
  <c r="N543" i="2" s="1"/>
  <c r="M544" i="2"/>
  <c r="N544" i="2" s="1"/>
  <c r="M545" i="2"/>
  <c r="N545" i="2" s="1"/>
  <c r="M546" i="2"/>
  <c r="N546" i="2" s="1"/>
  <c r="M547" i="2"/>
  <c r="N547" i="2" s="1"/>
  <c r="M548" i="2"/>
  <c r="N548" i="2" s="1"/>
  <c r="M549" i="2"/>
  <c r="N549" i="2" s="1"/>
  <c r="M550" i="2"/>
  <c r="N550" i="2" s="1"/>
  <c r="M551" i="2"/>
  <c r="N551" i="2" s="1"/>
  <c r="M552" i="2"/>
  <c r="N552" i="2" s="1"/>
  <c r="M553" i="2"/>
  <c r="N553" i="2" s="1"/>
  <c r="M554" i="2"/>
  <c r="N554" i="2" s="1"/>
  <c r="M555" i="2"/>
  <c r="N555" i="2" s="1"/>
  <c r="M556" i="2"/>
  <c r="N556" i="2" s="1"/>
  <c r="M557" i="2"/>
  <c r="N557" i="2" s="1"/>
  <c r="M558" i="2"/>
  <c r="N558" i="2" s="1"/>
  <c r="M559" i="2"/>
  <c r="N559" i="2" s="1"/>
  <c r="M560" i="2"/>
  <c r="N560" i="2" s="1"/>
  <c r="M561" i="2"/>
  <c r="N561" i="2" s="1"/>
  <c r="M562" i="2"/>
  <c r="N562" i="2" s="1"/>
  <c r="M563" i="2"/>
  <c r="N563" i="2" s="1"/>
  <c r="M564" i="2"/>
  <c r="N564" i="2" s="1"/>
  <c r="M565" i="2"/>
  <c r="N565" i="2" s="1"/>
  <c r="M566" i="2"/>
  <c r="N566" i="2" s="1"/>
  <c r="M567" i="2"/>
  <c r="N567" i="2" s="1"/>
  <c r="M568" i="2"/>
  <c r="N568" i="2" s="1"/>
  <c r="M569" i="2"/>
  <c r="N569" i="2" s="1"/>
  <c r="M570" i="2"/>
  <c r="N570" i="2" s="1"/>
  <c r="M571" i="2"/>
  <c r="N571" i="2" s="1"/>
  <c r="M572" i="2"/>
  <c r="N572" i="2" s="1"/>
  <c r="M573" i="2"/>
  <c r="N573" i="2" s="1"/>
  <c r="M574" i="2"/>
  <c r="N574" i="2" s="1"/>
  <c r="M575" i="2"/>
  <c r="N575" i="2" s="1"/>
  <c r="M576" i="2"/>
  <c r="N576" i="2" s="1"/>
  <c r="M577" i="2"/>
  <c r="N577" i="2" s="1"/>
  <c r="M578" i="2"/>
  <c r="N578" i="2" s="1"/>
  <c r="M581" i="2"/>
  <c r="N581" i="2" s="1"/>
  <c r="M582" i="2"/>
  <c r="N582" i="2" s="1"/>
  <c r="M583" i="2"/>
  <c r="N583" i="2" s="1"/>
  <c r="M584" i="2"/>
  <c r="N584" i="2" s="1"/>
  <c r="M585" i="2"/>
  <c r="N585" i="2" s="1"/>
  <c r="M586" i="2"/>
  <c r="N586" i="2" s="1"/>
  <c r="M589" i="2"/>
  <c r="N589" i="2" s="1"/>
  <c r="M590" i="2"/>
  <c r="N590" i="2" s="1"/>
  <c r="M591" i="2"/>
  <c r="N591" i="2" s="1"/>
  <c r="M592" i="2"/>
  <c r="N592" i="2" s="1"/>
  <c r="M593" i="2"/>
  <c r="N593" i="2" s="1"/>
  <c r="M594" i="2"/>
  <c r="N594" i="2" s="1"/>
  <c r="M595" i="2"/>
  <c r="N595" i="2" s="1"/>
  <c r="M596" i="2"/>
  <c r="N596" i="2" s="1"/>
  <c r="M597" i="2"/>
  <c r="N597" i="2" s="1"/>
  <c r="M598" i="2"/>
  <c r="N598" i="2" s="1"/>
  <c r="M599" i="2"/>
  <c r="N599" i="2" s="1"/>
  <c r="M600" i="2"/>
  <c r="N600" i="2" s="1"/>
  <c r="M601" i="2"/>
  <c r="N601" i="2" s="1"/>
  <c r="M602" i="2"/>
  <c r="N602" i="2" s="1"/>
  <c r="M603" i="2"/>
  <c r="N603" i="2" s="1"/>
  <c r="M604" i="2"/>
  <c r="N604" i="2" s="1"/>
  <c r="M605" i="2"/>
  <c r="N605" i="2" s="1"/>
  <c r="M606" i="2"/>
  <c r="N606" i="2" s="1"/>
  <c r="M607" i="2"/>
  <c r="N607" i="2" s="1"/>
  <c r="M608" i="2"/>
  <c r="N608" i="2" s="1"/>
  <c r="M609" i="2"/>
  <c r="N609" i="2" s="1"/>
  <c r="M610" i="2"/>
  <c r="N610" i="2" s="1"/>
  <c r="M611" i="2"/>
  <c r="N611" i="2" s="1"/>
  <c r="M612" i="2"/>
  <c r="N612" i="2" s="1"/>
  <c r="M613" i="2"/>
  <c r="N613" i="2" s="1"/>
  <c r="M615" i="2"/>
  <c r="N615" i="2" s="1"/>
  <c r="M616" i="2"/>
  <c r="N616" i="2" s="1"/>
  <c r="M617" i="2"/>
  <c r="N617" i="2" s="1"/>
  <c r="M618" i="2"/>
  <c r="N618" i="2" s="1"/>
  <c r="M619" i="2"/>
  <c r="N619" i="2" s="1"/>
  <c r="M621" i="2"/>
  <c r="N621" i="2" s="1"/>
  <c r="M622" i="2"/>
  <c r="N622" i="2" s="1"/>
  <c r="M623" i="2"/>
  <c r="N623" i="2" s="1"/>
  <c r="N167" i="2" l="1"/>
  <c r="N169" i="2"/>
  <c r="N65" i="2"/>
  <c r="N265" i="2"/>
  <c r="N303" i="2"/>
  <c r="D130" i="19"/>
  <c r="F16" i="6" l="1"/>
  <c r="E48" i="15" l="1"/>
  <c r="D48" i="15"/>
  <c r="E65" i="15"/>
  <c r="H13" i="24" s="1"/>
  <c r="C63" i="15"/>
  <c r="D63" i="15" s="1"/>
  <c r="C62" i="15"/>
  <c r="D62" i="15" s="1"/>
  <c r="C59" i="15"/>
  <c r="C60" i="15" s="1"/>
  <c r="C56" i="15"/>
  <c r="C57" i="15" s="1"/>
  <c r="D56" i="15" l="1"/>
  <c r="D57" i="15" s="1"/>
  <c r="D59" i="15"/>
  <c r="D60" i="15" s="1"/>
  <c r="G146" i="17" l="1"/>
  <c r="G8" i="66" s="1"/>
  <c r="F105" i="53" l="1"/>
  <c r="E105" i="53"/>
  <c r="H66" i="64" l="1"/>
  <c r="H50" i="64"/>
  <c r="H49" i="64"/>
  <c r="I50" i="16"/>
  <c r="H35" i="24"/>
  <c r="G32" i="28" l="1"/>
  <c r="F32" i="28"/>
  <c r="A79" i="17"/>
  <c r="B79" i="17" s="1"/>
  <c r="C22" i="7" l="1"/>
  <c r="F21" i="50"/>
  <c r="F27" i="50"/>
  <c r="F39" i="50" s="1"/>
  <c r="F40" i="50"/>
  <c r="F63" i="50"/>
  <c r="F64" i="50" s="1"/>
  <c r="F81" i="50"/>
  <c r="F125" i="50"/>
  <c r="G43" i="50"/>
  <c r="G44" i="50"/>
  <c r="G45" i="50"/>
  <c r="G46" i="50"/>
  <c r="G42" i="50"/>
  <c r="G40" i="50"/>
  <c r="B46" i="50"/>
  <c r="B45" i="50"/>
  <c r="B44" i="50"/>
  <c r="B43" i="50"/>
  <c r="B42" i="50"/>
  <c r="G47" i="50" l="1"/>
  <c r="D163" i="19" l="1"/>
  <c r="D188" i="19"/>
  <c r="E190" i="19" l="1"/>
  <c r="J46" i="16" l="1"/>
  <c r="I46" i="16"/>
  <c r="H46" i="16"/>
  <c r="I26" i="16" l="1"/>
  <c r="J26" i="16" l="1"/>
  <c r="I31" i="16"/>
  <c r="J28" i="16"/>
  <c r="J29" i="16"/>
  <c r="J30" i="16"/>
  <c r="C42" i="16"/>
  <c r="F24" i="6" l="1"/>
  <c r="AA10" i="66"/>
  <c r="G51" i="13" l="1"/>
  <c r="H41" i="64" l="1"/>
  <c r="L36" i="50"/>
  <c r="L33" i="50"/>
  <c r="L32" i="50"/>
  <c r="L29" i="50"/>
  <c r="K29" i="50"/>
  <c r="A5" i="50"/>
  <c r="B5" i="50" s="1"/>
  <c r="E202" i="19"/>
  <c r="E203" i="19" s="1"/>
  <c r="B201" i="19"/>
  <c r="E121" i="19"/>
  <c r="H146" i="17" l="1"/>
  <c r="G10" i="66" s="1"/>
  <c r="G109" i="17"/>
  <c r="H109" i="17"/>
  <c r="J60" i="16"/>
  <c r="H59" i="16"/>
  <c r="I59" i="16" s="1"/>
  <c r="E44" i="6" l="1"/>
  <c r="F44" i="6"/>
  <c r="F13" i="13" l="1"/>
  <c r="E13" i="13"/>
  <c r="D13" i="13"/>
  <c r="C13" i="13"/>
  <c r="J35" i="24" l="1"/>
  <c r="J26" i="24"/>
  <c r="AB10" i="66" l="1"/>
  <c r="W10" i="66" l="1"/>
  <c r="B5" i="13" l="1"/>
  <c r="G50" i="8"/>
  <c r="B3" i="7"/>
  <c r="B3" i="8" s="1"/>
  <c r="B3" i="65" s="1"/>
  <c r="F98" i="53" l="1"/>
  <c r="E98" i="53" l="1"/>
  <c r="B2" i="17"/>
  <c r="F67" i="13"/>
  <c r="G67" i="13"/>
  <c r="F73" i="13"/>
  <c r="G73" i="13"/>
  <c r="H72" i="13"/>
  <c r="D72" i="13"/>
  <c r="E71" i="13"/>
  <c r="E73" i="13" s="1"/>
  <c r="D66" i="13"/>
  <c r="E65" i="13"/>
  <c r="E67" i="13" s="1"/>
  <c r="H66" i="13"/>
  <c r="B29" i="13"/>
  <c r="C106" i="17"/>
  <c r="G72" i="17"/>
  <c r="E72" i="17"/>
  <c r="H71" i="17" s="1"/>
  <c r="H72" i="17" s="1"/>
  <c r="G57" i="17"/>
  <c r="H56" i="17" s="1"/>
  <c r="E57" i="17"/>
  <c r="I50" i="53"/>
  <c r="F56" i="17" l="1"/>
  <c r="H55" i="17"/>
  <c r="F55" i="17"/>
  <c r="K50" i="53"/>
  <c r="I52" i="53"/>
  <c r="G89" i="53" l="1"/>
  <c r="D195" i="19" l="1"/>
  <c r="G56" i="13" l="1"/>
  <c r="K52" i="53" l="1"/>
  <c r="F61" i="53" l="1"/>
  <c r="E65" i="53"/>
  <c r="F65" i="53" s="1"/>
  <c r="E66" i="53"/>
  <c r="F66" i="53" s="1"/>
  <c r="E64" i="53"/>
  <c r="F64" i="53" s="1"/>
  <c r="E60" i="53"/>
  <c r="F60" i="53" s="1"/>
  <c r="E59" i="53"/>
  <c r="F59" i="53" s="1"/>
  <c r="E63" i="53"/>
  <c r="F63" i="53" s="1"/>
  <c r="E62" i="53" l="1"/>
  <c r="F62" i="53" s="1"/>
  <c r="E57" i="53"/>
  <c r="F57" i="53" s="1"/>
  <c r="E56" i="53"/>
  <c r="F56" i="53" s="1"/>
  <c r="I49" i="53"/>
  <c r="K49" i="53" s="1"/>
  <c r="I51" i="53"/>
  <c r="K51" i="53" s="1"/>
  <c r="E55" i="53"/>
  <c r="F55" i="53" s="1"/>
  <c r="E54" i="53"/>
  <c r="F54" i="53" s="1"/>
  <c r="F67" i="53" l="1"/>
  <c r="E67" i="53"/>
  <c r="L85" i="64"/>
  <c r="H113" i="17" l="1"/>
  <c r="U502" i="2" l="1"/>
  <c r="Y15" i="66" l="1"/>
  <c r="U463" i="2" l="1"/>
  <c r="U474" i="2"/>
  <c r="H463" i="2" l="1"/>
  <c r="X463" i="2" s="1"/>
  <c r="H474" i="2"/>
  <c r="X474" i="2" s="1"/>
  <c r="B26" i="66" l="1"/>
  <c r="AI26" i="66" s="1"/>
  <c r="G53" i="13" l="1"/>
  <c r="Q4" i="2" l="1"/>
  <c r="D50" i="13" l="1"/>
  <c r="D53" i="13" s="1"/>
  <c r="D39" i="13"/>
  <c r="U186" i="2"/>
  <c r="H186" i="2" l="1"/>
  <c r="X186" i="2" s="1"/>
  <c r="D57" i="13"/>
  <c r="P10" i="66" l="1"/>
  <c r="H82" i="13"/>
  <c r="F13" i="6"/>
  <c r="D40" i="13"/>
  <c r="D43" i="13" s="1"/>
  <c r="D65" i="13" l="1"/>
  <c r="D67" i="13" s="1"/>
  <c r="H40" i="13"/>
  <c r="P49" i="66"/>
  <c r="D56" i="13"/>
  <c r="G82" i="13" s="1"/>
  <c r="D73" i="13"/>
  <c r="H71" i="13"/>
  <c r="H73" i="13" s="1"/>
  <c r="H65" i="13" l="1"/>
  <c r="H67" i="13" s="1"/>
  <c r="E13" i="6"/>
  <c r="P8" i="66"/>
  <c r="P11" i="66" s="1"/>
  <c r="P59" i="66" s="1"/>
  <c r="H24" i="13" l="1"/>
  <c r="N50" i="66" l="1"/>
  <c r="B50" i="66" s="1"/>
  <c r="D38" i="65" s="1"/>
  <c r="H603" i="2"/>
  <c r="X603" i="2" s="1"/>
  <c r="AI23" i="66"/>
  <c r="AI33" i="66"/>
  <c r="AI34" i="66"/>
  <c r="AI35" i="66"/>
  <c r="AI45" i="66"/>
  <c r="AI47" i="66"/>
  <c r="AI48" i="66"/>
  <c r="AI53" i="66"/>
  <c r="AI56" i="66"/>
  <c r="AI57" i="66"/>
  <c r="B32" i="66"/>
  <c r="D19" i="65" s="1"/>
  <c r="B19" i="66"/>
  <c r="AI19" i="66" s="1"/>
  <c r="AI32" i="66" l="1"/>
  <c r="F28" i="6" l="1"/>
  <c r="E14" i="22" l="1"/>
  <c r="C26" i="22"/>
  <c r="C30" i="22" s="1"/>
  <c r="Q25" i="66" l="1"/>
  <c r="R15" i="66" l="1"/>
  <c r="T10" i="66" l="1"/>
  <c r="N29" i="64" l="1"/>
  <c r="N28" i="64"/>
  <c r="N30" i="64" l="1"/>
  <c r="G114" i="53" l="1"/>
  <c r="H82" i="2" l="1"/>
  <c r="U82" i="2" l="1"/>
  <c r="X82" i="2" s="1"/>
  <c r="H123" i="17" l="1"/>
  <c r="T9" i="2" l="1"/>
  <c r="U9" i="2" s="1"/>
  <c r="T10" i="2"/>
  <c r="U10" i="2" s="1"/>
  <c r="T11" i="2"/>
  <c r="U11" i="2" s="1"/>
  <c r="T13" i="2"/>
  <c r="U13" i="2" s="1"/>
  <c r="T14" i="2"/>
  <c r="U14" i="2" s="1"/>
  <c r="T16" i="2"/>
  <c r="U16" i="2" s="1"/>
  <c r="T17" i="2"/>
  <c r="U17" i="2" s="1"/>
  <c r="T18" i="2"/>
  <c r="U18" i="2" s="1"/>
  <c r="T19" i="2"/>
  <c r="U19" i="2" s="1"/>
  <c r="T20" i="2"/>
  <c r="U20" i="2" s="1"/>
  <c r="T21" i="2"/>
  <c r="U21" i="2" s="1"/>
  <c r="T22" i="2"/>
  <c r="U22" i="2" s="1"/>
  <c r="T24" i="2"/>
  <c r="U24" i="2" s="1"/>
  <c r="T25" i="2"/>
  <c r="U25" i="2" s="1"/>
  <c r="T26" i="2"/>
  <c r="U26" i="2" s="1"/>
  <c r="T27" i="2"/>
  <c r="U27" i="2" s="1"/>
  <c r="T28" i="2"/>
  <c r="U28" i="2" s="1"/>
  <c r="X28" i="2" s="1"/>
  <c r="G150" i="17" s="1"/>
  <c r="T29" i="2"/>
  <c r="U29" i="2" s="1"/>
  <c r="U32" i="2"/>
  <c r="U35" i="2"/>
  <c r="U38" i="2"/>
  <c r="U40" i="2"/>
  <c r="U41" i="2"/>
  <c r="U42" i="2"/>
  <c r="U43" i="2"/>
  <c r="U45" i="2"/>
  <c r="U46" i="2"/>
  <c r="U47" i="2"/>
  <c r="U48" i="2"/>
  <c r="U49" i="2"/>
  <c r="U50" i="2"/>
  <c r="U51" i="2"/>
  <c r="U52" i="2"/>
  <c r="U53" i="2"/>
  <c r="U54" i="2"/>
  <c r="U56" i="2"/>
  <c r="U58" i="2"/>
  <c r="U59" i="2"/>
  <c r="U60" i="2"/>
  <c r="U61" i="2"/>
  <c r="U62" i="2"/>
  <c r="U63" i="2"/>
  <c r="U64" i="2"/>
  <c r="U65" i="2"/>
  <c r="U66" i="2"/>
  <c r="U67" i="2"/>
  <c r="U68" i="2"/>
  <c r="U69" i="2"/>
  <c r="U70" i="2"/>
  <c r="U71" i="2"/>
  <c r="U72" i="2"/>
  <c r="U73" i="2"/>
  <c r="U75" i="2"/>
  <c r="U76" i="2"/>
  <c r="U77" i="2"/>
  <c r="U78" i="2"/>
  <c r="U79" i="2"/>
  <c r="U80" i="2"/>
  <c r="U81" i="2"/>
  <c r="U83" i="2"/>
  <c r="U84" i="2"/>
  <c r="U85" i="2"/>
  <c r="U86" i="2"/>
  <c r="U87" i="2"/>
  <c r="U88" i="2"/>
  <c r="U89" i="2"/>
  <c r="U90" i="2"/>
  <c r="U91" i="2"/>
  <c r="U92" i="2"/>
  <c r="U93" i="2"/>
  <c r="U95" i="2"/>
  <c r="U96" i="2"/>
  <c r="U97" i="2"/>
  <c r="U99" i="2"/>
  <c r="U100" i="2"/>
  <c r="U101" i="2"/>
  <c r="U102" i="2"/>
  <c r="U103" i="2"/>
  <c r="U107" i="2"/>
  <c r="U108" i="2"/>
  <c r="U110" i="2"/>
  <c r="U111" i="2"/>
  <c r="U113" i="2"/>
  <c r="U115" i="2"/>
  <c r="U116" i="2"/>
  <c r="U117" i="2"/>
  <c r="U118" i="2"/>
  <c r="U119" i="2"/>
  <c r="U120" i="2"/>
  <c r="U121" i="2"/>
  <c r="U122" i="2"/>
  <c r="U123"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X155" i="2" s="1"/>
  <c r="U156" i="2"/>
  <c r="U157" i="2"/>
  <c r="U158" i="2"/>
  <c r="U159" i="2"/>
  <c r="U161" i="2"/>
  <c r="U162" i="2"/>
  <c r="U163" i="2"/>
  <c r="U164" i="2"/>
  <c r="U165" i="2"/>
  <c r="U166" i="2"/>
  <c r="X166" i="2" s="1"/>
  <c r="U167" i="2"/>
  <c r="U168" i="2"/>
  <c r="U169" i="2"/>
  <c r="U170" i="2"/>
  <c r="U171" i="2"/>
  <c r="U172" i="2"/>
  <c r="U173" i="2"/>
  <c r="U175" i="2"/>
  <c r="U176" i="2"/>
  <c r="U177" i="2"/>
  <c r="U179" i="2"/>
  <c r="U180" i="2"/>
  <c r="U181" i="2"/>
  <c r="U182" i="2"/>
  <c r="U183" i="2"/>
  <c r="U184" i="2"/>
  <c r="U185" i="2"/>
  <c r="U187" i="2"/>
  <c r="U188" i="2"/>
  <c r="U189" i="2"/>
  <c r="U190" i="2"/>
  <c r="U192" i="2"/>
  <c r="U193" i="2"/>
  <c r="U194" i="2"/>
  <c r="U196" i="2"/>
  <c r="U197" i="2"/>
  <c r="U198" i="2"/>
  <c r="U199" i="2"/>
  <c r="U200" i="2"/>
  <c r="U202" i="2"/>
  <c r="U203" i="2"/>
  <c r="U204" i="2"/>
  <c r="U205" i="2"/>
  <c r="U206" i="2"/>
  <c r="U207" i="2"/>
  <c r="U208" i="2"/>
  <c r="U209" i="2"/>
  <c r="U212" i="2"/>
  <c r="U213" i="2"/>
  <c r="U214" i="2"/>
  <c r="U215" i="2"/>
  <c r="U216" i="2"/>
  <c r="U217" i="2"/>
  <c r="U218" i="2"/>
  <c r="U219" i="2"/>
  <c r="U220" i="2"/>
  <c r="U221" i="2"/>
  <c r="U222" i="2"/>
  <c r="U223" i="2"/>
  <c r="U224" i="2"/>
  <c r="U225" i="2"/>
  <c r="U226"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8" i="2"/>
  <c r="U269"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1" i="2"/>
  <c r="U322" i="2"/>
  <c r="U323" i="2"/>
  <c r="U324" i="2"/>
  <c r="U325" i="2"/>
  <c r="U326" i="2"/>
  <c r="U327" i="2"/>
  <c r="U328" i="2"/>
  <c r="U329" i="2"/>
  <c r="U330" i="2"/>
  <c r="U331" i="2"/>
  <c r="U332" i="2"/>
  <c r="U333" i="2"/>
  <c r="U334" i="2"/>
  <c r="U335" i="2"/>
  <c r="U336" i="2"/>
  <c r="U337" i="2"/>
  <c r="U338" i="2"/>
  <c r="U339" i="2"/>
  <c r="U340" i="2"/>
  <c r="U341" i="2"/>
  <c r="U342" i="2"/>
  <c r="U343" i="2"/>
  <c r="U344" i="2"/>
  <c r="U347" i="2"/>
  <c r="U348" i="2"/>
  <c r="U349" i="2"/>
  <c r="U351" i="2"/>
  <c r="U352" i="2"/>
  <c r="U353" i="2"/>
  <c r="U354" i="2"/>
  <c r="U355" i="2"/>
  <c r="U356" i="2"/>
  <c r="U357" i="2"/>
  <c r="U358" i="2"/>
  <c r="U359" i="2"/>
  <c r="U360" i="2"/>
  <c r="U361" i="2"/>
  <c r="U362" i="2"/>
  <c r="U363" i="2"/>
  <c r="U364" i="2"/>
  <c r="U365" i="2"/>
  <c r="U366" i="2"/>
  <c r="U367"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8" i="2"/>
  <c r="U449" i="2"/>
  <c r="U450" i="2"/>
  <c r="U451" i="2"/>
  <c r="U453" i="2"/>
  <c r="U454" i="2"/>
  <c r="U455" i="2"/>
  <c r="U456" i="2"/>
  <c r="U458" i="2"/>
  <c r="U459" i="2"/>
  <c r="U460" i="2"/>
  <c r="U461" i="2"/>
  <c r="U462" i="2"/>
  <c r="U464" i="2"/>
  <c r="U466" i="2"/>
  <c r="U467" i="2"/>
  <c r="U468" i="2"/>
  <c r="U469" i="2"/>
  <c r="U470" i="2"/>
  <c r="U471" i="2"/>
  <c r="U475" i="2"/>
  <c r="U476" i="2"/>
  <c r="U478" i="2"/>
  <c r="U479" i="2"/>
  <c r="U481" i="2"/>
  <c r="U482" i="2"/>
  <c r="U483" i="2"/>
  <c r="U484" i="2"/>
  <c r="U485" i="2"/>
  <c r="U486" i="2"/>
  <c r="U487" i="2"/>
  <c r="U488" i="2"/>
  <c r="U489" i="2"/>
  <c r="U490" i="2"/>
  <c r="U491" i="2"/>
  <c r="U492" i="2"/>
  <c r="U493" i="2"/>
  <c r="U494" i="2"/>
  <c r="U495" i="2"/>
  <c r="U496" i="2"/>
  <c r="U497" i="2"/>
  <c r="U498" i="2"/>
  <c r="U499" i="2"/>
  <c r="U500" i="2"/>
  <c r="U501" i="2"/>
  <c r="U503" i="2"/>
  <c r="U504" i="2"/>
  <c r="U505" i="2"/>
  <c r="U506" i="2"/>
  <c r="U507" i="2"/>
  <c r="U508" i="2"/>
  <c r="U509" i="2"/>
  <c r="U510" i="2"/>
  <c r="U511" i="2"/>
  <c r="U512" i="2"/>
  <c r="U513" i="2"/>
  <c r="U514" i="2"/>
  <c r="U515" i="2"/>
  <c r="U516" i="2"/>
  <c r="U517" i="2"/>
  <c r="U518" i="2"/>
  <c r="U522" i="2"/>
  <c r="U523" i="2"/>
  <c r="U525" i="2"/>
  <c r="U526" i="2"/>
  <c r="U527" i="2"/>
  <c r="U528" i="2"/>
  <c r="U529" i="2"/>
  <c r="U530" i="2"/>
  <c r="U531" i="2"/>
  <c r="U532" i="2"/>
  <c r="U533" i="2"/>
  <c r="U534" i="2"/>
  <c r="U538"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81" i="2"/>
  <c r="U582" i="2"/>
  <c r="U583" i="2"/>
  <c r="U584" i="2"/>
  <c r="U585" i="2"/>
  <c r="U586" i="2"/>
  <c r="U589" i="2"/>
  <c r="U590" i="2"/>
  <c r="U591" i="2"/>
  <c r="U592" i="2"/>
  <c r="U593" i="2"/>
  <c r="U594" i="2"/>
  <c r="U595" i="2"/>
  <c r="U596" i="2"/>
  <c r="U597" i="2"/>
  <c r="U598" i="2"/>
  <c r="U599" i="2"/>
  <c r="U600" i="2"/>
  <c r="X600" i="2" s="1"/>
  <c r="U601" i="2"/>
  <c r="U602" i="2"/>
  <c r="U604" i="2"/>
  <c r="U605" i="2"/>
  <c r="U606" i="2"/>
  <c r="U607" i="2"/>
  <c r="U608" i="2"/>
  <c r="U609" i="2"/>
  <c r="U610" i="2"/>
  <c r="U611" i="2"/>
  <c r="U612" i="2"/>
  <c r="U613" i="2"/>
  <c r="U615" i="2"/>
  <c r="U616" i="2"/>
  <c r="U617" i="2"/>
  <c r="U618" i="2"/>
  <c r="U619" i="2"/>
  <c r="U621" i="2"/>
  <c r="U622" i="2"/>
  <c r="R8" i="2"/>
  <c r="K8" i="2"/>
  <c r="K4" i="2" s="1"/>
  <c r="H10" i="2"/>
  <c r="H11" i="2"/>
  <c r="H14" i="2"/>
  <c r="X14" i="2" s="1"/>
  <c r="H17" i="2"/>
  <c r="H19" i="2"/>
  <c r="H20" i="2"/>
  <c r="H21" i="2"/>
  <c r="H22" i="2"/>
  <c r="X22" i="2" s="1"/>
  <c r="H23" i="2"/>
  <c r="H24" i="2"/>
  <c r="H25" i="2"/>
  <c r="H27" i="2"/>
  <c r="H29" i="2"/>
  <c r="H30" i="2"/>
  <c r="H32" i="2"/>
  <c r="H35" i="2"/>
  <c r="X35" i="2" s="1"/>
  <c r="H36" i="2"/>
  <c r="H38" i="2"/>
  <c r="H39" i="2"/>
  <c r="H40" i="2"/>
  <c r="X40" i="2" s="1"/>
  <c r="H41" i="2"/>
  <c r="X41" i="2" s="1"/>
  <c r="H42" i="2"/>
  <c r="H45" i="2"/>
  <c r="H47" i="2"/>
  <c r="X47" i="2" s="1"/>
  <c r="H48" i="2"/>
  <c r="H49" i="2"/>
  <c r="H50" i="2"/>
  <c r="H51" i="2"/>
  <c r="H52" i="2"/>
  <c r="H53" i="2"/>
  <c r="H54" i="2"/>
  <c r="H55" i="2"/>
  <c r="H56" i="2"/>
  <c r="H57" i="2"/>
  <c r="H58" i="2"/>
  <c r="X58" i="2" s="1"/>
  <c r="H59" i="2"/>
  <c r="X59" i="2" s="1"/>
  <c r="H60" i="2"/>
  <c r="X60" i="2" s="1"/>
  <c r="H61" i="2"/>
  <c r="H63" i="2"/>
  <c r="H64" i="2"/>
  <c r="H65" i="2"/>
  <c r="H66" i="2"/>
  <c r="H67" i="2"/>
  <c r="H68" i="2"/>
  <c r="H69" i="2"/>
  <c r="H70" i="2"/>
  <c r="H71" i="2"/>
  <c r="H72" i="2"/>
  <c r="H73" i="2"/>
  <c r="H75" i="2"/>
  <c r="H76" i="2"/>
  <c r="H77" i="2"/>
  <c r="H78" i="2"/>
  <c r="H79" i="2"/>
  <c r="H80" i="2"/>
  <c r="H81" i="2"/>
  <c r="H83" i="2"/>
  <c r="H84" i="2"/>
  <c r="H85" i="2"/>
  <c r="H86" i="2"/>
  <c r="H87" i="2"/>
  <c r="H88" i="2"/>
  <c r="H89" i="2"/>
  <c r="H90" i="2"/>
  <c r="H91" i="2"/>
  <c r="H92" i="2"/>
  <c r="H93" i="2"/>
  <c r="H95" i="2"/>
  <c r="H96" i="2"/>
  <c r="H97" i="2"/>
  <c r="H99" i="2"/>
  <c r="H100" i="2"/>
  <c r="H101" i="2"/>
  <c r="H102" i="2"/>
  <c r="H103" i="2"/>
  <c r="H105" i="2"/>
  <c r="H107" i="2"/>
  <c r="X107" i="2" s="1"/>
  <c r="H108" i="2"/>
  <c r="X108" i="2" s="1"/>
  <c r="H109" i="2"/>
  <c r="H110" i="2"/>
  <c r="X110" i="2" s="1"/>
  <c r="H111" i="2"/>
  <c r="H113" i="2"/>
  <c r="H114" i="2"/>
  <c r="H115" i="2"/>
  <c r="H116" i="2"/>
  <c r="H117" i="2"/>
  <c r="H120" i="2"/>
  <c r="X120" i="2" s="1"/>
  <c r="H121" i="2"/>
  <c r="X121" i="2" s="1"/>
  <c r="H122" i="2"/>
  <c r="X122" i="2" s="1"/>
  <c r="H123" i="2"/>
  <c r="X123" i="2" s="1"/>
  <c r="H124" i="2"/>
  <c r="X124" i="2" s="1"/>
  <c r="H125" i="2"/>
  <c r="H126" i="2"/>
  <c r="H127" i="2"/>
  <c r="H128" i="2"/>
  <c r="H129" i="2"/>
  <c r="X129" i="2" s="1"/>
  <c r="H130" i="2"/>
  <c r="H131" i="2"/>
  <c r="H132" i="2"/>
  <c r="H133" i="2"/>
  <c r="H134" i="2"/>
  <c r="H135" i="2"/>
  <c r="H624" i="2" s="1"/>
  <c r="H136" i="2"/>
  <c r="H137" i="2"/>
  <c r="X137" i="2" s="1"/>
  <c r="H138" i="2"/>
  <c r="H139" i="2"/>
  <c r="H140" i="2"/>
  <c r="H141" i="2"/>
  <c r="H142" i="2"/>
  <c r="H143" i="2"/>
  <c r="H144" i="2"/>
  <c r="H145" i="2"/>
  <c r="X145" i="2" s="1"/>
  <c r="H146" i="2"/>
  <c r="H147" i="2"/>
  <c r="H148" i="2"/>
  <c r="H149" i="2"/>
  <c r="H150" i="2"/>
  <c r="H151" i="2"/>
  <c r="H152" i="2"/>
  <c r="H153" i="2"/>
  <c r="X153" i="2" s="1"/>
  <c r="H154" i="2"/>
  <c r="H156" i="2"/>
  <c r="X156" i="2" s="1"/>
  <c r="H157" i="2"/>
  <c r="X157" i="2" s="1"/>
  <c r="H158" i="2"/>
  <c r="X158" i="2" s="1"/>
  <c r="H162" i="2"/>
  <c r="H163" i="2"/>
  <c r="H164" i="2"/>
  <c r="H165" i="2"/>
  <c r="H167" i="2"/>
  <c r="H168" i="2"/>
  <c r="H169" i="2"/>
  <c r="H170" i="2"/>
  <c r="H171" i="2"/>
  <c r="H172" i="2"/>
  <c r="H173" i="2"/>
  <c r="H175" i="2"/>
  <c r="X175" i="2" s="1"/>
  <c r="H176" i="2"/>
  <c r="H177" i="2"/>
  <c r="H179" i="2"/>
  <c r="H181" i="2"/>
  <c r="H182" i="2"/>
  <c r="H183" i="2"/>
  <c r="H184" i="2"/>
  <c r="X184" i="2" s="1"/>
  <c r="H185" i="2"/>
  <c r="H187" i="2"/>
  <c r="H188" i="2"/>
  <c r="H189" i="2"/>
  <c r="H190" i="2"/>
  <c r="H192" i="2"/>
  <c r="H193" i="2"/>
  <c r="H195" i="2"/>
  <c r="H196" i="2"/>
  <c r="H197" i="2"/>
  <c r="H198" i="2"/>
  <c r="H200" i="2"/>
  <c r="H203" i="2"/>
  <c r="H204" i="2"/>
  <c r="H205" i="2"/>
  <c r="H207" i="2"/>
  <c r="H208" i="2"/>
  <c r="X208" i="2" s="1"/>
  <c r="H210" i="2"/>
  <c r="H212" i="2"/>
  <c r="H213" i="2"/>
  <c r="H214" i="2"/>
  <c r="H215" i="2"/>
  <c r="H216" i="2"/>
  <c r="H217" i="2"/>
  <c r="H218" i="2"/>
  <c r="X218" i="2" s="1"/>
  <c r="H219" i="2"/>
  <c r="H220" i="2"/>
  <c r="H221" i="2"/>
  <c r="H222" i="2"/>
  <c r="H223" i="2"/>
  <c r="H224" i="2"/>
  <c r="H225" i="2"/>
  <c r="H226" i="2"/>
  <c r="X226" i="2" s="1"/>
  <c r="H228" i="2"/>
  <c r="H229" i="2"/>
  <c r="H230" i="2"/>
  <c r="H231" i="2"/>
  <c r="H232" i="2"/>
  <c r="H233" i="2"/>
  <c r="H234" i="2"/>
  <c r="H235" i="2"/>
  <c r="X235" i="2" s="1"/>
  <c r="H236" i="2"/>
  <c r="H237" i="2"/>
  <c r="H238" i="2"/>
  <c r="H239" i="2"/>
  <c r="H240" i="2"/>
  <c r="H241" i="2"/>
  <c r="H242" i="2"/>
  <c r="H243" i="2"/>
  <c r="X243" i="2" s="1"/>
  <c r="H244" i="2"/>
  <c r="H245" i="2"/>
  <c r="H246" i="2"/>
  <c r="H253" i="2"/>
  <c r="H254" i="2"/>
  <c r="H255" i="2"/>
  <c r="H256" i="2"/>
  <c r="H257" i="2"/>
  <c r="H258" i="2"/>
  <c r="H259" i="2"/>
  <c r="H260" i="2"/>
  <c r="H261" i="2"/>
  <c r="H262" i="2"/>
  <c r="H263" i="2"/>
  <c r="H264" i="2"/>
  <c r="H268" i="2"/>
  <c r="H269" i="2"/>
  <c r="H270" i="2"/>
  <c r="H271" i="2"/>
  <c r="H272" i="2"/>
  <c r="H274" i="2"/>
  <c r="H275" i="2"/>
  <c r="H276" i="2"/>
  <c r="H277" i="2"/>
  <c r="H278" i="2"/>
  <c r="H280" i="2"/>
  <c r="H281" i="2"/>
  <c r="H282" i="2"/>
  <c r="H283" i="2"/>
  <c r="H284" i="2"/>
  <c r="H285" i="2"/>
  <c r="H286" i="2"/>
  <c r="X286" i="2" s="1"/>
  <c r="H287" i="2"/>
  <c r="H288" i="2"/>
  <c r="H289" i="2"/>
  <c r="H290" i="2"/>
  <c r="H291" i="2"/>
  <c r="H292" i="2"/>
  <c r="H293" i="2"/>
  <c r="H294" i="2"/>
  <c r="X294" i="2" s="1"/>
  <c r="H295" i="2"/>
  <c r="H296" i="2"/>
  <c r="H297" i="2"/>
  <c r="H298" i="2"/>
  <c r="H299" i="2"/>
  <c r="H300" i="2"/>
  <c r="H301" i="2"/>
  <c r="H302" i="2"/>
  <c r="X302" i="2" s="1"/>
  <c r="H305" i="2"/>
  <c r="H306" i="2"/>
  <c r="H307" i="2"/>
  <c r="H308" i="2"/>
  <c r="H309" i="2"/>
  <c r="H310" i="2"/>
  <c r="H311" i="2"/>
  <c r="H312" i="2"/>
  <c r="H313" i="2"/>
  <c r="H317" i="2"/>
  <c r="H318" i="2"/>
  <c r="H319" i="2"/>
  <c r="H321" i="2"/>
  <c r="H323" i="2"/>
  <c r="H324" i="2"/>
  <c r="H325" i="2"/>
  <c r="X325" i="2" s="1"/>
  <c r="H326" i="2"/>
  <c r="H327" i="2"/>
  <c r="H329" i="2"/>
  <c r="H330" i="2"/>
  <c r="H331" i="2"/>
  <c r="H332" i="2"/>
  <c r="H333" i="2"/>
  <c r="H334" i="2"/>
  <c r="H335" i="2"/>
  <c r="H337" i="2"/>
  <c r="H338" i="2"/>
  <c r="H339" i="2"/>
  <c r="H340" i="2"/>
  <c r="H341" i="2"/>
  <c r="H342" i="2"/>
  <c r="H343" i="2"/>
  <c r="X343" i="2" s="1"/>
  <c r="H344" i="2"/>
  <c r="H345" i="2"/>
  <c r="X345" i="2" s="1"/>
  <c r="H347" i="2"/>
  <c r="H348" i="2"/>
  <c r="H349" i="2"/>
  <c r="H351" i="2"/>
  <c r="H352" i="2"/>
  <c r="H353" i="2"/>
  <c r="H354" i="2"/>
  <c r="H355" i="2"/>
  <c r="H356" i="2"/>
  <c r="H357" i="2"/>
  <c r="H358" i="2"/>
  <c r="H359" i="2"/>
  <c r="H360" i="2"/>
  <c r="H361" i="2"/>
  <c r="H362" i="2"/>
  <c r="H363" i="2"/>
  <c r="H364" i="2"/>
  <c r="H365" i="2"/>
  <c r="H366" i="2"/>
  <c r="H367"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7" i="2"/>
  <c r="H448" i="2"/>
  <c r="H449" i="2"/>
  <c r="H450" i="2"/>
  <c r="H451" i="2"/>
  <c r="H458" i="2"/>
  <c r="H459" i="2"/>
  <c r="H460" i="2"/>
  <c r="H461" i="2"/>
  <c r="H462" i="2"/>
  <c r="H464" i="2"/>
  <c r="H465" i="2"/>
  <c r="X465" i="2" s="1"/>
  <c r="H466" i="2"/>
  <c r="H467" i="2"/>
  <c r="H468" i="2"/>
  <c r="H469" i="2"/>
  <c r="H470" i="2"/>
  <c r="H471" i="2"/>
  <c r="H472" i="2"/>
  <c r="H475" i="2"/>
  <c r="X475" i="2" s="1"/>
  <c r="H476" i="2"/>
  <c r="X476" i="2" s="1"/>
  <c r="H479" i="2"/>
  <c r="H481" i="2"/>
  <c r="H482" i="2"/>
  <c r="H484" i="2"/>
  <c r="H486" i="2"/>
  <c r="H487" i="2"/>
  <c r="H488" i="2"/>
  <c r="H489" i="2"/>
  <c r="H490" i="2"/>
  <c r="X490" i="2" s="1"/>
  <c r="H491" i="2"/>
  <c r="H492" i="2"/>
  <c r="H493" i="2"/>
  <c r="H495" i="2"/>
  <c r="H496" i="2"/>
  <c r="H497" i="2"/>
  <c r="H498" i="2"/>
  <c r="X498" i="2" s="1"/>
  <c r="H500" i="2"/>
  <c r="H501" i="2"/>
  <c r="H503" i="2"/>
  <c r="H504" i="2"/>
  <c r="H505" i="2"/>
  <c r="H506" i="2"/>
  <c r="H507" i="2"/>
  <c r="H508" i="2"/>
  <c r="H509" i="2"/>
  <c r="X509" i="2" s="1"/>
  <c r="H510" i="2"/>
  <c r="H511" i="2"/>
  <c r="H512" i="2"/>
  <c r="H513" i="2"/>
  <c r="H514" i="2"/>
  <c r="H515" i="2"/>
  <c r="H516" i="2"/>
  <c r="H518" i="2"/>
  <c r="H520" i="2"/>
  <c r="H522" i="2"/>
  <c r="H523" i="2"/>
  <c r="H526" i="2"/>
  <c r="H527" i="2"/>
  <c r="H528" i="2"/>
  <c r="H530" i="2"/>
  <c r="H531" i="2"/>
  <c r="X531" i="2" s="1"/>
  <c r="H532" i="2"/>
  <c r="H533" i="2"/>
  <c r="H534" i="2"/>
  <c r="H539" i="2"/>
  <c r="H541" i="2"/>
  <c r="H543" i="2"/>
  <c r="H544" i="2"/>
  <c r="H545" i="2"/>
  <c r="H546" i="2"/>
  <c r="H547" i="2"/>
  <c r="H548" i="2"/>
  <c r="H549" i="2"/>
  <c r="H550" i="2"/>
  <c r="H551" i="2"/>
  <c r="H552" i="2"/>
  <c r="H553" i="2"/>
  <c r="H554" i="2"/>
  <c r="H555" i="2"/>
  <c r="H556" i="2"/>
  <c r="H557" i="2"/>
  <c r="H558" i="2"/>
  <c r="H559" i="2"/>
  <c r="H560" i="2"/>
  <c r="X560" i="2" s="1"/>
  <c r="H561" i="2"/>
  <c r="H563" i="2"/>
  <c r="H564" i="2"/>
  <c r="H565" i="2"/>
  <c r="H566" i="2"/>
  <c r="H567" i="2"/>
  <c r="H568" i="2"/>
  <c r="H569" i="2"/>
  <c r="H572" i="2"/>
  <c r="H573" i="2"/>
  <c r="H574" i="2"/>
  <c r="H575" i="2"/>
  <c r="H576" i="2"/>
  <c r="H577" i="2"/>
  <c r="H578" i="2"/>
  <c r="H581" i="2"/>
  <c r="H582" i="2"/>
  <c r="H583" i="2"/>
  <c r="H584" i="2"/>
  <c r="H585" i="2"/>
  <c r="H586" i="2"/>
  <c r="H589" i="2"/>
  <c r="H590" i="2"/>
  <c r="H591" i="2"/>
  <c r="H594" i="2"/>
  <c r="H595" i="2"/>
  <c r="H596" i="2"/>
  <c r="H597" i="2"/>
  <c r="H598" i="2"/>
  <c r="H599" i="2"/>
  <c r="H601" i="2"/>
  <c r="H602" i="2"/>
  <c r="H604" i="2"/>
  <c r="H608" i="2"/>
  <c r="H609" i="2"/>
  <c r="H610" i="2"/>
  <c r="H611" i="2"/>
  <c r="H612" i="2"/>
  <c r="H613" i="2"/>
  <c r="H615" i="2"/>
  <c r="H616" i="2"/>
  <c r="X616" i="2" s="1"/>
  <c r="H617" i="2"/>
  <c r="H618" i="2"/>
  <c r="H619" i="2"/>
  <c r="H621" i="2"/>
  <c r="H623" i="2"/>
  <c r="X623" i="2" s="1"/>
  <c r="H9" i="2"/>
  <c r="X9" i="2" s="1"/>
  <c r="H12" i="2"/>
  <c r="H593" i="2"/>
  <c r="H180" i="2"/>
  <c r="H159" i="2"/>
  <c r="H161" i="2"/>
  <c r="H13" i="2"/>
  <c r="H346" i="2"/>
  <c r="H178" i="2"/>
  <c r="H16" i="2"/>
  <c r="X16" i="2" s="1"/>
  <c r="H18" i="2"/>
  <c r="H15" i="2"/>
  <c r="H350" i="2"/>
  <c r="H473" i="2"/>
  <c r="H206" i="2"/>
  <c r="H622" i="2"/>
  <c r="H106" i="2"/>
  <c r="H191" i="2"/>
  <c r="H209" i="2"/>
  <c r="H211" i="2"/>
  <c r="H452" i="2"/>
  <c r="H368" i="2"/>
  <c r="H453" i="2"/>
  <c r="H529" i="2"/>
  <c r="H494" i="2"/>
  <c r="H454" i="2"/>
  <c r="X454" i="2" s="1"/>
  <c r="H455" i="2"/>
  <c r="H562" i="2"/>
  <c r="H456" i="2"/>
  <c r="H519" i="2"/>
  <c r="H457" i="2"/>
  <c r="H521" i="2"/>
  <c r="H525" i="2"/>
  <c r="H446" i="2"/>
  <c r="H570" i="2"/>
  <c r="X570" i="2" s="1"/>
  <c r="H571" i="2"/>
  <c r="H607" i="2"/>
  <c r="H605" i="2"/>
  <c r="T12" i="2"/>
  <c r="U12" i="2" s="1"/>
  <c r="T15" i="2"/>
  <c r="U15" i="2" s="1"/>
  <c r="T23" i="2"/>
  <c r="U23" i="2" s="1"/>
  <c r="U178" i="2"/>
  <c r="U346" i="2"/>
  <c r="U350" i="2"/>
  <c r="U472" i="2"/>
  <c r="U473" i="2"/>
  <c r="U106" i="2"/>
  <c r="U105" i="2"/>
  <c r="U114" i="2"/>
  <c r="U270" i="2"/>
  <c r="T30" i="2"/>
  <c r="U30" i="2" s="1"/>
  <c r="U36" i="2"/>
  <c r="U191" i="2"/>
  <c r="U195" i="2"/>
  <c r="U210" i="2"/>
  <c r="U211" i="2"/>
  <c r="U452" i="2"/>
  <c r="U457" i="2"/>
  <c r="U368" i="2"/>
  <c r="T31" i="2"/>
  <c r="U31" i="2" s="1"/>
  <c r="H502" i="2"/>
  <c r="X502" i="2" s="1"/>
  <c r="X500" i="2" l="1"/>
  <c r="X615" i="2"/>
  <c r="X569" i="2"/>
  <c r="X42" i="2"/>
  <c r="X617" i="2"/>
  <c r="X608" i="2"/>
  <c r="X544" i="2"/>
  <c r="I626" i="2"/>
  <c r="X618" i="2"/>
  <c r="X609" i="2"/>
  <c r="X564" i="2"/>
  <c r="X602" i="2"/>
  <c r="X494" i="2"/>
  <c r="X613" i="2"/>
  <c r="X206" i="2"/>
  <c r="X621" i="2"/>
  <c r="X611" i="2"/>
  <c r="X619" i="2"/>
  <c r="X610" i="2"/>
  <c r="X565" i="2"/>
  <c r="X622" i="2"/>
  <c r="X612" i="2"/>
  <c r="X257" i="2"/>
  <c r="X458" i="2"/>
  <c r="X165" i="2"/>
  <c r="X566" i="2"/>
  <c r="X591" i="2"/>
  <c r="X552" i="2"/>
  <c r="X568" i="2"/>
  <c r="X581" i="2"/>
  <c r="X567" i="2"/>
  <c r="X571" i="2"/>
  <c r="X563" i="2"/>
  <c r="X12" i="2"/>
  <c r="X191" i="2"/>
  <c r="X196" i="2"/>
  <c r="X185" i="2"/>
  <c r="X451" i="2"/>
  <c r="X442" i="2"/>
  <c r="X434" i="2"/>
  <c r="X426" i="2"/>
  <c r="X418" i="2"/>
  <c r="X409" i="2"/>
  <c r="X401" i="2"/>
  <c r="X393" i="2"/>
  <c r="X385" i="2"/>
  <c r="X377" i="2"/>
  <c r="X369" i="2"/>
  <c r="X360" i="2"/>
  <c r="X352" i="2"/>
  <c r="X333" i="2"/>
  <c r="X276" i="2"/>
  <c r="X61" i="2"/>
  <c r="X515" i="2"/>
  <c r="X507" i="2"/>
  <c r="C173" i="19" s="1"/>
  <c r="D173" i="19" s="1"/>
  <c r="X556" i="2"/>
  <c r="X548" i="2"/>
  <c r="X339" i="2"/>
  <c r="X298" i="2"/>
  <c r="X290" i="2"/>
  <c r="X282" i="2"/>
  <c r="X239" i="2"/>
  <c r="X231" i="2"/>
  <c r="X222" i="2"/>
  <c r="X214" i="2"/>
  <c r="X149" i="2"/>
  <c r="X141" i="2"/>
  <c r="X133" i="2"/>
  <c r="X529" i="2"/>
  <c r="X558" i="2"/>
  <c r="X550" i="2"/>
  <c r="X542" i="2"/>
  <c r="X341" i="2"/>
  <c r="X300" i="2"/>
  <c r="X292" i="2"/>
  <c r="X284" i="2"/>
  <c r="X241" i="2"/>
  <c r="X233" i="2"/>
  <c r="X224" i="2"/>
  <c r="X216" i="2"/>
  <c r="X151" i="2"/>
  <c r="X143" i="2"/>
  <c r="X135" i="2"/>
  <c r="X127" i="2"/>
  <c r="X125" i="2"/>
  <c r="X70" i="2"/>
  <c r="X310" i="2"/>
  <c r="X97" i="2"/>
  <c r="X88" i="2"/>
  <c r="X79" i="2"/>
  <c r="X173" i="2"/>
  <c r="X599" i="2"/>
  <c r="X497" i="2"/>
  <c r="X193" i="2"/>
  <c r="X183" i="2"/>
  <c r="X489" i="2"/>
  <c r="X13" i="2"/>
  <c r="X514" i="2"/>
  <c r="X506" i="2"/>
  <c r="X262" i="2"/>
  <c r="X52" i="2"/>
  <c r="X586" i="2"/>
  <c r="X576" i="2"/>
  <c r="X464" i="2"/>
  <c r="X162" i="2"/>
  <c r="X19" i="2"/>
  <c r="X254" i="2"/>
  <c r="X605" i="2"/>
  <c r="X486" i="2"/>
  <c r="X170" i="2"/>
  <c r="X596" i="2"/>
  <c r="X318" i="2"/>
  <c r="X189" i="2"/>
  <c r="X180" i="2"/>
  <c r="X522" i="2"/>
  <c r="X511" i="2"/>
  <c r="X503" i="2"/>
  <c r="X327" i="2"/>
  <c r="X259" i="2"/>
  <c r="X444" i="2"/>
  <c r="X436" i="2"/>
  <c r="X428" i="2"/>
  <c r="X420" i="2"/>
  <c r="X411" i="2"/>
  <c r="X403" i="2"/>
  <c r="X395" i="2"/>
  <c r="X387" i="2"/>
  <c r="X379" i="2"/>
  <c r="X371" i="2"/>
  <c r="X362" i="2"/>
  <c r="X354" i="2"/>
  <c r="X335" i="2"/>
  <c r="X278" i="2"/>
  <c r="X269" i="2"/>
  <c r="X601" i="2"/>
  <c r="X508" i="2"/>
  <c r="X324" i="2"/>
  <c r="X255" i="2"/>
  <c r="X516" i="2"/>
  <c r="X323" i="2"/>
  <c r="X263" i="2"/>
  <c r="X449" i="2"/>
  <c r="X440" i="2"/>
  <c r="X432" i="2"/>
  <c r="X424" i="2"/>
  <c r="X416" i="2"/>
  <c r="X407" i="2"/>
  <c r="X399" i="2"/>
  <c r="X391" i="2"/>
  <c r="X383" i="2"/>
  <c r="X375" i="2"/>
  <c r="X366" i="2"/>
  <c r="X358" i="2"/>
  <c r="X349" i="2"/>
  <c r="X331" i="2"/>
  <c r="X274" i="2"/>
  <c r="X204" i="2"/>
  <c r="X116" i="2"/>
  <c r="X482" i="2"/>
  <c r="X469" i="2"/>
  <c r="X306" i="2"/>
  <c r="X102" i="2"/>
  <c r="X92" i="2"/>
  <c r="X84" i="2"/>
  <c r="X75" i="2"/>
  <c r="X66" i="2"/>
  <c r="X38" i="2"/>
  <c r="X24" i="2"/>
  <c r="X582" i="2"/>
  <c r="X572" i="2"/>
  <c r="X459" i="2"/>
  <c r="X48" i="2"/>
  <c r="X20" i="2"/>
  <c r="X311" i="2"/>
  <c r="X99" i="2"/>
  <c r="X589" i="2"/>
  <c r="X577" i="2"/>
  <c r="X163" i="2"/>
  <c r="X53" i="2"/>
  <c r="X487" i="2"/>
  <c r="X171" i="2"/>
  <c r="X29" i="2"/>
  <c r="H52" i="70" s="1"/>
  <c r="I52" i="70" s="1"/>
  <c r="X89" i="2"/>
  <c r="X523" i="2"/>
  <c r="X512" i="2"/>
  <c r="X504" i="2"/>
  <c r="X271" i="2"/>
  <c r="X260" i="2"/>
  <c r="X200" i="2"/>
  <c r="X80" i="2"/>
  <c r="X63" i="2"/>
  <c r="X597" i="2"/>
  <c r="X495" i="2"/>
  <c r="X181" i="2"/>
  <c r="X445" i="2"/>
  <c r="X437" i="2"/>
  <c r="X429" i="2"/>
  <c r="X421" i="2"/>
  <c r="X413" i="2"/>
  <c r="X404" i="2"/>
  <c r="X396" i="2"/>
  <c r="X388" i="2"/>
  <c r="X380" i="2"/>
  <c r="X372" i="2"/>
  <c r="X363" i="2"/>
  <c r="X355" i="2"/>
  <c r="X466" i="2"/>
  <c r="X71" i="2"/>
  <c r="X45" i="2"/>
  <c r="X319" i="2"/>
  <c r="X190" i="2"/>
  <c r="X455" i="2"/>
  <c r="X209" i="2"/>
  <c r="X561" i="2"/>
  <c r="X553" i="2"/>
  <c r="X545" i="2"/>
  <c r="X532" i="2"/>
  <c r="X344" i="2"/>
  <c r="X295" i="2"/>
  <c r="C24" i="15" s="1"/>
  <c r="X287" i="2"/>
  <c r="X244" i="2"/>
  <c r="X236" i="2"/>
  <c r="X228" i="2"/>
  <c r="X219" i="2"/>
  <c r="X154" i="2"/>
  <c r="X146" i="2"/>
  <c r="X138" i="2"/>
  <c r="X130" i="2"/>
  <c r="X111" i="2"/>
  <c r="X10" i="2"/>
  <c r="X526" i="2"/>
  <c r="X448" i="2"/>
  <c r="X439" i="2"/>
  <c r="X431" i="2"/>
  <c r="X423" i="2"/>
  <c r="X415" i="2"/>
  <c r="X406" i="2"/>
  <c r="X398" i="2"/>
  <c r="X390" i="2"/>
  <c r="X382" i="2"/>
  <c r="X374" i="2"/>
  <c r="X365" i="2"/>
  <c r="X357" i="2"/>
  <c r="X348" i="2"/>
  <c r="X330" i="2"/>
  <c r="X203" i="2"/>
  <c r="X115" i="2"/>
  <c r="X555" i="2"/>
  <c r="X547" i="2"/>
  <c r="X338" i="2"/>
  <c r="X297" i="2"/>
  <c r="X289" i="2"/>
  <c r="X281" i="2"/>
  <c r="X246" i="2"/>
  <c r="X238" i="2"/>
  <c r="X230" i="2"/>
  <c r="X221" i="2"/>
  <c r="X481" i="2"/>
  <c r="X468" i="2"/>
  <c r="X313" i="2"/>
  <c r="X305" i="2"/>
  <c r="X435" i="2"/>
  <c r="X402" i="2"/>
  <c r="X386" i="2"/>
  <c r="X370" i="2"/>
  <c r="X353" i="2"/>
  <c r="X334" i="2"/>
  <c r="X277" i="2"/>
  <c r="X518" i="2"/>
  <c r="X443" i="2"/>
  <c r="X427" i="2"/>
  <c r="X419" i="2"/>
  <c r="X410" i="2"/>
  <c r="X394" i="2"/>
  <c r="X378" i="2"/>
  <c r="X361" i="2"/>
  <c r="X268" i="2"/>
  <c r="X106" i="2"/>
  <c r="X559" i="2"/>
  <c r="X551" i="2"/>
  <c r="X543" i="2"/>
  <c r="X530" i="2"/>
  <c r="X256" i="2"/>
  <c r="X264" i="2"/>
  <c r="X467" i="2"/>
  <c r="X100" i="2"/>
  <c r="X81" i="2"/>
  <c r="X525" i="2"/>
  <c r="X578" i="2"/>
  <c r="X488" i="2"/>
  <c r="X182" i="2"/>
  <c r="X513" i="2"/>
  <c r="X505" i="2"/>
  <c r="X272" i="2"/>
  <c r="X261" i="2"/>
  <c r="X253" i="2"/>
  <c r="X446" i="2"/>
  <c r="X479" i="2"/>
  <c r="X72" i="2"/>
  <c r="X598" i="2"/>
  <c r="X496" i="2"/>
  <c r="X607" i="2"/>
  <c r="X456" i="2"/>
  <c r="X438" i="2"/>
  <c r="X430" i="2"/>
  <c r="X422" i="2"/>
  <c r="X414" i="2"/>
  <c r="X405" i="2"/>
  <c r="X397" i="2"/>
  <c r="X389" i="2"/>
  <c r="X381" i="2"/>
  <c r="X373" i="2"/>
  <c r="X364" i="2"/>
  <c r="X356" i="2"/>
  <c r="X347" i="2"/>
  <c r="X329" i="2"/>
  <c r="X312" i="2"/>
  <c r="X64" i="2"/>
  <c r="X590" i="2"/>
  <c r="X172" i="2"/>
  <c r="X321" i="2"/>
  <c r="X562" i="2"/>
  <c r="X554" i="2"/>
  <c r="X546" i="2"/>
  <c r="X533" i="2"/>
  <c r="X337" i="2"/>
  <c r="X296" i="2"/>
  <c r="X288" i="2"/>
  <c r="X280" i="2"/>
  <c r="X245" i="2"/>
  <c r="X237" i="2"/>
  <c r="X229" i="2"/>
  <c r="X220" i="2"/>
  <c r="X212" i="2"/>
  <c r="X147" i="2"/>
  <c r="X139" i="2"/>
  <c r="X131" i="2"/>
  <c r="X113" i="2"/>
  <c r="X11" i="2"/>
  <c r="X90" i="2"/>
  <c r="X164" i="2"/>
  <c r="X54" i="2"/>
  <c r="X32" i="2"/>
  <c r="X21" i="2"/>
  <c r="X346" i="2"/>
  <c r="X195" i="2"/>
  <c r="X528" i="2"/>
  <c r="X450" i="2"/>
  <c r="X433" i="2"/>
  <c r="X417" i="2"/>
  <c r="X400" i="2"/>
  <c r="X384" i="2"/>
  <c r="X376" i="2"/>
  <c r="X367" i="2"/>
  <c r="X351" i="2"/>
  <c r="X332" i="2"/>
  <c r="X275" i="2"/>
  <c r="X205" i="2"/>
  <c r="X117" i="2"/>
  <c r="X30" i="2"/>
  <c r="X441" i="2"/>
  <c r="X425" i="2"/>
  <c r="X408" i="2"/>
  <c r="X392" i="2"/>
  <c r="X359" i="2"/>
  <c r="X213" i="2"/>
  <c r="X148" i="2"/>
  <c r="X140" i="2"/>
  <c r="X132" i="2"/>
  <c r="X101" i="2"/>
  <c r="X91" i="2"/>
  <c r="X83" i="2"/>
  <c r="X73" i="2"/>
  <c r="X65" i="2"/>
  <c r="X56" i="2"/>
  <c r="X192" i="2"/>
  <c r="X342" i="2"/>
  <c r="X301" i="2"/>
  <c r="X293" i="2"/>
  <c r="X285" i="2"/>
  <c r="X242" i="2"/>
  <c r="X234" i="2"/>
  <c r="X225" i="2"/>
  <c r="X217" i="2"/>
  <c r="X207" i="2"/>
  <c r="X152" i="2"/>
  <c r="X144" i="2"/>
  <c r="X136" i="2"/>
  <c r="X128" i="2"/>
  <c r="X557" i="2"/>
  <c r="X549" i="2"/>
  <c r="X541" i="2"/>
  <c r="X472" i="2"/>
  <c r="X340" i="2"/>
  <c r="X299" i="2"/>
  <c r="X291" i="2"/>
  <c r="X283" i="2"/>
  <c r="X240" i="2"/>
  <c r="X232" i="2"/>
  <c r="X223" i="2"/>
  <c r="X215" i="2"/>
  <c r="X150" i="2"/>
  <c r="X142" i="2"/>
  <c r="X134" i="2"/>
  <c r="X126" i="2"/>
  <c r="X470" i="2"/>
  <c r="X307" i="2"/>
  <c r="X103" i="2"/>
  <c r="X93" i="2"/>
  <c r="X85" i="2"/>
  <c r="X76" i="2"/>
  <c r="X67" i="2"/>
  <c r="X25" i="2"/>
  <c r="X583" i="2"/>
  <c r="X573" i="2"/>
  <c r="X460" i="2"/>
  <c r="X49" i="2"/>
  <c r="X593" i="2"/>
  <c r="X491" i="2"/>
  <c r="X176" i="2"/>
  <c r="X167" i="2"/>
  <c r="X87" i="2"/>
  <c r="X368" i="2"/>
  <c r="X473" i="2"/>
  <c r="C141" i="19" s="1"/>
  <c r="X161" i="2"/>
  <c r="X585" i="2"/>
  <c r="X575" i="2"/>
  <c r="X471" i="2"/>
  <c r="X462" i="2"/>
  <c r="X308" i="2"/>
  <c r="X105" i="2"/>
  <c r="X95" i="2"/>
  <c r="X86" i="2"/>
  <c r="X77" i="2"/>
  <c r="X68" i="2"/>
  <c r="X51" i="2"/>
  <c r="X27" i="2"/>
  <c r="X17" i="2"/>
  <c r="X457" i="2"/>
  <c r="X96" i="2"/>
  <c r="X452" i="2"/>
  <c r="X350" i="2"/>
  <c r="X159" i="2"/>
  <c r="X584" i="2"/>
  <c r="X574" i="2"/>
  <c r="X493" i="2"/>
  <c r="X484" i="2"/>
  <c r="X461" i="2"/>
  <c r="X179" i="2"/>
  <c r="X169" i="2"/>
  <c r="X114" i="2"/>
  <c r="C16" i="15" s="1"/>
  <c r="X50" i="2"/>
  <c r="X309" i="2"/>
  <c r="X69" i="2"/>
  <c r="X211" i="2"/>
  <c r="X15" i="2"/>
  <c r="X595" i="2"/>
  <c r="X492" i="2"/>
  <c r="X317" i="2"/>
  <c r="X270" i="2"/>
  <c r="X198" i="2"/>
  <c r="X188" i="2"/>
  <c r="X177" i="2"/>
  <c r="X168" i="2"/>
  <c r="X57" i="2"/>
  <c r="X178" i="2"/>
  <c r="X453" i="2"/>
  <c r="X78" i="2"/>
  <c r="X18" i="2"/>
  <c r="H63" i="70" s="1"/>
  <c r="I63" i="70" s="1"/>
  <c r="X604" i="2"/>
  <c r="X594" i="2"/>
  <c r="X510" i="2"/>
  <c r="X501" i="2"/>
  <c r="X326" i="2"/>
  <c r="X258" i="2"/>
  <c r="X210" i="2"/>
  <c r="X197" i="2"/>
  <c r="X187" i="2"/>
  <c r="X36" i="2"/>
  <c r="X23" i="2"/>
  <c r="H66" i="70"/>
  <c r="I66" i="70" s="1"/>
  <c r="K66" i="70" s="1"/>
  <c r="G477" i="2"/>
  <c r="G485" i="2"/>
  <c r="H485" i="2" s="1"/>
  <c r="G480" i="2"/>
  <c r="H480" i="2" s="1"/>
  <c r="G483" i="2"/>
  <c r="H483" i="2" s="1"/>
  <c r="H65" i="70"/>
  <c r="I65" i="70" s="1"/>
  <c r="H606" i="2"/>
  <c r="X606" i="2" s="1"/>
  <c r="H119" i="2"/>
  <c r="X119" i="2" s="1"/>
  <c r="H540" i="2"/>
  <c r="H118" i="2"/>
  <c r="X118" i="2" s="1"/>
  <c r="U540" i="2"/>
  <c r="H517" i="2"/>
  <c r="X517" i="2" s="1"/>
  <c r="U320" i="2"/>
  <c r="H499" i="2"/>
  <c r="X499" i="2" s="1"/>
  <c r="H62" i="2"/>
  <c r="X62" i="2" s="1"/>
  <c r="H247" i="2"/>
  <c r="X247" i="2" s="1"/>
  <c r="H538" i="2"/>
  <c r="H250" i="2"/>
  <c r="X250" i="2" s="1"/>
  <c r="H249" i="2"/>
  <c r="X249" i="2" s="1"/>
  <c r="H252" i="2"/>
  <c r="X252" i="2" s="1"/>
  <c r="U539" i="2"/>
  <c r="X539" i="2" s="1"/>
  <c r="H251" i="2"/>
  <c r="X251" i="2" s="1"/>
  <c r="H248" i="2"/>
  <c r="X248" i="2" s="1"/>
  <c r="AI55" i="66"/>
  <c r="AF10" i="66"/>
  <c r="AC10" i="66"/>
  <c r="V10" i="66"/>
  <c r="K400" i="68" l="1"/>
  <c r="L400" i="68" s="1"/>
  <c r="C12" i="15"/>
  <c r="D12" i="15" s="1"/>
  <c r="X538" i="2"/>
  <c r="C114" i="19" s="1"/>
  <c r="X540" i="2"/>
  <c r="K65" i="70"/>
  <c r="K304" i="68"/>
  <c r="L304" i="68" s="1"/>
  <c r="K63" i="70"/>
  <c r="K402" i="68"/>
  <c r="L402" i="68" s="1"/>
  <c r="C86" i="19"/>
  <c r="D86" i="19" s="1"/>
  <c r="H61" i="70"/>
  <c r="H15" i="70"/>
  <c r="I15" i="70" s="1"/>
  <c r="C23" i="70" s="1"/>
  <c r="D23" i="70" s="1"/>
  <c r="J23" i="70" s="1"/>
  <c r="H58" i="70"/>
  <c r="H50" i="70"/>
  <c r="I33" i="8"/>
  <c r="C42" i="15"/>
  <c r="D42" i="15" s="1"/>
  <c r="H69" i="16"/>
  <c r="K69" i="16" s="1"/>
  <c r="C43" i="15"/>
  <c r="H11" i="16"/>
  <c r="H12" i="16" s="1"/>
  <c r="D24" i="15"/>
  <c r="C189" i="19"/>
  <c r="C164" i="19"/>
  <c r="D16" i="15"/>
  <c r="C161" i="19"/>
  <c r="C155" i="19"/>
  <c r="D155" i="19" s="1"/>
  <c r="J56" i="13"/>
  <c r="F90" i="50"/>
  <c r="E17" i="6" s="1"/>
  <c r="L216" i="68" l="1"/>
  <c r="C17" i="15"/>
  <c r="D17" i="15"/>
  <c r="E16" i="6" s="1"/>
  <c r="K404" i="68"/>
  <c r="L404" i="68" s="1"/>
  <c r="G86" i="19"/>
  <c r="I50" i="70"/>
  <c r="I58" i="70"/>
  <c r="C26" i="70"/>
  <c r="H60" i="70"/>
  <c r="I60" i="70" s="1"/>
  <c r="I61" i="70"/>
  <c r="K61" i="70" s="1"/>
  <c r="I69" i="16"/>
  <c r="C25" i="15"/>
  <c r="D22" i="15"/>
  <c r="D25" i="15" s="1"/>
  <c r="D164" i="19"/>
  <c r="D37" i="7"/>
  <c r="D38" i="7" s="1"/>
  <c r="C166" i="19"/>
  <c r="D166" i="19" s="1"/>
  <c r="F13" i="50"/>
  <c r="F14" i="50" s="1"/>
  <c r="C131" i="19"/>
  <c r="C125" i="19"/>
  <c r="C88" i="19"/>
  <c r="C202" i="19"/>
  <c r="C178" i="19"/>
  <c r="D178" i="19" s="1"/>
  <c r="C81" i="19"/>
  <c r="D81" i="19" s="1"/>
  <c r="T8" i="2"/>
  <c r="U8" i="2" s="1"/>
  <c r="U55" i="2"/>
  <c r="K60" i="70" l="1"/>
  <c r="X55" i="2"/>
  <c r="H51" i="70" s="1"/>
  <c r="I51" i="70" s="1"/>
  <c r="G81" i="19"/>
  <c r="K223" i="68"/>
  <c r="L223" i="68" s="1"/>
  <c r="J22" i="70"/>
  <c r="J26" i="70" s="1"/>
  <c r="D26" i="70"/>
  <c r="I67" i="70"/>
  <c r="K58" i="70"/>
  <c r="H67" i="70"/>
  <c r="D26" i="7"/>
  <c r="D29" i="7" s="1"/>
  <c r="R8" i="66"/>
  <c r="D202" i="19"/>
  <c r="D203" i="19" s="1"/>
  <c r="D22" i="7" s="1"/>
  <c r="C203" i="19"/>
  <c r="AC407" i="2"/>
  <c r="R4" i="2"/>
  <c r="Q2" i="2" s="1"/>
  <c r="I53" i="70" l="1"/>
  <c r="K295" i="68"/>
  <c r="L295" i="68" s="1"/>
  <c r="H53" i="70"/>
  <c r="B21" i="66"/>
  <c r="D11" i="65"/>
  <c r="C15" i="22"/>
  <c r="C19" i="22" s="1"/>
  <c r="C34" i="22" l="1"/>
  <c r="E10" i="17" l="1"/>
  <c r="E11" i="17"/>
  <c r="E17" i="17"/>
  <c r="F29" i="8" l="1"/>
  <c r="H21" i="13" l="1"/>
  <c r="D28" i="19" l="1"/>
  <c r="D31" i="19" s="1"/>
  <c r="H52" i="13" l="1"/>
  <c r="H47" i="13"/>
  <c r="H46" i="13"/>
  <c r="H50" i="13" s="1"/>
  <c r="H38" i="13"/>
  <c r="H39" i="13" s="1"/>
  <c r="E50" i="13"/>
  <c r="E39" i="13"/>
  <c r="H57" i="13" l="1"/>
  <c r="H43" i="13"/>
  <c r="E57" i="13"/>
  <c r="O10" i="66" l="1"/>
  <c r="H81" i="13"/>
  <c r="F11" i="6"/>
  <c r="H336" i="2"/>
  <c r="X336" i="2" s="1"/>
  <c r="C96" i="19" l="1"/>
  <c r="C97" i="19" s="1"/>
  <c r="D102" i="19"/>
  <c r="H592" i="2"/>
  <c r="X592" i="2" s="1"/>
  <c r="D96" i="19" l="1"/>
  <c r="L10" i="66" l="1"/>
  <c r="F58" i="6"/>
  <c r="K9" i="60"/>
  <c r="W8" i="66" l="1"/>
  <c r="W11" i="66" s="1"/>
  <c r="T8" i="66" l="1"/>
  <c r="T11" i="66" s="1"/>
  <c r="I58" i="16" l="1"/>
  <c r="D57" i="65" s="1"/>
  <c r="Q29" i="16" l="1"/>
  <c r="H25" i="16" s="1"/>
  <c r="H31" i="16" s="1"/>
  <c r="Q28" i="16"/>
  <c r="G25" i="16" s="1"/>
  <c r="G31" i="16" s="1"/>
  <c r="Q27" i="16"/>
  <c r="F25" i="16" s="1"/>
  <c r="F31" i="16" s="1"/>
  <c r="Q26" i="16"/>
  <c r="E25" i="16" s="1"/>
  <c r="E31" i="16" s="1"/>
  <c r="Q31" i="16" l="1"/>
  <c r="Q34" i="16" s="1"/>
  <c r="I9" i="16" l="1"/>
  <c r="L241" i="68" s="1"/>
  <c r="H202" i="2"/>
  <c r="X202" i="2" s="1"/>
  <c r="K12" i="60"/>
  <c r="H201" i="2" s="1"/>
  <c r="X201" i="2" s="1"/>
  <c r="M43" i="2" l="1"/>
  <c r="N43" i="2" s="1"/>
  <c r="D197" i="19"/>
  <c r="H43" i="2" l="1"/>
  <c r="X43" i="2" s="1"/>
  <c r="H46" i="2" l="1"/>
  <c r="X46" i="2" s="1"/>
  <c r="T524" i="2" l="1"/>
  <c r="U524" i="2" s="1"/>
  <c r="T520" i="2"/>
  <c r="U520" i="2" s="1"/>
  <c r="T480" i="2"/>
  <c r="U480" i="2" s="1"/>
  <c r="T477" i="2"/>
  <c r="U477" i="2" s="1"/>
  <c r="T447" i="2"/>
  <c r="U447" i="2" s="1"/>
  <c r="K41" i="61"/>
  <c r="K43" i="61"/>
  <c r="M483" i="2"/>
  <c r="N483" i="2" s="1"/>
  <c r="X483" i="2" s="1"/>
  <c r="M480" i="2"/>
  <c r="N480" i="2" s="1"/>
  <c r="M315" i="2"/>
  <c r="M485" i="2"/>
  <c r="N485" i="2" s="1"/>
  <c r="X485" i="2" s="1"/>
  <c r="M477" i="2"/>
  <c r="N477" i="2" s="1"/>
  <c r="M534" i="2"/>
  <c r="N534" i="2" s="1"/>
  <c r="X534" i="2" s="1"/>
  <c r="M527" i="2"/>
  <c r="N527" i="2" s="1"/>
  <c r="X527" i="2" s="1"/>
  <c r="M524" i="2"/>
  <c r="N524" i="2" s="1"/>
  <c r="M520" i="2"/>
  <c r="N520" i="2" s="1"/>
  <c r="X520" i="2" l="1"/>
  <c r="X480" i="2"/>
  <c r="N315" i="2"/>
  <c r="K25" i="61"/>
  <c r="K26" i="61"/>
  <c r="K27" i="61"/>
  <c r="D198" i="19" l="1"/>
  <c r="D196" i="19"/>
  <c r="D95" i="19" l="1"/>
  <c r="A379" i="2" l="1"/>
  <c r="D10" i="19" l="1"/>
  <c r="G110" i="53"/>
  <c r="H110" i="53"/>
  <c r="H84" i="53"/>
  <c r="G84" i="53"/>
  <c r="E52" i="53"/>
  <c r="G52" i="53"/>
  <c r="H19" i="24"/>
  <c r="G19" i="24"/>
  <c r="I19" i="24"/>
  <c r="J19" i="24"/>
  <c r="E85" i="22"/>
  <c r="D85" i="22"/>
  <c r="D92" i="22"/>
  <c r="D98" i="22" s="1"/>
  <c r="D105" i="22" s="1"/>
  <c r="E92" i="22"/>
  <c r="E98" i="22" s="1"/>
  <c r="E105" i="22" s="1"/>
  <c r="E64" i="22"/>
  <c r="E24" i="22"/>
  <c r="E25" i="22"/>
  <c r="B22" i="22"/>
  <c r="B30" i="22"/>
  <c r="H74" i="64"/>
  <c r="I74" i="64"/>
  <c r="I22" i="64"/>
  <c r="H22" i="64"/>
  <c r="E120" i="50"/>
  <c r="G81" i="50"/>
  <c r="G27" i="50"/>
  <c r="G39" i="50" s="1"/>
  <c r="C43" i="19"/>
  <c r="C73" i="19" s="1"/>
  <c r="C199" i="19"/>
  <c r="C194" i="19"/>
  <c r="C201" i="19" s="1"/>
  <c r="C151" i="19"/>
  <c r="C137" i="19"/>
  <c r="C123" i="19"/>
  <c r="C110" i="19"/>
  <c r="C99" i="19"/>
  <c r="C93" i="19"/>
  <c r="E31" i="65"/>
  <c r="E33" i="65" s="1"/>
  <c r="C186" i="19" l="1"/>
  <c r="C158" i="19" s="1"/>
  <c r="E103" i="22"/>
  <c r="D99" i="22" s="1"/>
  <c r="H68" i="16"/>
  <c r="I68" i="16"/>
  <c r="J68" i="16"/>
  <c r="H54" i="16"/>
  <c r="J54" i="16"/>
  <c r="H31" i="17"/>
  <c r="F85" i="17"/>
  <c r="F86" i="17" s="1"/>
  <c r="G52" i="17"/>
  <c r="G14" i="17"/>
  <c r="F60" i="50"/>
  <c r="F67" i="50" s="1"/>
  <c r="G60" i="50"/>
  <c r="E194" i="19"/>
  <c r="D186" i="19" l="1"/>
  <c r="D158" i="19"/>
  <c r="E151" i="19"/>
  <c r="E137" i="19"/>
  <c r="E123" i="19"/>
  <c r="E110" i="19"/>
  <c r="E99" i="19"/>
  <c r="E93" i="19"/>
  <c r="E73" i="19"/>
  <c r="E56" i="19"/>
  <c r="E43" i="19"/>
  <c r="E26" i="19"/>
  <c r="E33" i="19" s="1"/>
  <c r="C24" i="19"/>
  <c r="C16" i="19"/>
  <c r="C26" i="19" s="1"/>
  <c r="C33" i="19" s="1"/>
  <c r="E24" i="19"/>
  <c r="E16" i="19"/>
  <c r="D35" i="19" l="1"/>
  <c r="J10" i="66"/>
  <c r="M8" i="2"/>
  <c r="N8" i="2" l="1"/>
  <c r="H8" i="2" l="1"/>
  <c r="X8" i="2" l="1"/>
  <c r="S8" i="66"/>
  <c r="S11" i="66" s="1"/>
  <c r="H240" i="68" l="1"/>
  <c r="G67" i="53"/>
  <c r="D105" i="53" l="1"/>
  <c r="G105" i="53"/>
  <c r="J70" i="16" l="1"/>
  <c r="E46" i="65"/>
  <c r="H67" i="53" l="1"/>
  <c r="G33" i="17" l="1"/>
  <c r="G35" i="17" s="1"/>
  <c r="G26" i="17"/>
  <c r="G28" i="17" s="1"/>
  <c r="F129" i="50" l="1"/>
  <c r="H239" i="68"/>
  <c r="H238" i="68"/>
  <c r="H237" i="68"/>
  <c r="B1" i="65"/>
  <c r="B37" i="66" l="1"/>
  <c r="AI37" i="66" s="1"/>
  <c r="B31" i="66"/>
  <c r="B28" i="66"/>
  <c r="AI28" i="66" s="1"/>
  <c r="B27" i="66"/>
  <c r="B18" i="66"/>
  <c r="AI18" i="66" s="1"/>
  <c r="B16" i="66"/>
  <c r="AI16" i="66" s="1"/>
  <c r="AI12" i="66"/>
  <c r="D13" i="65" l="1"/>
  <c r="AI27" i="66"/>
  <c r="D17" i="65"/>
  <c r="AI31" i="66"/>
  <c r="D15" i="65"/>
  <c r="T52" i="66"/>
  <c r="B17" i="66" l="1"/>
  <c r="AI17" i="66" s="1"/>
  <c r="S52" i="66"/>
  <c r="T59" i="66"/>
  <c r="S59" i="66" l="1"/>
  <c r="E48" i="65"/>
  <c r="E50" i="65" s="1"/>
  <c r="F26" i="6" l="1"/>
  <c r="D49" i="65" l="1"/>
  <c r="J4" i="6"/>
  <c r="G117" i="53"/>
  <c r="H117" i="53"/>
  <c r="G128" i="53"/>
  <c r="H128" i="53"/>
  <c r="C66" i="6" l="1"/>
  <c r="C10" i="6"/>
  <c r="H157" i="28"/>
  <c r="H156" i="28"/>
  <c r="H158" i="28"/>
  <c r="G51" i="8" l="1"/>
  <c r="E69" i="65" s="1"/>
  <c r="G52" i="8"/>
  <c r="E70" i="65" s="1"/>
  <c r="E68" i="65"/>
  <c r="D23" i="19" l="1"/>
  <c r="D19" i="19"/>
  <c r="D20" i="19"/>
  <c r="D21" i="19"/>
  <c r="D22" i="19"/>
  <c r="D18" i="19"/>
  <c r="D24" i="19" l="1"/>
  <c r="D40" i="19" s="1"/>
  <c r="I12" i="64"/>
  <c r="I66" i="64"/>
  <c r="I51" i="64"/>
  <c r="H51" i="64"/>
  <c r="H52" i="64" s="1"/>
  <c r="I50" i="64"/>
  <c r="I49" i="64"/>
  <c r="I30" i="64"/>
  <c r="I33" i="64" s="1"/>
  <c r="H90" i="64"/>
  <c r="F90" i="64"/>
  <c r="I103" i="64" s="1"/>
  <c r="G118" i="50"/>
  <c r="D102" i="50" s="1"/>
  <c r="G102" i="50" s="1"/>
  <c r="D120" i="50"/>
  <c r="F120" i="50"/>
  <c r="G125" i="50"/>
  <c r="G21" i="50"/>
  <c r="I35" i="64" l="1"/>
  <c r="I37" i="64" s="1"/>
  <c r="I52" i="64"/>
  <c r="I54" i="64" s="1"/>
  <c r="H30" i="64"/>
  <c r="H33" i="64" l="1"/>
  <c r="H35" i="64" s="1"/>
  <c r="H37" i="64" s="1"/>
  <c r="H83" i="50"/>
  <c r="H87" i="50" l="1"/>
  <c r="H86" i="50"/>
  <c r="B2" i="19" l="1"/>
  <c r="B70" i="19" s="1"/>
  <c r="B148" i="19" s="1"/>
  <c r="B76" i="17"/>
  <c r="B2" i="16"/>
  <c r="B2" i="15"/>
  <c r="B50" i="8"/>
  <c r="B68" i="65" s="1"/>
  <c r="B51" i="8"/>
  <c r="B69" i="65" s="1"/>
  <c r="B52" i="8"/>
  <c r="B70" i="65" s="1"/>
  <c r="B54" i="8"/>
  <c r="B72" i="65" s="1"/>
  <c r="B161" i="28" s="1"/>
  <c r="B55" i="8" l="1"/>
  <c r="B73" i="65" s="1"/>
  <c r="B2" i="50"/>
  <c r="B2" i="64" s="1"/>
  <c r="B68" i="64" s="1"/>
  <c r="H32" i="17"/>
  <c r="H33" i="17" s="1"/>
  <c r="H35" i="17" s="1"/>
  <c r="H24" i="17"/>
  <c r="H26" i="17" s="1"/>
  <c r="H28" i="17" s="1"/>
  <c r="H11" i="17"/>
  <c r="F11" i="17" s="1"/>
  <c r="B162" i="28" l="1"/>
  <c r="D73" i="65"/>
  <c r="E73" i="65"/>
  <c r="B75" i="50"/>
  <c r="B2" i="22"/>
  <c r="B2" i="24" l="1"/>
  <c r="B2" i="68"/>
  <c r="E70" i="22"/>
  <c r="B33" i="22"/>
  <c r="E71" i="22" l="1"/>
  <c r="E72" i="22"/>
  <c r="B2" i="53"/>
  <c r="B73" i="53" s="1"/>
  <c r="B309" i="68"/>
  <c r="B85" i="68"/>
  <c r="B151" i="68" s="1"/>
  <c r="B229" i="68" s="1"/>
  <c r="E73" i="22"/>
  <c r="D93" i="22"/>
  <c r="I29" i="66" l="1"/>
  <c r="E75" i="22"/>
  <c r="B54" i="66"/>
  <c r="D94" i="22"/>
  <c r="D10" i="40"/>
  <c r="B374" i="68"/>
  <c r="E60" i="19"/>
  <c r="D57" i="19" s="1"/>
  <c r="D59" i="19" s="1"/>
  <c r="F37" i="6"/>
  <c r="G109" i="28" l="1"/>
  <c r="D44" i="65"/>
  <c r="D46" i="65" s="1"/>
  <c r="AI54" i="66"/>
  <c r="I43" i="64"/>
  <c r="I59" i="64"/>
  <c r="H57" i="64" s="1"/>
  <c r="D8" i="19" l="1"/>
  <c r="K93" i="68" s="1"/>
  <c r="L93" i="68" s="1"/>
  <c r="M447" i="2" l="1"/>
  <c r="N447" i="2" l="1"/>
  <c r="X447" i="2" s="1"/>
  <c r="M199" i="2"/>
  <c r="N199" i="2" s="1"/>
  <c r="K19" i="61"/>
  <c r="K18" i="61"/>
  <c r="H316" i="2" l="1"/>
  <c r="X316" i="2" s="1"/>
  <c r="K21" i="61" l="1"/>
  <c r="K22" i="61"/>
  <c r="K20" i="61"/>
  <c r="H29" i="60" s="1"/>
  <c r="T521" i="2" l="1"/>
  <c r="U521" i="2" s="1"/>
  <c r="X521" i="2" s="1"/>
  <c r="M279" i="2"/>
  <c r="N279" i="2" s="1"/>
  <c r="K44" i="61"/>
  <c r="H314" i="2"/>
  <c r="X314" i="2" s="1"/>
  <c r="I12" i="61"/>
  <c r="I11" i="61"/>
  <c r="I10" i="61"/>
  <c r="I9" i="61"/>
  <c r="G322" i="2" s="1"/>
  <c r="I8" i="61"/>
  <c r="G320" i="2" s="1"/>
  <c r="I7" i="61"/>
  <c r="I21" i="60"/>
  <c r="I20" i="60"/>
  <c r="I4" i="60" s="1"/>
  <c r="H279" i="2"/>
  <c r="X279" i="2" l="1"/>
  <c r="I4" i="61"/>
  <c r="S44" i="2"/>
  <c r="T44" i="2" s="1"/>
  <c r="U44" i="2" s="1"/>
  <c r="S39" i="2"/>
  <c r="S109" i="2"/>
  <c r="T109" i="2" s="1"/>
  <c r="U109" i="2" s="1"/>
  <c r="X109" i="2" s="1"/>
  <c r="G304" i="2"/>
  <c r="G4" i="2" s="1"/>
  <c r="G328" i="2"/>
  <c r="H328" i="2" s="1"/>
  <c r="X328" i="2" s="1"/>
  <c r="G315" i="2"/>
  <c r="H315" i="2" s="1"/>
  <c r="X315" i="2" s="1"/>
  <c r="G524" i="2"/>
  <c r="H524" i="2" s="1"/>
  <c r="X524" i="2" s="1"/>
  <c r="T519" i="2"/>
  <c r="U519" i="2" s="1"/>
  <c r="X519" i="2" s="1"/>
  <c r="K14" i="60"/>
  <c r="G29" i="60" s="1"/>
  <c r="K29" i="60" s="1"/>
  <c r="K45" i="61"/>
  <c r="M45" i="61" s="1"/>
  <c r="K20" i="60"/>
  <c r="K21" i="60"/>
  <c r="K8" i="61"/>
  <c r="K7" i="61"/>
  <c r="K9" i="61"/>
  <c r="K10" i="61"/>
  <c r="K11" i="61"/>
  <c r="K12" i="61"/>
  <c r="K8" i="60"/>
  <c r="H199" i="2" s="1"/>
  <c r="K7" i="60"/>
  <c r="K4" i="61" l="1"/>
  <c r="X199" i="2"/>
  <c r="H10" i="16" s="1"/>
  <c r="T39" i="2"/>
  <c r="S4" i="2"/>
  <c r="H28" i="60"/>
  <c r="H30" i="60"/>
  <c r="K5" i="60"/>
  <c r="M28" i="61"/>
  <c r="N45" i="61" s="1"/>
  <c r="M21" i="60"/>
  <c r="M15" i="60"/>
  <c r="H304" i="2"/>
  <c r="X304" i="2" s="1"/>
  <c r="L28" i="60"/>
  <c r="G28" i="60"/>
  <c r="G30" i="60"/>
  <c r="M44" i="2"/>
  <c r="M4" i="2" s="1"/>
  <c r="H320" i="2"/>
  <c r="X320" i="2" s="1"/>
  <c r="H322" i="2"/>
  <c r="X322" i="2" s="1"/>
  <c r="C103" i="19" l="1"/>
  <c r="C104" i="19" s="1"/>
  <c r="U39" i="2"/>
  <c r="T4" i="2"/>
  <c r="G31" i="60"/>
  <c r="I30" i="60"/>
  <c r="K30" i="60" s="1"/>
  <c r="I28" i="60"/>
  <c r="K28" i="60" s="1"/>
  <c r="M28" i="60" s="1"/>
  <c r="H31" i="60"/>
  <c r="N21" i="60"/>
  <c r="H44" i="2"/>
  <c r="N44" i="2"/>
  <c r="O16" i="70" s="1"/>
  <c r="X44" i="2" l="1"/>
  <c r="P16" i="70"/>
  <c r="P17" i="70" s="1"/>
  <c r="X39" i="2"/>
  <c r="U4" i="2"/>
  <c r="L30" i="60" s="1"/>
  <c r="M30" i="60" s="1"/>
  <c r="O28" i="70"/>
  <c r="O17" i="70"/>
  <c r="I31" i="60"/>
  <c r="K31" i="60"/>
  <c r="N4" i="2"/>
  <c r="L29" i="60" s="1"/>
  <c r="AD60" i="2"/>
  <c r="L31" i="60" l="1"/>
  <c r="M29" i="60"/>
  <c r="P28" i="70"/>
  <c r="E52" i="17" l="1"/>
  <c r="E14" i="17"/>
  <c r="G67" i="50" l="1"/>
  <c r="D194" i="19"/>
  <c r="D151" i="19"/>
  <c r="D137" i="19"/>
  <c r="D123" i="19"/>
  <c r="D110" i="19"/>
  <c r="D99" i="19"/>
  <c r="D93" i="19"/>
  <c r="D43" i="19" l="1"/>
  <c r="D16" i="19"/>
  <c r="D26" i="19" s="1"/>
  <c r="D33" i="19" s="1"/>
  <c r="D73" i="19" l="1"/>
  <c r="D56" i="19"/>
  <c r="E23" i="22" l="1"/>
  <c r="E26" i="22" s="1"/>
  <c r="E30" i="22" s="1"/>
  <c r="I47" i="16" l="1"/>
  <c r="H47" i="16" s="1"/>
  <c r="G107" i="17" l="1"/>
  <c r="E107" i="17"/>
  <c r="H105" i="17" l="1"/>
  <c r="H106" i="17"/>
  <c r="F106" i="17"/>
  <c r="F105" i="17"/>
  <c r="D22" i="13"/>
  <c r="D25" i="13" s="1"/>
  <c r="D29" i="13" l="1"/>
  <c r="C22" i="13" l="1"/>
  <c r="C25" i="13" s="1"/>
  <c r="H86" i="53"/>
  <c r="H87" i="53"/>
  <c r="H90" i="53" l="1"/>
  <c r="H104" i="53"/>
  <c r="G100" i="53"/>
  <c r="D100" i="53" l="1"/>
  <c r="H103" i="53"/>
  <c r="H105" i="53" s="1"/>
  <c r="H89" i="53" l="1"/>
  <c r="H91" i="53" s="1"/>
  <c r="E104" i="19"/>
  <c r="D63" i="19" l="1"/>
  <c r="E66" i="19"/>
  <c r="D65" i="19" l="1"/>
  <c r="G119" i="50"/>
  <c r="D103" i="50" s="1"/>
  <c r="G103" i="50" s="1"/>
  <c r="G117" i="50"/>
  <c r="D101" i="50" s="1"/>
  <c r="G101" i="50" s="1"/>
  <c r="G116" i="50"/>
  <c r="D100" i="50" s="1"/>
  <c r="G100" i="50" s="1"/>
  <c r="G115" i="50"/>
  <c r="D99" i="50" s="1"/>
  <c r="G99" i="50" s="1"/>
  <c r="G113" i="50"/>
  <c r="B103" i="50"/>
  <c r="B102" i="50"/>
  <c r="B101" i="50"/>
  <c r="B100" i="50"/>
  <c r="B99" i="50"/>
  <c r="B98" i="50"/>
  <c r="B97" i="50"/>
  <c r="G90" i="50"/>
  <c r="X10" i="66" s="1"/>
  <c r="G72" i="50"/>
  <c r="G64" i="50"/>
  <c r="G37" i="50"/>
  <c r="G24" i="50"/>
  <c r="F68" i="50" l="1"/>
  <c r="F18" i="6"/>
  <c r="Z10" i="66" s="1"/>
  <c r="L37" i="50"/>
  <c r="J37" i="50"/>
  <c r="D97" i="50"/>
  <c r="G52" i="50"/>
  <c r="G55" i="50" s="1"/>
  <c r="G114" i="50"/>
  <c r="D98" i="50" s="1"/>
  <c r="G97" i="50" l="1"/>
  <c r="D104" i="50"/>
  <c r="G120" i="50"/>
  <c r="F17" i="6" s="1"/>
  <c r="E13" i="22" l="1"/>
  <c r="E15" i="22" s="1"/>
  <c r="E19" i="22" l="1"/>
  <c r="E33" i="22" s="1"/>
  <c r="E12" i="6" s="1"/>
  <c r="H75" i="24"/>
  <c r="I75" i="24"/>
  <c r="E34" i="22" l="1"/>
  <c r="F12" i="6" s="1"/>
  <c r="D16" i="13"/>
  <c r="E22" i="13"/>
  <c r="E25" i="13" s="1"/>
  <c r="G39" i="13"/>
  <c r="G57" i="13" l="1"/>
  <c r="H80" i="13" s="1"/>
  <c r="G43" i="13"/>
  <c r="D28" i="13"/>
  <c r="F22" i="13"/>
  <c r="F25" i="13" s="1"/>
  <c r="H121" i="17" l="1"/>
  <c r="G121" i="17"/>
  <c r="D26" i="22" l="1"/>
  <c r="D30" i="22" s="1"/>
  <c r="C33" i="22" l="1"/>
  <c r="D33" i="22" l="1"/>
  <c r="Q10" i="66"/>
  <c r="A33" i="13"/>
  <c r="B33" i="13" l="1"/>
  <c r="A6" i="15"/>
  <c r="C13" i="6"/>
  <c r="C11" i="6"/>
  <c r="C14" i="6"/>
  <c r="D87" i="19" l="1"/>
  <c r="G87" i="19" s="1"/>
  <c r="C182" i="19"/>
  <c r="D131" i="19"/>
  <c r="C185" i="19"/>
  <c r="D185" i="19" s="1"/>
  <c r="C120" i="19"/>
  <c r="D120" i="19" s="1"/>
  <c r="C176" i="19"/>
  <c r="D176" i="19" s="1"/>
  <c r="C169" i="19"/>
  <c r="D169" i="19" s="1"/>
  <c r="C139" i="19"/>
  <c r="D189" i="19" l="1"/>
  <c r="D161" i="19"/>
  <c r="D154" i="19"/>
  <c r="D182" i="19"/>
  <c r="F23" i="50"/>
  <c r="F24" i="50" s="1"/>
  <c r="C78" i="19"/>
  <c r="D78" i="19" s="1"/>
  <c r="G78" i="19" s="1"/>
  <c r="C80" i="19"/>
  <c r="C82" i="19"/>
  <c r="D82" i="19" s="1"/>
  <c r="G82" i="19" s="1"/>
  <c r="C79" i="19"/>
  <c r="D79" i="19" s="1"/>
  <c r="G79" i="19" s="1"/>
  <c r="F50" i="50"/>
  <c r="F70" i="50"/>
  <c r="J73" i="50" s="1"/>
  <c r="G13" i="66"/>
  <c r="D95" i="22" l="1"/>
  <c r="D96" i="22" s="1"/>
  <c r="Y25" i="66"/>
  <c r="B25" i="66" s="1"/>
  <c r="D43" i="7"/>
  <c r="D80" i="19"/>
  <c r="X13" i="66"/>
  <c r="B13" i="66" s="1"/>
  <c r="AI13" i="66" s="1"/>
  <c r="B14" i="66"/>
  <c r="AI14" i="66" s="1"/>
  <c r="F98" i="50"/>
  <c r="E98" i="50" s="1"/>
  <c r="E104" i="50" s="1"/>
  <c r="G80" i="19" l="1"/>
  <c r="K224" i="68"/>
  <c r="L224" i="68" s="1"/>
  <c r="D14" i="65"/>
  <c r="AI25" i="66"/>
  <c r="D101" i="22"/>
  <c r="D103" i="22" s="1"/>
  <c r="F16" i="50"/>
  <c r="F51" i="50" s="1"/>
  <c r="F52" i="50" s="1"/>
  <c r="F55" i="50" s="1"/>
  <c r="G98" i="50"/>
  <c r="F104" i="50"/>
  <c r="F18" i="50" l="1"/>
  <c r="H34" i="24"/>
  <c r="J34" i="24" s="1"/>
  <c r="H33" i="24"/>
  <c r="J33" i="24" s="1"/>
  <c r="E90" i="22"/>
  <c r="D90" i="22"/>
  <c r="I54" i="16" l="1"/>
  <c r="E29" i="8" l="1"/>
  <c r="G29" i="8" s="1"/>
  <c r="F20" i="8"/>
  <c r="F11" i="8"/>
  <c r="G11" i="8" s="1"/>
  <c r="G20" i="8" l="1"/>
  <c r="E67" i="22" l="1"/>
  <c r="E65" i="22" l="1"/>
  <c r="E66" i="22"/>
  <c r="W155" i="17" l="1"/>
  <c r="D114" i="19" l="1"/>
  <c r="H54" i="64"/>
  <c r="V151" i="17" l="1"/>
  <c r="V150" i="17"/>
  <c r="W151" i="17" l="1"/>
  <c r="W150" i="17" l="1"/>
  <c r="E54" i="6" l="1"/>
  <c r="E9" i="7" l="1"/>
  <c r="Y8" i="2" l="1"/>
  <c r="Y4" i="2" s="1"/>
  <c r="C53" i="15" l="1"/>
  <c r="C68" i="15" s="1"/>
  <c r="C69" i="15" s="1"/>
  <c r="D43" i="15"/>
  <c r="C41" i="15"/>
  <c r="D41" i="15" s="1"/>
  <c r="AC8" i="66" s="1"/>
  <c r="C44" i="15"/>
  <c r="D44" i="15" s="1"/>
  <c r="AB8" i="66" s="1"/>
  <c r="AC128" i="2"/>
  <c r="H58" i="64"/>
  <c r="H59" i="64" s="1"/>
  <c r="D141" i="19"/>
  <c r="Q24" i="66" s="1"/>
  <c r="AG8" i="66" l="1"/>
  <c r="D53" i="15"/>
  <c r="D68" i="15" s="1"/>
  <c r="D71" i="15" s="1"/>
  <c r="C54" i="15"/>
  <c r="C65" i="15" s="1"/>
  <c r="AD164" i="2"/>
  <c r="AD165" i="2" s="1"/>
  <c r="E14" i="6"/>
  <c r="Y8" i="66" l="1"/>
  <c r="Y11" i="66" s="1"/>
  <c r="Y59" i="66" s="1"/>
  <c r="O49" i="66"/>
  <c r="B49" i="66" s="1"/>
  <c r="AI49" i="66" s="1"/>
  <c r="D54" i="15"/>
  <c r="D69" i="15" s="1"/>
  <c r="D72" i="15" s="1"/>
  <c r="D73" i="15" s="1"/>
  <c r="AF8" i="66"/>
  <c r="E27" i="6"/>
  <c r="K315" i="68"/>
  <c r="L315" i="68" s="1"/>
  <c r="Q8" i="66"/>
  <c r="Q11" i="66" s="1"/>
  <c r="Q59" i="66" s="1"/>
  <c r="E99" i="53"/>
  <c r="G33" i="24"/>
  <c r="I33" i="24" s="1"/>
  <c r="D65" i="15" l="1"/>
  <c r="D37" i="65"/>
  <c r="G13" i="24" l="1"/>
  <c r="H84" i="50"/>
  <c r="H129" i="17"/>
  <c r="H143" i="17" s="1"/>
  <c r="H149" i="17" s="1"/>
  <c r="H125" i="17"/>
  <c r="G129" i="17"/>
  <c r="G143" i="17" s="1"/>
  <c r="G149" i="17" s="1"/>
  <c r="H17" i="17"/>
  <c r="F17" i="17" s="1"/>
  <c r="B2" i="28"/>
  <c r="B73" i="28" s="1"/>
  <c r="B123" i="28" s="1"/>
  <c r="I63" i="24"/>
  <c r="H63" i="24"/>
  <c r="E96" i="22"/>
  <c r="B34" i="22"/>
  <c r="B26" i="22"/>
  <c r="D199" i="19"/>
  <c r="E14" i="7"/>
  <c r="E31" i="19"/>
  <c r="B145" i="19"/>
  <c r="E98" i="17"/>
  <c r="F96" i="17" s="1"/>
  <c r="H95" i="17"/>
  <c r="H94" i="17"/>
  <c r="H93" i="17"/>
  <c r="H91" i="17"/>
  <c r="H90" i="17"/>
  <c r="H89" i="17"/>
  <c r="G86" i="17"/>
  <c r="H85" i="17"/>
  <c r="H86" i="17" s="1"/>
  <c r="H68" i="17"/>
  <c r="E16" i="17"/>
  <c r="E18" i="17" s="1"/>
  <c r="B43" i="13"/>
  <c r="B56" i="13" s="1"/>
  <c r="B39" i="13"/>
  <c r="B50" i="13" s="1"/>
  <c r="B36" i="13"/>
  <c r="B46" i="13" s="1"/>
  <c r="B28" i="13"/>
  <c r="B25" i="13"/>
  <c r="B22" i="13"/>
  <c r="B19" i="13"/>
  <c r="B3" i="13"/>
  <c r="B3" i="70" s="1"/>
  <c r="B37" i="8"/>
  <c r="B33" i="8"/>
  <c r="F31" i="8"/>
  <c r="G31" i="8" s="1"/>
  <c r="E29" i="7"/>
  <c r="D60" i="6"/>
  <c r="D48" i="6"/>
  <c r="D40" i="6"/>
  <c r="D29" i="6"/>
  <c r="D10" i="66" l="1"/>
  <c r="G123" i="17"/>
  <c r="H85" i="50"/>
  <c r="F66" i="17"/>
  <c r="F88" i="17"/>
  <c r="F59" i="17"/>
  <c r="F67" i="17"/>
  <c r="F89" i="17"/>
  <c r="F60" i="17"/>
  <c r="F68" i="17"/>
  <c r="F90" i="17"/>
  <c r="F62" i="17"/>
  <c r="F63" i="17"/>
  <c r="F65" i="17"/>
  <c r="F61" i="17"/>
  <c r="F69" i="17"/>
  <c r="F91" i="17"/>
  <c r="F71" i="17"/>
  <c r="F72" i="17" s="1"/>
  <c r="F92" i="17"/>
  <c r="F95" i="17"/>
  <c r="F93" i="17"/>
  <c r="F64" i="17"/>
  <c r="F94" i="17"/>
  <c r="B3" i="17"/>
  <c r="B77" i="17" s="1"/>
  <c r="B3" i="19"/>
  <c r="B71" i="19" s="1"/>
  <c r="B149" i="19" s="1"/>
  <c r="B3" i="16"/>
  <c r="B3" i="15"/>
  <c r="G133" i="17"/>
  <c r="F35" i="8" s="1"/>
  <c r="G35" i="8" s="1"/>
  <c r="E18" i="7"/>
  <c r="B53" i="13"/>
  <c r="B57" i="13"/>
  <c r="H63" i="17"/>
  <c r="H66" i="17"/>
  <c r="E33" i="8"/>
  <c r="F13" i="8"/>
  <c r="F15" i="8" s="1"/>
  <c r="G13" i="8"/>
  <c r="G15" i="8" s="1"/>
  <c r="H61" i="17"/>
  <c r="H59" i="17"/>
  <c r="H62" i="17"/>
  <c r="H67" i="17"/>
  <c r="H65" i="17"/>
  <c r="J22" i="24"/>
  <c r="B3" i="28"/>
  <c r="H152" i="17"/>
  <c r="H20" i="13"/>
  <c r="H22" i="13" s="1"/>
  <c r="H25" i="13" s="1"/>
  <c r="B1" i="13"/>
  <c r="H92" i="17"/>
  <c r="H69" i="17"/>
  <c r="H60" i="17"/>
  <c r="H64" i="17"/>
  <c r="K10" i="66"/>
  <c r="E97" i="19"/>
  <c r="E13" i="7" s="1"/>
  <c r="E86" i="17"/>
  <c r="E15" i="7"/>
  <c r="D62" i="6"/>
  <c r="D64" i="6" s="1"/>
  <c r="H10" i="66" l="1"/>
  <c r="F57" i="6"/>
  <c r="F60" i="6" s="1"/>
  <c r="B57" i="28"/>
  <c r="B74" i="28"/>
  <c r="B124" i="28" s="1"/>
  <c r="G11" i="66"/>
  <c r="G44" i="66" s="1"/>
  <c r="G125" i="17"/>
  <c r="F19" i="8"/>
  <c r="E18" i="40"/>
  <c r="F98" i="17"/>
  <c r="B3" i="50"/>
  <c r="B3" i="64" s="1"/>
  <c r="B146" i="19"/>
  <c r="H16" i="17"/>
  <c r="F16" i="17" s="1"/>
  <c r="F18" i="17" s="1"/>
  <c r="C8" i="66" s="1"/>
  <c r="E100" i="53"/>
  <c r="C27" i="6"/>
  <c r="B1" i="19"/>
  <c r="B69" i="19" s="1"/>
  <c r="B147" i="19" s="1"/>
  <c r="B1" i="16"/>
  <c r="B1" i="15"/>
  <c r="B1" i="17"/>
  <c r="B75" i="17" s="1"/>
  <c r="D34" i="22"/>
  <c r="E37" i="8"/>
  <c r="F113" i="28" s="1"/>
  <c r="G113" i="28" s="1"/>
  <c r="G115" i="28" s="1"/>
  <c r="J13" i="24"/>
  <c r="E68" i="22"/>
  <c r="E69" i="22" s="1"/>
  <c r="E29" i="13"/>
  <c r="E37" i="6"/>
  <c r="E133" i="19"/>
  <c r="E16" i="7" s="1"/>
  <c r="AH10" i="66"/>
  <c r="E12" i="19"/>
  <c r="E8" i="7" s="1"/>
  <c r="E10" i="7" s="1"/>
  <c r="B1" i="28"/>
  <c r="B72" i="28" s="1"/>
  <c r="B122" i="28" s="1"/>
  <c r="G98" i="17"/>
  <c r="H96" i="17" s="1"/>
  <c r="H88" i="17"/>
  <c r="F39" i="13"/>
  <c r="F43" i="13" s="1"/>
  <c r="H98" i="17" l="1"/>
  <c r="F109" i="28"/>
  <c r="F115" i="28" s="1"/>
  <c r="A30" i="15"/>
  <c r="C16" i="6"/>
  <c r="B6" i="15"/>
  <c r="J24" i="24"/>
  <c r="F25" i="6"/>
  <c r="G106" i="28" s="1"/>
  <c r="G107" i="28" s="1"/>
  <c r="G117" i="28" s="1"/>
  <c r="G119" i="28" s="1"/>
  <c r="E10" i="40"/>
  <c r="G59" i="66"/>
  <c r="D8" i="66"/>
  <c r="D11" i="66" s="1"/>
  <c r="D59" i="66" s="1"/>
  <c r="G111" i="17"/>
  <c r="F57" i="13"/>
  <c r="G19" i="8"/>
  <c r="G21" i="8" s="1"/>
  <c r="G23" i="8" s="1"/>
  <c r="F21" i="8"/>
  <c r="F23" i="8" s="1"/>
  <c r="H18" i="17"/>
  <c r="C10" i="66" s="1"/>
  <c r="C11" i="66" s="1"/>
  <c r="C59" i="66" s="1"/>
  <c r="B76" i="50"/>
  <c r="H10" i="17"/>
  <c r="F10" i="17" s="1"/>
  <c r="B1" i="50"/>
  <c r="B74" i="50" s="1"/>
  <c r="B144" i="19"/>
  <c r="B3" i="22"/>
  <c r="B69" i="64"/>
  <c r="E15" i="40"/>
  <c r="E4" i="40"/>
  <c r="H98" i="53"/>
  <c r="G73" i="24"/>
  <c r="J73" i="24" s="1"/>
  <c r="J75" i="24" s="1"/>
  <c r="E16" i="13"/>
  <c r="E28" i="13" s="1"/>
  <c r="H15" i="24"/>
  <c r="J15" i="24"/>
  <c r="G13" i="40"/>
  <c r="F16" i="13"/>
  <c r="F28" i="13" s="1"/>
  <c r="F29" i="13"/>
  <c r="F56" i="13"/>
  <c r="E83" i="22" l="1"/>
  <c r="I10" i="66" s="1"/>
  <c r="A47" i="15"/>
  <c r="B30" i="15"/>
  <c r="F29" i="6"/>
  <c r="C28" i="6"/>
  <c r="E46" i="6"/>
  <c r="E48" i="6" s="1"/>
  <c r="J25" i="24"/>
  <c r="F57" i="17"/>
  <c r="B1" i="64"/>
  <c r="B67" i="64" s="1"/>
  <c r="B3" i="24"/>
  <c r="B3" i="68"/>
  <c r="E21" i="40"/>
  <c r="E25" i="40" s="1"/>
  <c r="G75" i="24"/>
  <c r="C29" i="13"/>
  <c r="C16" i="13"/>
  <c r="C28" i="13" s="1"/>
  <c r="H28" i="13" s="1"/>
  <c r="E10" i="6" s="1"/>
  <c r="E142" i="19"/>
  <c r="E17" i="7" s="1"/>
  <c r="E19" i="7" s="1"/>
  <c r="F48" i="6" l="1"/>
  <c r="F62" i="6" s="1"/>
  <c r="E6" i="40"/>
  <c r="H31" i="24"/>
  <c r="B47" i="15"/>
  <c r="A5" i="16"/>
  <c r="A53" i="16" s="1"/>
  <c r="A67" i="16" s="1"/>
  <c r="I8" i="66"/>
  <c r="H57" i="17"/>
  <c r="B1" i="22"/>
  <c r="B1" i="24" s="1"/>
  <c r="B1" i="53" s="1"/>
  <c r="B72" i="53" s="1"/>
  <c r="F107" i="17"/>
  <c r="H107" i="17"/>
  <c r="B3" i="53"/>
  <c r="B74" i="53" s="1"/>
  <c r="B86" i="68"/>
  <c r="B152" i="68" s="1"/>
  <c r="B230" i="68" s="1"/>
  <c r="B310" i="68"/>
  <c r="H29" i="13"/>
  <c r="B5" i="16" l="1"/>
  <c r="J31" i="24"/>
  <c r="J36" i="24" s="1"/>
  <c r="H36" i="24"/>
  <c r="A22" i="16"/>
  <c r="B22" i="16" s="1"/>
  <c r="A45" i="16"/>
  <c r="B45" i="16" s="1"/>
  <c r="N10" i="66"/>
  <c r="AI10" i="66" s="1"/>
  <c r="F10" i="6"/>
  <c r="C24" i="6"/>
  <c r="E21" i="7"/>
  <c r="E23" i="7" s="1"/>
  <c r="E31" i="7" s="1"/>
  <c r="N8" i="66"/>
  <c r="G90" i="22"/>
  <c r="I11" i="66"/>
  <c r="G31" i="24"/>
  <c r="F99" i="53"/>
  <c r="D6" i="40"/>
  <c r="B1" i="68"/>
  <c r="B84" i="68" s="1"/>
  <c r="B150" i="68" s="1"/>
  <c r="B228" i="68" s="1"/>
  <c r="A5" i="17"/>
  <c r="E17" i="8" s="1"/>
  <c r="B67" i="16"/>
  <c r="C26" i="6"/>
  <c r="B375" i="68"/>
  <c r="C25" i="6"/>
  <c r="B53" i="16"/>
  <c r="N11" i="66" l="1"/>
  <c r="F19" i="6"/>
  <c r="F31" i="6" s="1"/>
  <c r="E9" i="40"/>
  <c r="E27" i="40" s="1"/>
  <c r="I31" i="24"/>
  <c r="X8" i="66"/>
  <c r="X11" i="66" s="1"/>
  <c r="X59" i="66" s="1"/>
  <c r="H99" i="53"/>
  <c r="H100" i="53" s="1"/>
  <c r="F100" i="53"/>
  <c r="B29" i="66"/>
  <c r="AI29" i="66" s="1"/>
  <c r="B308" i="68"/>
  <c r="B373" i="68" s="1"/>
  <c r="E9" i="8"/>
  <c r="C37" i="6"/>
  <c r="B5" i="17"/>
  <c r="D16" i="65" l="1"/>
  <c r="F38" i="6"/>
  <c r="F40" i="6" s="1"/>
  <c r="A109" i="17"/>
  <c r="A142" i="17" s="1"/>
  <c r="A5" i="70" s="1"/>
  <c r="A36" i="70" l="1"/>
  <c r="B36" i="70" s="1"/>
  <c r="B5" i="70"/>
  <c r="A20" i="70"/>
  <c r="B20" i="70" s="1"/>
  <c r="A49" i="70"/>
  <c r="C57" i="6"/>
  <c r="C44" i="6"/>
  <c r="B142" i="17"/>
  <c r="B109" i="17"/>
  <c r="F64" i="6"/>
  <c r="J3" i="6" s="1"/>
  <c r="C38" i="6"/>
  <c r="B49" i="70" l="1"/>
  <c r="A57" i="70"/>
  <c r="B57" i="70" s="1"/>
  <c r="C54" i="6"/>
  <c r="C55" i="6"/>
  <c r="E7" i="40"/>
  <c r="C56" i="6" l="1"/>
  <c r="C58" i="6" l="1"/>
  <c r="A5" i="19" l="1"/>
  <c r="C8" i="7" s="1"/>
  <c r="B14" i="19" l="1"/>
  <c r="B5" i="19"/>
  <c r="A73" i="19"/>
  <c r="C9" i="7" s="1"/>
  <c r="A93" i="19" l="1"/>
  <c r="B73" i="19"/>
  <c r="C13" i="7" l="1"/>
  <c r="B93" i="19"/>
  <c r="A99" i="19"/>
  <c r="C14" i="7" s="1"/>
  <c r="A110" i="19" l="1"/>
  <c r="C15" i="7" s="1"/>
  <c r="B99" i="19"/>
  <c r="B110" i="19" l="1"/>
  <c r="A123" i="19"/>
  <c r="C16" i="7" s="1"/>
  <c r="B123" i="19" l="1"/>
  <c r="A137" i="19"/>
  <c r="C17" i="7" s="1"/>
  <c r="A151" i="19" l="1"/>
  <c r="C18" i="7" s="1"/>
  <c r="B137" i="19"/>
  <c r="B151" i="19" l="1"/>
  <c r="C28" i="7" l="1"/>
  <c r="C26" i="7"/>
  <c r="A78" i="50"/>
  <c r="C18" i="6"/>
  <c r="C17" i="6"/>
  <c r="B194" i="19"/>
  <c r="A123" i="50" l="1"/>
  <c r="B78" i="50"/>
  <c r="A5" i="64" l="1"/>
  <c r="B5" i="64" s="1"/>
  <c r="B123" i="50"/>
  <c r="A71" i="64" l="1"/>
  <c r="A5" i="22"/>
  <c r="B141" i="19" s="1"/>
  <c r="B151" i="17"/>
  <c r="B117" i="19"/>
  <c r="B71" i="64"/>
  <c r="B150" i="17"/>
  <c r="B116" i="19"/>
  <c r="B115" i="19"/>
  <c r="A5" i="68" l="1"/>
  <c r="B39" i="15" s="1"/>
  <c r="C46" i="6"/>
  <c r="C52" i="6"/>
  <c r="C12" i="6"/>
  <c r="B127" i="19"/>
  <c r="B57" i="22"/>
  <c r="B5" i="22"/>
  <c r="B172" i="19" l="1"/>
  <c r="B86" i="19"/>
  <c r="B65" i="70"/>
  <c r="B60" i="70"/>
  <c r="B160" i="19"/>
  <c r="B157" i="19"/>
  <c r="B188" i="19"/>
  <c r="B130" i="19"/>
  <c r="B184" i="19"/>
  <c r="B119" i="19"/>
  <c r="B181" i="19"/>
  <c r="B113" i="19"/>
  <c r="B175" i="19"/>
  <c r="B168" i="19"/>
  <c r="B163" i="19"/>
  <c r="B154" i="19"/>
  <c r="B16" i="15"/>
  <c r="B11" i="15"/>
  <c r="B102" i="19"/>
  <c r="B14" i="16"/>
  <c r="B9" i="16"/>
  <c r="A5" i="24"/>
  <c r="B8" i="19"/>
  <c r="A88" i="68"/>
  <c r="A232" i="68" s="1"/>
  <c r="B232" i="68" s="1"/>
  <c r="B5" i="68"/>
  <c r="A154" i="68" l="1"/>
  <c r="A312" i="68" s="1"/>
  <c r="B88" i="68"/>
  <c r="B312" i="68" l="1"/>
  <c r="B377" i="68" s="1"/>
  <c r="A409" i="68"/>
  <c r="B154" i="68"/>
  <c r="B409" i="68" l="1"/>
  <c r="A5" i="53" l="1"/>
  <c r="B5" i="24"/>
  <c r="A109" i="53" l="1"/>
  <c r="A76" i="53"/>
  <c r="B76" i="53" s="1"/>
  <c r="B5" i="53"/>
  <c r="A91" i="2"/>
  <c r="A66" i="2"/>
  <c r="A20" i="28" l="1"/>
  <c r="B20" i="28" s="1"/>
  <c r="B109" i="53"/>
  <c r="AB344" i="2"/>
  <c r="AB343" i="2" s="1"/>
  <c r="P18" i="16" l="1"/>
  <c r="O18" i="16"/>
  <c r="F72" i="50"/>
  <c r="E18" i="6" s="1"/>
  <c r="AB608" i="2"/>
  <c r="A23" i="28"/>
  <c r="K73" i="50" l="1"/>
  <c r="L73" i="50" s="1"/>
  <c r="J28" i="13"/>
  <c r="K28" i="13" s="1"/>
  <c r="A26" i="28"/>
  <c r="A29" i="28" s="1"/>
  <c r="A59" i="28" s="1"/>
  <c r="B23" i="28"/>
  <c r="B59" i="28" l="1"/>
  <c r="A76" i="28"/>
  <c r="B29" i="28"/>
  <c r="B26" i="28"/>
  <c r="B76" i="28" l="1"/>
  <c r="A89" i="28"/>
  <c r="G86" i="53"/>
  <c r="B89" i="28" l="1"/>
  <c r="A94" i="28"/>
  <c r="B94" i="28" l="1"/>
  <c r="A126" i="28"/>
  <c r="B126" i="28" s="1"/>
  <c r="E3" i="40"/>
  <c r="J27" i="24"/>
  <c r="J28" i="24" s="1"/>
  <c r="E28" i="40" l="1"/>
  <c r="F66" i="6"/>
  <c r="E22" i="40"/>
  <c r="Z8" i="66" l="1"/>
  <c r="Z11" i="66" s="1"/>
  <c r="D19" i="6"/>
  <c r="D31" i="6" s="1"/>
  <c r="Z46" i="66" l="1"/>
  <c r="B46" i="66" s="1"/>
  <c r="AI46" i="66" l="1"/>
  <c r="D32" i="65"/>
  <c r="Z59" i="66"/>
  <c r="AF11" i="66" l="1"/>
  <c r="AG11" i="66"/>
  <c r="D103" i="19"/>
  <c r="D104" i="19" s="1"/>
  <c r="D14" i="7" s="1"/>
  <c r="D97" i="19"/>
  <c r="D13" i="7" s="1"/>
  <c r="H13" i="7" s="1"/>
  <c r="D139" i="19"/>
  <c r="J23" i="13" s="1"/>
  <c r="K23" i="13" s="1"/>
  <c r="C76" i="19"/>
  <c r="D76" i="19" s="1"/>
  <c r="G76" i="19" s="1"/>
  <c r="C127" i="19"/>
  <c r="D125" i="19"/>
  <c r="AB11" i="66"/>
  <c r="H57" i="16"/>
  <c r="I57" i="16" s="1"/>
  <c r="D56" i="65" s="1"/>
  <c r="C77" i="19"/>
  <c r="H56" i="16"/>
  <c r="C179" i="19"/>
  <c r="D179" i="19" s="1"/>
  <c r="C128" i="19"/>
  <c r="D128" i="19" s="1"/>
  <c r="C129" i="19"/>
  <c r="D129" i="19" s="1"/>
  <c r="C117" i="19"/>
  <c r="D117" i="19" s="1"/>
  <c r="C140" i="19"/>
  <c r="C84" i="19"/>
  <c r="D88" i="19"/>
  <c r="C115" i="19"/>
  <c r="C116" i="19"/>
  <c r="D116" i="19" s="1"/>
  <c r="G88" i="19" l="1"/>
  <c r="K225" i="68"/>
  <c r="L225" i="68" s="1"/>
  <c r="C121" i="19"/>
  <c r="F14" i="7"/>
  <c r="H14" i="7"/>
  <c r="H60" i="16"/>
  <c r="F13" i="7"/>
  <c r="D115" i="19"/>
  <c r="D121" i="19" s="1"/>
  <c r="C142" i="19"/>
  <c r="D140" i="19"/>
  <c r="J51" i="13" s="1"/>
  <c r="D127" i="19"/>
  <c r="D133" i="19" s="1"/>
  <c r="D16" i="7" s="1"/>
  <c r="F16" i="7" s="1"/>
  <c r="C133" i="19"/>
  <c r="I56" i="16"/>
  <c r="I60" i="16" s="1"/>
  <c r="AH8" i="66" s="1"/>
  <c r="AH11" i="66" s="1"/>
  <c r="D18" i="40"/>
  <c r="R11" i="66"/>
  <c r="R42" i="66" s="1"/>
  <c r="AB39" i="66"/>
  <c r="AB59" i="66" s="1"/>
  <c r="H42" i="64"/>
  <c r="H43" i="64" s="1"/>
  <c r="C90" i="19"/>
  <c r="D77" i="19"/>
  <c r="G77" i="19" s="1"/>
  <c r="AG40" i="66"/>
  <c r="AG59" i="66" s="1"/>
  <c r="AF40" i="66"/>
  <c r="AF59" i="66" s="1"/>
  <c r="N24" i="66"/>
  <c r="H70" i="16"/>
  <c r="H16" i="7" l="1"/>
  <c r="E56" i="6"/>
  <c r="E58" i="6"/>
  <c r="D142" i="19"/>
  <c r="D17" i="7" s="1"/>
  <c r="D15" i="7"/>
  <c r="D90" i="19"/>
  <c r="D9" i="7" s="1"/>
  <c r="D55" i="65"/>
  <c r="D58" i="65" s="1"/>
  <c r="L51" i="53"/>
  <c r="M51" i="53" s="1"/>
  <c r="N59" i="66"/>
  <c r="V8" i="66"/>
  <c r="V11" i="66" s="1"/>
  <c r="V15" i="66" s="1"/>
  <c r="W15" i="66" s="1"/>
  <c r="H12" i="64"/>
  <c r="D46" i="19"/>
  <c r="D58" i="19" s="1"/>
  <c r="D60" i="19" s="1"/>
  <c r="K301" i="68"/>
  <c r="L301" i="68" s="1"/>
  <c r="AC11" i="66"/>
  <c r="AC38" i="66" s="1"/>
  <c r="B38" i="66" s="1"/>
  <c r="D24" i="65" s="1"/>
  <c r="E51" i="13"/>
  <c r="I70" i="16"/>
  <c r="E26" i="6" s="1"/>
  <c r="G26" i="24" s="1"/>
  <c r="I26" i="24" s="1"/>
  <c r="U8" i="66"/>
  <c r="U11" i="66" s="1"/>
  <c r="U52" i="66" s="1"/>
  <c r="B52" i="66" s="1"/>
  <c r="G27" i="24"/>
  <c r="I27" i="24" s="1"/>
  <c r="E25" i="6"/>
  <c r="AH58" i="66"/>
  <c r="B39" i="66"/>
  <c r="F9" i="7" l="1"/>
  <c r="H15" i="7"/>
  <c r="F15" i="7"/>
  <c r="F17" i="7"/>
  <c r="H17" i="7"/>
  <c r="H9" i="7"/>
  <c r="K51" i="13"/>
  <c r="E53" i="13"/>
  <c r="E56" i="13" s="1"/>
  <c r="E11" i="6" s="1"/>
  <c r="E19" i="6" s="1"/>
  <c r="G22" i="24"/>
  <c r="F106" i="28"/>
  <c r="F107" i="28" s="1"/>
  <c r="H51" i="13"/>
  <c r="H53" i="13" s="1"/>
  <c r="H56" i="13" s="1"/>
  <c r="L56" i="13" s="1"/>
  <c r="G35" i="24"/>
  <c r="I35" i="24" s="1"/>
  <c r="AI39" i="66"/>
  <c r="AC59" i="66"/>
  <c r="AI38" i="66"/>
  <c r="O24" i="66"/>
  <c r="B24" i="66" s="1"/>
  <c r="U59" i="66"/>
  <c r="G25" i="24"/>
  <c r="I25" i="24" s="1"/>
  <c r="L8" i="66"/>
  <c r="L11" i="66" s="1"/>
  <c r="K8" i="66"/>
  <c r="K11" i="66" s="1"/>
  <c r="V59" i="66"/>
  <c r="B15" i="66"/>
  <c r="AI15" i="66" s="1"/>
  <c r="R59" i="66"/>
  <c r="D25" i="65"/>
  <c r="B58" i="66"/>
  <c r="AI58" i="66" s="1"/>
  <c r="W51" i="66"/>
  <c r="B51" i="66" s="1"/>
  <c r="I22" i="24" l="1"/>
  <c r="L43" i="66"/>
  <c r="B43" i="66" s="1"/>
  <c r="K42" i="66"/>
  <c r="B42" i="66" s="1"/>
  <c r="K56" i="13"/>
  <c r="G81" i="13"/>
  <c r="F117" i="28"/>
  <c r="F119" i="28" s="1"/>
  <c r="AI51" i="66"/>
  <c r="D39" i="65"/>
  <c r="AI24" i="66"/>
  <c r="O8" i="66"/>
  <c r="O11" i="66" s="1"/>
  <c r="O59" i="66" s="1"/>
  <c r="D40" i="65"/>
  <c r="AI52" i="66"/>
  <c r="W59" i="66"/>
  <c r="AH59" i="66"/>
  <c r="I13" i="24"/>
  <c r="I15" i="24" s="1"/>
  <c r="G61" i="24"/>
  <c r="G63" i="24" s="1"/>
  <c r="G15" i="24"/>
  <c r="L59" i="66" l="1"/>
  <c r="K59" i="66"/>
  <c r="AI42" i="66"/>
  <c r="D28" i="65"/>
  <c r="AI43" i="66"/>
  <c r="D29" i="65"/>
  <c r="D41" i="65"/>
  <c r="D10" i="65"/>
  <c r="J61" i="24"/>
  <c r="J63" i="24" s="1"/>
  <c r="C177" i="19" l="1"/>
  <c r="D177" i="19" l="1"/>
  <c r="H48" i="16"/>
  <c r="I48" i="16" l="1"/>
  <c r="I51" i="16" s="1"/>
  <c r="H51" i="16"/>
  <c r="D18" i="65"/>
  <c r="AA30" i="66"/>
  <c r="B30" i="66" s="1"/>
  <c r="AI30" i="66" s="1"/>
  <c r="I10" i="16"/>
  <c r="I11" i="16"/>
  <c r="I12" i="16" l="1"/>
  <c r="G87" i="53"/>
  <c r="E49" i="7" l="1"/>
  <c r="E48" i="7" l="1"/>
  <c r="E12" i="40"/>
  <c r="E24" i="40" s="1"/>
  <c r="E45" i="7"/>
  <c r="E51" i="7"/>
  <c r="F30" i="8" l="1"/>
  <c r="F33" i="8" s="1"/>
  <c r="J33" i="8" s="1"/>
  <c r="G30" i="8" l="1"/>
  <c r="G33" i="8" s="1"/>
  <c r="G131" i="17"/>
  <c r="H13" i="40" l="1"/>
  <c r="E13" i="40" s="1"/>
  <c r="E11" i="66" l="1"/>
  <c r="E59" i="66" s="1"/>
  <c r="J42" i="16"/>
  <c r="D49" i="7" l="1"/>
  <c r="G104" i="50" l="1"/>
  <c r="I104" i="50" l="1"/>
  <c r="H303" i="2" l="1"/>
  <c r="X303" i="2" s="1"/>
  <c r="C9" i="19" l="1"/>
  <c r="C12" i="19" l="1"/>
  <c r="C36" i="19" s="1"/>
  <c r="D36" i="19" s="1"/>
  <c r="H9" i="19"/>
  <c r="D9" i="19"/>
  <c r="D12" i="19" s="1"/>
  <c r="D8" i="7" s="1"/>
  <c r="F8" i="7" l="1"/>
  <c r="H8" i="7"/>
  <c r="C40" i="19"/>
  <c r="D10" i="7"/>
  <c r="D15" i="40"/>
  <c r="H10" i="7" l="1"/>
  <c r="D21" i="40"/>
  <c r="D25" i="40" l="1"/>
  <c r="H60" i="69" l="1"/>
  <c r="F478" i="2" l="1"/>
  <c r="H478" i="2" s="1"/>
  <c r="X478" i="2" s="1"/>
  <c r="F477" i="2"/>
  <c r="H477" i="2" l="1"/>
  <c r="X477" i="2" s="1"/>
  <c r="C165" i="19" l="1"/>
  <c r="I45" i="7" l="1"/>
  <c r="AC302" i="2"/>
  <c r="AD302" i="2" s="1"/>
  <c r="D165" i="19"/>
  <c r="D190" i="19" s="1"/>
  <c r="D18" i="7" s="1"/>
  <c r="H18" i="7" s="1"/>
  <c r="H19" i="7" s="1"/>
  <c r="H24" i="7" s="1"/>
  <c r="C190" i="19"/>
  <c r="F18" i="7" l="1"/>
  <c r="D19" i="7"/>
  <c r="D21" i="7" s="1"/>
  <c r="D9" i="40" l="1"/>
  <c r="D23" i="7"/>
  <c r="H23" i="7" s="1"/>
  <c r="D31" i="7" l="1"/>
  <c r="H31" i="7" s="1"/>
  <c r="F28" i="50"/>
  <c r="F36" i="28"/>
  <c r="H36" i="28" s="1"/>
  <c r="D27" i="40"/>
  <c r="F42" i="50" l="1"/>
  <c r="K36" i="50"/>
  <c r="F46" i="50"/>
  <c r="F43" i="50"/>
  <c r="F45" i="50"/>
  <c r="F44" i="50"/>
  <c r="K32" i="50"/>
  <c r="F30" i="50"/>
  <c r="F37" i="50" s="1"/>
  <c r="D45" i="7"/>
  <c r="F128" i="50"/>
  <c r="F130" i="50" s="1"/>
  <c r="D48" i="7" s="1"/>
  <c r="D12" i="40"/>
  <c r="D24" i="40" s="1"/>
  <c r="F41" i="28" s="1"/>
  <c r="H41" i="28" s="1"/>
  <c r="G132" i="17"/>
  <c r="H45" i="7" l="1"/>
  <c r="J45" i="7" s="1"/>
  <c r="I37" i="50"/>
  <c r="K37" i="50"/>
  <c r="F34" i="8"/>
  <c r="G134" i="17"/>
  <c r="G112" i="17" s="1"/>
  <c r="F45" i="7"/>
  <c r="B9" i="66"/>
  <c r="AD303" i="2"/>
  <c r="AD304" i="2" s="1"/>
  <c r="F47" i="50"/>
  <c r="G113" i="17" l="1"/>
  <c r="E38" i="6" s="1"/>
  <c r="E40" i="6" s="1"/>
  <c r="F9" i="66"/>
  <c r="F8" i="66" s="1"/>
  <c r="B11" i="66"/>
  <c r="B20" i="66" s="1"/>
  <c r="G34" i="8"/>
  <c r="G37" i="8" s="1"/>
  <c r="I13" i="40" s="1"/>
  <c r="D13" i="40" s="1"/>
  <c r="F37" i="28" s="1"/>
  <c r="H37" i="28" s="1"/>
  <c r="F37" i="8"/>
  <c r="D7" i="40" l="1"/>
  <c r="F35" i="28" s="1"/>
  <c r="H35" i="28" s="1"/>
  <c r="D8" i="65"/>
  <c r="B22" i="66"/>
  <c r="D20" i="65" l="1"/>
  <c r="AA8" i="65"/>
  <c r="F265" i="2"/>
  <c r="H265" i="2" s="1"/>
  <c r="H221" i="69"/>
  <c r="N18" i="16" l="1"/>
  <c r="X265" i="2"/>
  <c r="Q18" i="16" s="1"/>
  <c r="Q19" i="16" s="1"/>
  <c r="F194" i="2"/>
  <c r="H194" i="2" l="1"/>
  <c r="X194" i="2" s="1"/>
  <c r="H15" i="16"/>
  <c r="I15" i="16" s="1"/>
  <c r="H17" i="16" l="1"/>
  <c r="C40" i="15" l="1"/>
  <c r="I17" i="16"/>
  <c r="D45" i="19"/>
  <c r="D64" i="19" s="1"/>
  <c r="D66" i="19" s="1"/>
  <c r="G90" i="53"/>
  <c r="G91" i="53" s="1"/>
  <c r="C25" i="16"/>
  <c r="D40" i="15" l="1"/>
  <c r="D25" i="16"/>
  <c r="C31" i="16"/>
  <c r="E24" i="6"/>
  <c r="AA8" i="66"/>
  <c r="D16" i="40"/>
  <c r="F38" i="28" s="1"/>
  <c r="H38" i="28" s="1"/>
  <c r="AE8" i="66" l="1"/>
  <c r="AE11" i="66" s="1"/>
  <c r="AE40" i="66" s="1"/>
  <c r="AA11" i="66"/>
  <c r="G24" i="24"/>
  <c r="G28" i="24" s="1"/>
  <c r="L49" i="53"/>
  <c r="M49" i="53" s="1"/>
  <c r="D31" i="16"/>
  <c r="J25" i="16"/>
  <c r="J31" i="16" s="1"/>
  <c r="AE59" i="66" l="1"/>
  <c r="I24" i="24"/>
  <c r="I28" i="24" s="1"/>
  <c r="AA36" i="66"/>
  <c r="B36" i="66" s="1"/>
  <c r="AA59" i="66" l="1"/>
  <c r="D23" i="65"/>
  <c r="AI36" i="66"/>
  <c r="N19" i="16" l="1"/>
  <c r="O19" i="16"/>
  <c r="P19" i="16"/>
  <c r="P34" i="16"/>
  <c r="F269" i="69"/>
  <c r="H269" i="69" l="1"/>
  <c r="F26" i="2" l="1"/>
  <c r="H26" i="2" l="1"/>
  <c r="X26" i="2" s="1"/>
  <c r="G151" i="17" l="1"/>
  <c r="G152" i="17" s="1"/>
  <c r="E57" i="6" l="1"/>
  <c r="H8" i="66"/>
  <c r="H11" i="66" l="1"/>
  <c r="L52" i="53"/>
  <c r="M52" i="53" s="1"/>
  <c r="H44" i="66" l="1"/>
  <c r="B44" i="66" s="1"/>
  <c r="H59" i="66" l="1"/>
  <c r="AI44" i="66"/>
  <c r="D30" i="65"/>
  <c r="H277" i="69"/>
  <c r="F31" i="2"/>
  <c r="H31" i="2" s="1"/>
  <c r="X31" i="2" s="1"/>
  <c r="F276" i="69"/>
  <c r="H276" i="69" l="1"/>
  <c r="H1" i="69" s="1"/>
  <c r="F1" i="69"/>
  <c r="I1" i="69" s="1"/>
  <c r="F273" i="2"/>
  <c r="H273" i="2" s="1"/>
  <c r="N16" i="70"/>
  <c r="N28" i="70" s="1"/>
  <c r="X273" i="2" l="1"/>
  <c r="C39" i="15" s="1"/>
  <c r="C45" i="15" s="1"/>
  <c r="H4" i="2"/>
  <c r="H3" i="2" s="1"/>
  <c r="I3" i="2" s="1"/>
  <c r="N17" i="70"/>
  <c r="Q16" i="70"/>
  <c r="Q17" i="70" s="1"/>
  <c r="F4" i="2"/>
  <c r="H11" i="70"/>
  <c r="AC301" i="2" l="1"/>
  <c r="AC303" i="2" s="1"/>
  <c r="X4" i="2"/>
  <c r="X2" i="2" s="1"/>
  <c r="D39" i="15"/>
  <c r="H16" i="70"/>
  <c r="I11" i="70"/>
  <c r="I16" i="70" s="1"/>
  <c r="D45" i="15" l="1"/>
  <c r="E28" i="6" s="1"/>
  <c r="L50" i="53" s="1"/>
  <c r="M50" i="53" s="1"/>
  <c r="K395" i="68"/>
  <c r="L395" i="68" s="1"/>
  <c r="AD8" i="66"/>
  <c r="AD11" i="66" s="1"/>
  <c r="AD40" i="66" s="1"/>
  <c r="B40" i="66" s="1"/>
  <c r="D19" i="40"/>
  <c r="F39" i="28" s="1"/>
  <c r="H39" i="28" s="1"/>
  <c r="E55" i="6"/>
  <c r="J8" i="66"/>
  <c r="E29" i="6" l="1"/>
  <c r="E31" i="6" s="1"/>
  <c r="AI8" i="66"/>
  <c r="AI11" i="66" s="1"/>
  <c r="J11" i="66"/>
  <c r="E60" i="6"/>
  <c r="G34" i="24"/>
  <c r="AD59" i="66"/>
  <c r="AI40" i="66"/>
  <c r="D26" i="65"/>
  <c r="D3" i="40" l="1"/>
  <c r="J41" i="66"/>
  <c r="B41" i="66" s="1"/>
  <c r="E62" i="6"/>
  <c r="E64" i="6" s="1"/>
  <c r="I3" i="6" s="1"/>
  <c r="D4" i="40"/>
  <c r="G36" i="24"/>
  <c r="I34" i="24"/>
  <c r="I36" i="24" s="1"/>
  <c r="D28" i="40"/>
  <c r="F42" i="28" s="1"/>
  <c r="H42" i="28" s="1"/>
  <c r="D22" i="40" l="1"/>
  <c r="F40" i="28" s="1"/>
  <c r="H40" i="28" s="1"/>
  <c r="AI41" i="66"/>
  <c r="AI59" i="66" s="1"/>
  <c r="D27" i="65"/>
  <c r="D31" i="65" s="1"/>
  <c r="D33" i="65" s="1"/>
  <c r="D48" i="65" s="1"/>
  <c r="D50" i="65" s="1"/>
  <c r="B59" i="66"/>
  <c r="F34" i="28"/>
  <c r="H34" i="28" s="1"/>
  <c r="J59" i="66"/>
  <c r="I4" i="6" l="1"/>
  <c r="Z72" i="65"/>
  <c r="L353" i="68"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<sst xmlns="http://schemas.openxmlformats.org/spreadsheetml/2006/main" count="8451" uniqueCount="2918">
  <si>
    <t>Paladion Networks Private Limited</t>
  </si>
  <si>
    <t>Balance Sheet as at 31 March 2025</t>
  </si>
  <si>
    <t>(Amounts are stated in ₹ lakhs, except share and per share data, unless ottherwise stated)</t>
  </si>
  <si>
    <t>BS</t>
  </si>
  <si>
    <t>Cash flow</t>
  </si>
  <si>
    <t>Particulars</t>
  </si>
  <si>
    <t>Notes</t>
  </si>
  <si>
    <t>As at 
31 March 2025</t>
  </si>
  <si>
    <t>As at 
31 March 2024</t>
  </si>
  <si>
    <t>Assets</t>
  </si>
  <si>
    <t xml:space="preserve">Non-current assets </t>
  </si>
  <si>
    <t>Property,plant and equipment</t>
  </si>
  <si>
    <t>Other Intangible assets</t>
  </si>
  <si>
    <t>Right-of-use of assets</t>
  </si>
  <si>
    <t>Intangible assets under development</t>
  </si>
  <si>
    <t>Other intangible assets</t>
  </si>
  <si>
    <t>Financial assets</t>
  </si>
  <si>
    <t>Other financial assets</t>
  </si>
  <si>
    <t>Deferred tax assets (net)</t>
  </si>
  <si>
    <t>Income tax assets (net)</t>
  </si>
  <si>
    <t>Total non-current assets</t>
  </si>
  <si>
    <t>Current assets</t>
  </si>
  <si>
    <t>Investments</t>
  </si>
  <si>
    <t>Trade receivables</t>
  </si>
  <si>
    <t>Cash and cash equivalents</t>
  </si>
  <si>
    <t>Bank balances other than cash and cash equivalents above</t>
  </si>
  <si>
    <t>Other current assets</t>
  </si>
  <si>
    <t>Total current assets</t>
  </si>
  <si>
    <t>Total assets</t>
  </si>
  <si>
    <t>Equity and liabilities</t>
  </si>
  <si>
    <t>Equity</t>
  </si>
  <si>
    <t>Share capital</t>
  </si>
  <si>
    <t>Other equity</t>
  </si>
  <si>
    <t>c) Share application pending allotment</t>
  </si>
  <si>
    <t>Total equity</t>
  </si>
  <si>
    <t>Liabilities</t>
  </si>
  <si>
    <t>Non-current liabilities</t>
  </si>
  <si>
    <t>Employee benefit obligations</t>
  </si>
  <si>
    <t>Financial liabilities</t>
  </si>
  <si>
    <t>Lease liabilities</t>
  </si>
  <si>
    <t>b) Other long-term liabilities</t>
  </si>
  <si>
    <t>Total non-current liabilities</t>
  </si>
  <si>
    <t>Current liabilities</t>
  </si>
  <si>
    <t>Trade payables</t>
  </si>
  <si>
    <t>Total outstanding dues of micro enterprises and small enterprises; and</t>
  </si>
  <si>
    <t>Total outstanding dues of creditors other than micro enterprises and small enterprises</t>
  </si>
  <si>
    <t>Other financial liabilities</t>
  </si>
  <si>
    <t>Other current liabilities</t>
  </si>
  <si>
    <t>d) Income tax liabilities(net)</t>
  </si>
  <si>
    <t>Total current liabilities</t>
  </si>
  <si>
    <t xml:space="preserve">Total liabilities </t>
  </si>
  <si>
    <t xml:space="preserve">Total equity and liabilities </t>
  </si>
  <si>
    <t>Summary of material accounting policies</t>
  </si>
  <si>
    <t>The accompanying notes are an integral part of the financial statements</t>
  </si>
  <si>
    <t>As per our report of even date</t>
  </si>
  <si>
    <r>
      <t xml:space="preserve">For </t>
    </r>
    <r>
      <rPr>
        <b/>
        <sz val="9"/>
        <rFont val="Arial"/>
        <family val="2"/>
      </rPr>
      <t>Walker Chandiok &amp; Co LLP</t>
    </r>
  </si>
  <si>
    <t>For and on behalf of the Board of Directors of</t>
  </si>
  <si>
    <t>Chartered Accountants</t>
  </si>
  <si>
    <t>Firm's Registration No: 001076N/N500013</t>
  </si>
  <si>
    <t>CIN: U72200TN2018FTC120862</t>
  </si>
  <si>
    <t>Shashi Tadwalkar</t>
  </si>
  <si>
    <t>Arvind Jugalkishor Bajaj</t>
  </si>
  <si>
    <t>Partner</t>
  </si>
  <si>
    <t>Director</t>
  </si>
  <si>
    <t xml:space="preserve">DIN : 08051490 </t>
  </si>
  <si>
    <t xml:space="preserve">Date: </t>
  </si>
  <si>
    <t xml:space="preserve"> </t>
  </si>
  <si>
    <t>Legends:</t>
  </si>
  <si>
    <t>Cash Flow Statement for the year ended 31 March 2023</t>
  </si>
  <si>
    <t>a</t>
  </si>
  <si>
    <t>Traced from CY FS</t>
  </si>
  <si>
    <t>b</t>
  </si>
  <si>
    <t>Traced from PY FS</t>
  </si>
  <si>
    <t>e</t>
  </si>
  <si>
    <t>Recomputed</t>
  </si>
  <si>
    <t>Cash Flow</t>
  </si>
  <si>
    <t>Share Capital</t>
  </si>
  <si>
    <t>Securities premium</t>
  </si>
  <si>
    <t>Retained earning</t>
  </si>
  <si>
    <t>Current Year Profit</t>
  </si>
  <si>
    <t>Employee benefit obligations
(Non- Current)</t>
  </si>
  <si>
    <t>Employee benefit obligations
(Current)</t>
  </si>
  <si>
    <t>Property, Plant and Equipment</t>
  </si>
  <si>
    <t>CWIP-Internal Software Development</t>
  </si>
  <si>
    <t>Security deposits 
(Current)</t>
  </si>
  <si>
    <t>Security deposits 
(Non-Current)</t>
  </si>
  <si>
    <t>Deposits with banks
 (Non-Current)</t>
  </si>
  <si>
    <t>Deposits with banks
(Current)</t>
  </si>
  <si>
    <t>Interest accrued on deposits 
(Non-Current)</t>
  </si>
  <si>
    <t>Interest accrued on deposits 
(Current)</t>
  </si>
  <si>
    <t>Deferred tax assets 
(Non-Current)</t>
  </si>
  <si>
    <t>Lease receivable(Non -Current)</t>
  </si>
  <si>
    <t>Advance tax 
(Non-Current)</t>
  </si>
  <si>
    <t>Advance to suppliers
(Current)</t>
  </si>
  <si>
    <t>Loans and advance to employees
(Current)</t>
  </si>
  <si>
    <t>Receivable from related parties</t>
  </si>
  <si>
    <t>Other receivables</t>
  </si>
  <si>
    <t>Balance with government authorities 
(Current)</t>
  </si>
  <si>
    <t>Prepaid expenses
(Current)</t>
  </si>
  <si>
    <t>Cash effect</t>
  </si>
  <si>
    <t>Total</t>
  </si>
  <si>
    <t>Balance 31 March 2025 (Amount in INR)</t>
  </si>
  <si>
    <t>Balance 31 March 2024 (Amount in INR)</t>
  </si>
  <si>
    <t>Change during the year</t>
  </si>
  <si>
    <t>Non Cash adjustments in balance sheet</t>
  </si>
  <si>
    <t>Transfer to Gratuity</t>
  </si>
  <si>
    <t>Tax charge</t>
  </si>
  <si>
    <t>Reclass</t>
  </si>
  <si>
    <t>New leases</t>
  </si>
  <si>
    <t>Transfer of Security Deposit to RoU As prepaid asset</t>
  </si>
  <si>
    <t>Modification of lease</t>
  </si>
  <si>
    <t>Profit Before Tax, prior period and exceptional</t>
  </si>
  <si>
    <t>Exceptional items</t>
  </si>
  <si>
    <t xml:space="preserve">Profit Before Tax, prior period </t>
  </si>
  <si>
    <t>Non-cash items</t>
  </si>
  <si>
    <t>Depreciation and amortization</t>
  </si>
  <si>
    <t>Finance income on financial assets measured at amortised cost</t>
  </si>
  <si>
    <t>Provision for diminushing investments in Subsidiary</t>
  </si>
  <si>
    <t>Interest income on bank deposits</t>
  </si>
  <si>
    <t>Exchange impact</t>
  </si>
  <si>
    <t>Finance cost</t>
  </si>
  <si>
    <t>Provision for doubtful trade receivables(net of reversal/utilisation)</t>
  </si>
  <si>
    <t>Provision / liabilities no longer required written back</t>
  </si>
  <si>
    <t>Gain on sublease/sale of PPE</t>
  </si>
  <si>
    <t>Increase/Decrease in Current Assets and Liabilities</t>
  </si>
  <si>
    <t>Movement of working capital</t>
  </si>
  <si>
    <t>Decrease/(Increase) in trade receivables</t>
  </si>
  <si>
    <t>Decrease/(Increase) in bank balance other than cash and cash equivalent</t>
  </si>
  <si>
    <t xml:space="preserve">Decrease/(Increase) in loans and advances </t>
  </si>
  <si>
    <t>Decrease/(Increase) in Other financial assets</t>
  </si>
  <si>
    <t>Decrease/(Increase) in other assets</t>
  </si>
  <si>
    <t>(Decrease)/Increase in trade payables</t>
  </si>
  <si>
    <t>(Decrease)/Increase in other financial liabilities</t>
  </si>
  <si>
    <t>(Decrease)/Increase in other liabilities</t>
  </si>
  <si>
    <t>(Decrease)/Increase in provisions</t>
  </si>
  <si>
    <t>Tax paid / refund</t>
  </si>
  <si>
    <t>Investing Activities</t>
  </si>
  <si>
    <t xml:space="preserve">Purchase of property, plant and equipment </t>
  </si>
  <si>
    <t>Disposall of PPE</t>
  </si>
  <si>
    <t xml:space="preserve">Interest received on deposits </t>
  </si>
  <si>
    <t>Investment in deposits</t>
  </si>
  <si>
    <t>Financing Activities</t>
  </si>
  <si>
    <t>Repayment of finance lease liability</t>
  </si>
  <si>
    <t>Receipt of finance lease</t>
  </si>
  <si>
    <t>Increase in cash</t>
  </si>
  <si>
    <t>Statement of Profit and Loss for the year ended 31 March 2025</t>
  </si>
  <si>
    <t>For the year ended
31 March 2025</t>
  </si>
  <si>
    <t>For the year ended
31 March 2024</t>
  </si>
  <si>
    <t>Revenue</t>
  </si>
  <si>
    <t>Revenue from contracts with the customers</t>
  </si>
  <si>
    <t>Other Income</t>
  </si>
  <si>
    <t>Total Income</t>
  </si>
  <si>
    <t>Expenses</t>
  </si>
  <si>
    <t>Cost of software packages</t>
  </si>
  <si>
    <t>Technical contract charges</t>
  </si>
  <si>
    <t>Employee benefits expense</t>
  </si>
  <si>
    <t>Finance costs</t>
  </si>
  <si>
    <t>Depreciation and amortisation</t>
  </si>
  <si>
    <t>Other expenses</t>
  </si>
  <si>
    <t>Total expenses</t>
  </si>
  <si>
    <t>Profit / (Loss) before exceptional items and tax</t>
  </si>
  <si>
    <t>Exceptional item</t>
  </si>
  <si>
    <t>(Loss) before tax</t>
  </si>
  <si>
    <t xml:space="preserve">Tax expense </t>
  </si>
  <si>
    <t>Current tax</t>
  </si>
  <si>
    <t xml:space="preserve">Prior year's tax adjustments </t>
  </si>
  <si>
    <t>Deferred tax charge / (credit)</t>
  </si>
  <si>
    <t>(Loss) / Profit for the year after tax</t>
  </si>
  <si>
    <t>Other comprehensive income / (loss)</t>
  </si>
  <si>
    <t>(i) Items that will not be reclassified to profit or loss</t>
  </si>
  <si>
    <t>OCI</t>
  </si>
  <si>
    <t>- Remeasurment of defined benefit plan</t>
  </si>
  <si>
    <t>- Income tax relating to above</t>
  </si>
  <si>
    <t>(ii) Items that will be reclassified to profit or loss</t>
  </si>
  <si>
    <t>-</t>
  </si>
  <si>
    <t>Other comprehensive income / (loss) for the year (net of tax)</t>
  </si>
  <si>
    <t>Total comprehensive (loss) / income for the year (net of tax)</t>
  </si>
  <si>
    <r>
      <t xml:space="preserve">Basic earnings per equity share </t>
    </r>
    <r>
      <rPr>
        <sz val="9"/>
        <rFont val="Arial"/>
        <family val="2"/>
      </rPr>
      <t>(Face value of ₹ 10 each)</t>
    </r>
  </si>
  <si>
    <r>
      <t xml:space="preserve">Diluted Earnings per equity share </t>
    </r>
    <r>
      <rPr>
        <sz val="9"/>
        <rFont val="Arial"/>
        <family val="2"/>
      </rPr>
      <t>(Face value of ₹ 10 each)</t>
    </r>
  </si>
  <si>
    <t>Place: Mumbai</t>
  </si>
  <si>
    <t>Statement of Change in Equity for the year ended 31 March 2025</t>
  </si>
  <si>
    <t>(A) Share capital</t>
  </si>
  <si>
    <t xml:space="preserve">Particulars </t>
  </si>
  <si>
    <t>Note</t>
  </si>
  <si>
    <t>No. of shares</t>
  </si>
  <si>
    <t>Amount</t>
  </si>
  <si>
    <t>Issued, subscribed and fully paid up</t>
  </si>
  <si>
    <t>Equity shares of ₹ 10 each</t>
  </si>
  <si>
    <t>Property and equipment</t>
  </si>
  <si>
    <t>Balance as at 31 March 2023</t>
  </si>
  <si>
    <t>Changes in equity share capital during the year</t>
  </si>
  <si>
    <t>Balance as at 31 March 2024</t>
  </si>
  <si>
    <t>Balance as at 31 March 2025</t>
  </si>
  <si>
    <t>Preference shares of ₹ 10 each</t>
  </si>
  <si>
    <t>(B) Other equity (Refer Note 12)</t>
  </si>
  <si>
    <t>Reserves and Surplus</t>
  </si>
  <si>
    <t>Securities Premium</t>
  </si>
  <si>
    <t xml:space="preserve">Retained earnings </t>
  </si>
  <si>
    <t>Profit for the year</t>
  </si>
  <si>
    <t>Other comprehensive loss</t>
  </si>
  <si>
    <t>Additions during the year</t>
  </si>
  <si>
    <t>This is the Statement of Changes in Equity referred to in our report of even date</t>
  </si>
  <si>
    <t>Statement of Cash Flow for the year ended 31 March 2025</t>
  </si>
  <si>
    <t>Year ended
31 March 2025</t>
  </si>
  <si>
    <t>Year ended
31 March 2024</t>
  </si>
  <si>
    <t>Cash flow from operating activities</t>
  </si>
  <si>
    <t>Profit before tax</t>
  </si>
  <si>
    <t>Adjustments to reconcile loss before tax to net cashflow :</t>
  </si>
  <si>
    <t>Impairmemt of Goodwill</t>
  </si>
  <si>
    <t>Provision for diminution (other than temporary) in value of investments</t>
  </si>
  <si>
    <t>Unrealised exchange impact</t>
  </si>
  <si>
    <t>Finance charges under leases</t>
  </si>
  <si>
    <t>Provision for doubtful trade receivables and advances(net of reversal/utilisation)</t>
  </si>
  <si>
    <t>Gain on sublease</t>
  </si>
  <si>
    <t>Operating profit/(loss) before working capital changes</t>
  </si>
  <si>
    <t>Working Capital Adjustments:</t>
  </si>
  <si>
    <t>Decrease/(Increase) in other financial assets</t>
  </si>
  <si>
    <t>Operating profit after working capital changes</t>
  </si>
  <si>
    <t>Taxes paid (taxes refund received)</t>
  </si>
  <si>
    <t>Net cash generated from operating activities (A)</t>
  </si>
  <si>
    <t>Cash flow from investing activities</t>
  </si>
  <si>
    <t>Proceeds from sale of property,plant and equipment</t>
  </si>
  <si>
    <t xml:space="preserve">Net cash generated/ (used in) investing activities (B) </t>
  </si>
  <si>
    <t>Cash flow from financing activities</t>
  </si>
  <si>
    <t>Payment of finance lease liability</t>
  </si>
  <si>
    <t xml:space="preserve">Net cash used in financing activities (C) </t>
  </si>
  <si>
    <t>Net(decrease) /increase in cash and cash equivalents (A+B+C)</t>
  </si>
  <si>
    <t>Cash and cash equivalents at the beginning of the year</t>
  </si>
  <si>
    <t>Cash and cash equivalents at the end of the year</t>
  </si>
  <si>
    <t>Cash and cash equivalents comprise of :</t>
  </si>
  <si>
    <t>Cash on hand</t>
  </si>
  <si>
    <t>Balance with banks</t>
  </si>
  <si>
    <t>(i) In current accounts</t>
  </si>
  <si>
    <t>(ii) In EEFC accounts</t>
  </si>
  <si>
    <t>(iii) In deposit accounts</t>
  </si>
  <si>
    <t>Cash and cash equivalents as per Note 9 to the financial statements</t>
  </si>
  <si>
    <t xml:space="preserve">Summary of material accounting policies and other explanatory information </t>
  </si>
  <si>
    <t xml:space="preserve">General information </t>
  </si>
  <si>
    <t>Paladion Networks Private Limited (‘the Company’) is a Company incorporated on February 16, 2018 under the provisions of the Companies Act, 2013.The Company is in the business of providing assurance services, compliance services, risk mitigation services, training services, on-site security management and other consultancy services relating to networking and development of software products.</t>
  </si>
  <si>
    <t>Summary of material accounting policies :</t>
  </si>
  <si>
    <t>Basis of preparation and presentation of financial statements</t>
  </si>
  <si>
    <t>The standalone financial statements have been prepared  in all material aspect with an Indian Accounting Standards (Ind AS) notified under Sec 133 of Companies Act 2013 and Companies (accounting standards) Rules, 2015 have been prepared on a  the historical cost basis except for certain financial instruments that are measured at fair values at the end of each reporting period, as explained in the accounting policies below.</t>
  </si>
  <si>
    <t>Monetary amounts are expressed in Indian Rupee (₹) and are rounded off to millions, except for earning per share. Due to rounding off, the numbers presented throughout the document may not add up precisely to the totals and percentages may not precisely reflect the absolute figures.</t>
  </si>
  <si>
    <t>The Company has uniformly applied the accounting policies during the period presented. The Standalone Financial statements correspond to the classification provisions contained in Ind AS 1 "Presentation of financial statement" for clarity various items are aggregated in the statement of profit and loss and balance sheet. These items are disaggregated separately in the notes to the financial statement where applicable.</t>
  </si>
  <si>
    <t>Significant management judgements and estimates</t>
  </si>
  <si>
    <t>The preparation of the financial statements in conformity with generally accepted accounting  requires management to make estimates, judgements and assumptions. These estimates, judgements and assumptions affect the application of accounting policies and the reported amounts of assets and liabilities, the disclosures of contingent liabilities at the date of the financial statements and reported amounts of revenues and expenses during the period. Accounting estimates could change from period to period. Actual results could differ from those estimates. Appropriate changes in estimates are made as management becomes aware of changes in circumstances surrounding the estimates. Changes in estimates are reflected in the financial statements in the period in which changes are made and, if material, their effects are disclosed in the notes to the financial statements.</t>
  </si>
  <si>
    <t>The following are significant management judgements / estimates in applying the accounting policies of the Company that have the most significant effect on the financial statements.</t>
  </si>
  <si>
    <t>Expected cost of completing fixed price contracts</t>
  </si>
  <si>
    <t xml:space="preserve">The Company uses the percentage-of-completion method in accounting for its fixed-price contracts. Use of the percentage-of-completion method requires the Company to estimate the efforts or costs expended to date as a proportion of the total efforts or costs to be expended. Efforts or costs expended have been used to measure progress towards completion as there is a direct relationship between input and productivity. Estimated cost to be incurred are derived by way of budgeting process and assessing the input and productivity. Provisions for estimated losses, if any, on uncompleted contracts are recorded in the period in which such losses become probable based on the expected contract estimates at the reporting date. </t>
  </si>
  <si>
    <t>Liquidated damages</t>
  </si>
  <si>
    <t>Company assesses the ability of the Company to deliver contracts within budgeted timelines and exposures. Liquidated damages for late delivery are computed on the basis on contract terms, history of liquidated damages and management expectation.</t>
  </si>
  <si>
    <t>Evaluation of principal vs agent</t>
  </si>
  <si>
    <t xml:space="preserve">The Company recognized revenue from resale of products, i.e. software. In this Paladion performs solution design in addition to installation or simple set-up directly linked to the resale item (ranges from 2 – 3 percent of total project value), The management has assessed that accounting for the sale of such software on gross basis is primarily on account of - </t>
  </si>
  <si>
    <t>(a)</t>
  </si>
  <si>
    <t>Paladion does take control over the software license and has risk attached to it. The Company does not have any physical inventory.</t>
  </si>
  <si>
    <t>(b)</t>
  </si>
  <si>
    <t xml:space="preserve">Paladion is the primary obligor for software in this situation as the Company does take responsibility of third-party items. </t>
  </si>
  <si>
    <t>(c)</t>
  </si>
  <si>
    <t>Services provided by the Paladion are not complex and hence it does not create separate deliverable for the customer, it only enhances the value of the product. This is not a complex implementation project which creates a composite output for the customer. Here, sale of services are separate performance obligations where the service portion is clearly identifiable and not material to the total transaction price.</t>
  </si>
  <si>
    <t>Recognition of deferred tax asset</t>
  </si>
  <si>
    <t xml:space="preserve">Deferred tax assets are recognized to the extent that it is probable that the underlying tax loss or deductible temporary difference will be utilized against future taxable income. </t>
  </si>
  <si>
    <t>Evaluation of Indicators for impairment of assets</t>
  </si>
  <si>
    <t>The evaluation of applicability of Indicators of impairment of assets requires assessment of several external and internal factors which could result in deterioration of recoverable amount of the assets.</t>
  </si>
  <si>
    <t>Useful lives of depreciable/amortisable assets</t>
  </si>
  <si>
    <t>Management reviews its estimate of the useful lives of depreciable/amortisable assets at each reporting date, based on the expected utility of the assets. Uncertainties in these estimates relate to technical and economic obsolescence that may change the utility of certain items of property and equipment.</t>
  </si>
  <si>
    <t>Defined benefit obligation(DBO)</t>
  </si>
  <si>
    <t>Management’s estimate of the DBO is based on a number of critical underlying assumptions such as standard rates of inflation, medical cost trends, mortality, discount rate and anticipation of future salary increases. Variation in these assumptions may significantly impact the DBO amount and the annual defined benefit expenses.</t>
  </si>
  <si>
    <t>Fair value measurements</t>
  </si>
  <si>
    <t>Management applies valuation techniques to determine the fair value of financial instruments (where active market quotes are not available) and non-financial assets. This involves developing estimates and assumptions consistent with how market participants would price the instrument. Management uses the best information available. Estimated fair values may vary from the actual prices that would be achieved in an arm’s length transaction at the reporting date.</t>
  </si>
  <si>
    <t>Provisions and liabilities</t>
  </si>
  <si>
    <t>Provisions and liabilities are recognized in the period when it becomes probable that there will be a future outflow of funds resulting from past operations or events that can reasonably be estimated. The timing of recognition requires application of judgement to existing facts and circumstances which may be subject to change. The amounts are determined by discounting the expected future cash flows at a pre-tax rate that reflects current market assessments of the time value of money and the risks specific to the liability.</t>
  </si>
  <si>
    <t>Onerous contracts</t>
  </si>
  <si>
    <t xml:space="preserve">Provisions for onerous contracts are recognised when the expected benefits to be derived by the Company from a contract are lower than the unavoidable costs of meeting the future obligations under the contract. Provisions for onerous contracts are measured at the present value of lower of the expected net cost of fulfilling the contract and the expected cost of terminating the contract. </t>
  </si>
  <si>
    <t>Contingencies</t>
  </si>
  <si>
    <t>In the normal course of business, contingent liabilities may arise from litigation and other claims against the Company. Potential liabilities that are possible but not probable of crystalizing or are very difficult to quantify reliably are treated as contingent liabilities. Such liabilities are disclosed in the notes but are not recognized.</t>
  </si>
  <si>
    <t>Uncertainty relating to the global health pandemic on COVID-19</t>
  </si>
  <si>
    <t xml:space="preserve">The principal risks that the Company is impacted include uncertainty around delay in awarding the projects under negotiation by government and private customers, compliance with service level arrangement and related liquidated damages outflow, increase in discounts to customer as well as credit risk that might arise due to adverse market conditions on account of COVID 19 pandemic. The uncertainties arising from the aforesaid risk are mitigated primarily on account of certain ongoing long-term revenue agreement as well as constant monitoring of the cash in and cash out ratio. Further, the Company quickly adopted to alternate business continuity scenario, including but not limited to detailed monitoring of compliance with service level agreement and Work From Home (WFH) in near to medium term, the uncertainty still prevail in respect of timelines for resumption of normal workings conditions. Notwithstanding these safeguards, the business has drawn up contingency plans for reduction of operating expenses. 
In preparation of these results, the Company has taken into account internal and external sources of information to assess possible impacts of the pandemic, including but not limited to assessment of liquidity and going concern, recoverable values of its financial and non-financial assets, impact on revenues and estimates of operating costs. Based on current indicators of future economic conditions, the Company has sufficient liquidity and expects to fully recover the carrying amount of its assets. In addition, the management has reasonable expectation that the Company has adequate resources to continue in operational existence for the foreseeable future, being a period of not less than twelve months from the date of approval of these financial statements. The Company therefore continues to adopt the going concern basis in preparing its financial statements. 
However, due to the evolving nature of the pandemic, its actual impact in future could be different from that estimated as at the date of approval of these financial results. The Company will continue to monitor any material changes to future economic conditions.  </t>
  </si>
  <si>
    <t>Significant management judgements and estimates (Contd.)</t>
  </si>
  <si>
    <t>Estimated value and useful life of ROU asset</t>
  </si>
  <si>
    <t>Ind AS 116 defines a lease term as the non-cancellable period for which the lessee has the right to use an underlying asset including optional periods, when an entity is reasonably certain to exercise an option to extend (or not to terminate) a lease. The Company considers all relevant facts and circumstances that create an economic incentive for the lessee to exercise the option when determining the lease term. The option to extend the lease term is included in the lease term, if it is reasonably certain that the lessee would exercise the option. The Company reassesses the option when significant events or changes in circumstances occur that are within the control of the lessee.  The lease term in future periods is reassessed to ensure that the lease term reflects the current economic circumstances. The Company has applied an incremental borrowing rate for the purpose of computing lease liabilities based on the rate prevailing in India.</t>
  </si>
  <si>
    <t>(Space left blank intentionally)</t>
  </si>
  <si>
    <t>Revenue recognition</t>
  </si>
  <si>
    <t>The core principle of Ind AS 115 is that a Company should recognize revenue to depict the transfer of promised goods or services to customers in an amount that reflects the consideration to which the entity expects to be entitled in exchange for those goods or services. The Company derives revenue primarily from service of setting up security operations center (SOC), security consulting and related services, security testing, penetration testing and other testing, coding etc and value added resale of IT products. Revenue is recognised to the extent that it is probable that the economic benefits will flow to the Company and the revenue can be reliably measured. Revenue is recognized at gross flow of economic benefits where the Company is acting as a principal in contract. Incase where Company acts as an agent, revenue is recognised to the extent of commission and does not include amounts collected on behalf of principal. The following specific recognition criteria must also be met before revenue is recognized:</t>
  </si>
  <si>
    <t>Software services</t>
  </si>
  <si>
    <t>The Company recognises revenue when the significant terms of the arrangement are enforceable, services  have been delivered and the collectability is reasonably assured. The method for recognizing revenues and costs depends on the nature of the services rendered:</t>
  </si>
  <si>
    <t>(i)</t>
  </si>
  <si>
    <t>Time and materials contracts</t>
  </si>
  <si>
    <t>Revenue from time and material contracts is recognised at the contractual rates as and when the services are performed.</t>
  </si>
  <si>
    <t>(ii)</t>
  </si>
  <si>
    <t>Fixed-price contracts</t>
  </si>
  <si>
    <t xml:space="preserve">Revenues from fixed-price contracts, including big data and security contracts are recognised using the “percentage of completion” method. Use of the percentage of completion method requires the Company to estimate the efforts or costs expended to date as a proportion of the total efforts or costs to be expended. Efforts or costs expended have been used to measure progress towards completion as there is a direct relationship between input and productivity. If the Company is not able to reasonably measure the progress of completion, revenue is recognised only to the extent of costs incurred for which recoverability is probable. When total cost estimates exceed revenues in an arrangement, the estimated losses are recognised in the consolidated statement of profit and loss in the period in which such losses become probable based on the current contract estimates as an onerous contract provision. Billing is done on the basis of milestones mentioned in the contracts with customers. </t>
  </si>
  <si>
    <t>(iii)</t>
  </si>
  <si>
    <t>Maintanance contracts</t>
  </si>
  <si>
    <t xml:space="preserve">Revenues related to fixed-price maintenance, testing and business process services are recognised based on the Company's right to invoice for services performed for contracts in which the invoicing is representative of the value being delivered. If the Company's invoicing is not consistent with value delivered, revenues are recognised as the service is performed using the percentage of completion method. When services are performed through an indefinite number of repetitive acts over a specified period, revenue is recognised on a straight-line basis over the specified period unless some other method better represents the stage of completion. In certain projects, a fixed quantum of service or output units is agreed at a fixed price for a fixed term. In such contracts, revenue is recognised with respect to the actual output achieved till date as a percentage of total contractual output. Any residual service unutilised by the customer is recognised as revenue on completion of the term. </t>
  </si>
  <si>
    <t>(iv)</t>
  </si>
  <si>
    <t>Multiple element arrangements</t>
  </si>
  <si>
    <t>The Company allocates the arrangement consideration to separately identifiable components based on their relative fair values or on the residual method. Fair values are determined based on sale prices for the components when it is regularly sold separately, third-party prices for similar components or cost plus an appropriate business-specific profit margin related to the relevant component.</t>
  </si>
  <si>
    <t>(v)</t>
  </si>
  <si>
    <t>unbilled and deferred revenue</t>
  </si>
  <si>
    <t>‘Unbilled revenues’ represent cost and earnings in excess of billings as at the end of the reporting period. ‘Unearned revenues’ represent billing in excess of revenue recognised. Advance payments received from customers for which no services have been rendered are presented as ‘Advance from customers’.</t>
  </si>
  <si>
    <t>(vi)</t>
  </si>
  <si>
    <t>Warranty provisions</t>
  </si>
  <si>
    <t>The Company accrues the estimated cost of warranties at the time when the revenue is recognised. The accruals are based on the Company’s historical experience of material usage and service delivery costs.</t>
  </si>
  <si>
    <t>(vii)</t>
  </si>
  <si>
    <t>Interest Income</t>
  </si>
  <si>
    <t>Interest on bank deposits is recognised on the time proportion method, using the underlying interest rates. Interest income is included under the head “Other income” in the Statement of Profit and Loss.</t>
  </si>
  <si>
    <t>(viii)</t>
  </si>
  <si>
    <t>Interest income on financial asset</t>
  </si>
  <si>
    <t>Interest income is recorded using the effective interest rate ('EIR') method. EIR is the rate that exactly discounts the estimated future cash payments or receipts over the expected life of the financial instrument or over a shorter period, where appropriate, to the gross carrying amount of the financial asset or to the amortized cost of the financial liability. Interest income is included under the head "finance income" in the statement of profit and loss account.</t>
  </si>
  <si>
    <t>(ix)</t>
  </si>
  <si>
    <t>Others</t>
  </si>
  <si>
    <t>Revenues are shown net of applicable taxes, discounts and allowances.</t>
  </si>
  <si>
    <t>Leases</t>
  </si>
  <si>
    <t>The Company evaluates each contract or arrangement, whether it qualifies as lease as defined under Ind AS 116.</t>
  </si>
  <si>
    <t>Company as a lessee</t>
  </si>
  <si>
    <t>The Company enters into an arrangement for lease of office premises. Such arrangements are generally for a fixed period but may have extension or termination options. The Company assesses, whether the contract is, or contains, a lease, at its inception. A contract is, or contains, a lease if the contract conveys the right to – 
(a) control the use of an identified asset,
(b) obtain substantially all the economic benefits from use of the identified asset, and
(c) direct the use of the identified asset.</t>
  </si>
  <si>
    <t>The Company determines the lease term as the non-cancellable period of a lease, together with periods covered by an option to extend the lease, where the Company is reasonably certain to exercise that option.</t>
  </si>
  <si>
    <t>The Company recognizes a Right-of-Use (ROU) asset at cost and corresponding lease liability, except for leases with term of less than twelve months (short term leases) and low-value assets. For these short-term and low-value leases, the Company recognizes the lease payments as an operating expense on a straight-line basis over the lease term or where rentals are structured to increase in line with the expected general inflation, such increase are recognised in the year which they accrue.</t>
  </si>
  <si>
    <t>The cost of the ROU assets comprises the amount of the initial measurement of the lease liability, any lease payments made at or before the inception date of the lease plus any initial direct costs, less any lease incentives received. Subsequently, the ROU assets are measured at cost less any accumulated depreciation and accumulated impairment losses, if any. ROU asset are depreciated using the straight-line method from the commencement date over the shorter of lease term or useful life of ROU assets. The estimated useful lives of ROU assets are determined on the same basis as those of property and equipment.</t>
  </si>
  <si>
    <t>Leases (continued)</t>
  </si>
  <si>
    <t>For lease liabilities at the commencement of the lease, the Company measures the lease liability at the present value of the lease payments that are not paid at that date. The lease payments are discounted using the interest rate implicit in the lease, if that rate is readily determined, if that rate is not readily determined, the lease payments are discounted using the incremental borrowing rate that the Company would have to pay to borrow funds, including the consideration of factors such as the nature of the asset and location, collateral, market terms and conditions, as applicable in a similar economic environment. 
After the commencement date, the amount of lease liabilities is increased to reflect the accretion of interest and reduced for the lease payments made.
The Company recognizes the amount of the re-measurement of lease liability as an adjustment to the right-of-use assets. Where the carrying amount of the right-of-use assets is reduced to zero and there is a further reduction in the measurement of the lease liability, the Company recognizes any remaining amount of the remeasurement in consolidated statement of income.
Lease liability payments are classified as cash used in financing activities in the consolidated statement of cash flows.
Lease expense related to short term and low value leases are debited to profit and loss account.</t>
  </si>
  <si>
    <t>The cost of property  and equipment comprises its purchase price net of any trade discounts and rebates, any import duties and other taxes (other than those subsequently recoverable from the tax authorities), any directly attributable expenditure on making the asset ready for its intended use, including relevant borrowing costs for qualifying assets and any expected costs of decommissioning. Expenditure incurred after the property and equipment have been put into operation, such as repairs and maintenance, are charged to the Statement of Profit and Loss in the period in which the costs are incurred.</t>
  </si>
  <si>
    <t>An item of property and equipment is derecognised upon disposal or when no future economic benefits are expected to arise from the continued use of the asset. Any gain or loss arising on the disposal or retirement of an item of property and equipment is determined as the difference between the sales proceeds and the carrying amount of the asset and is recognized in Statement of Profit and Loss.</t>
  </si>
  <si>
    <t>Subsequent expenditures relating to property  and equipment is capitalised only when it is probable that future economic benefits associated with these will flow to the Company and the cost of the item can be measured reliably.</t>
  </si>
  <si>
    <t>An item of property  and equipment is derecognised upon disposal or when no future economic benefits are expected to arise from the continued use of the asset. Any gain or loss arising on the disposal or retirement of an item of property  and equipment is determined as the difference between the sales proceeds and the carrying amount of the asset and is recognised in profit or loss.</t>
  </si>
  <si>
    <t>On transition to Ind AS the Company has elected to continue with the carrying value of all its property, plant and equipment recognized as at 01 April 2019, measured as per previous GAAP, and use that carrying value as the deemed cost of such property, plant and equipment.</t>
  </si>
  <si>
    <t>Other Intangible Assets</t>
  </si>
  <si>
    <t>Intangible assets with finite useful lives that are acquired separately are carried at cost less accumulated amortisation and accumulated impairment losses. Amortisation is recognised on a straight line basis over their estimated useful lives so as to reflect the pattern in which the assets economic benefits are consumed. The estimated useful life and amortisation method are reviewed at the end of each reporting period, with the effect of any changes in estimate being accounted for on a prospective basis. The amortisation of intangible asset is included in Depreciation and amortisation expense in Statement of Profit and Loss.</t>
  </si>
  <si>
    <t>On transition to Ind AS the Company has elected to continue with the carrying value of all intangible assets recognized as at 01 April 2019, measured as per previous GAAP, and use that carrying value as the deemed cost of such intangible assets.</t>
  </si>
  <si>
    <t>Depreciation is provided using the straight-line method over the estimated useful lives of assets. The estimated useful lives are as follows:</t>
  </si>
  <si>
    <t xml:space="preserve">When significant parts of property and equipment are required to be replaced at intervals, the Company depreciates them separately based on their specific useful lives. As per the Company's evaluation of the accounting prescribed under Schedule II of the Companies Act, 2013, the management has not identified any significant component having different useful lives. </t>
  </si>
  <si>
    <t>Capital work-in-progress comprises of the cost of property and equipment that are not yet ready for their intended use at the reporting date.</t>
  </si>
  <si>
    <t>Estimated useful life till 31 March 2021 are as follows</t>
  </si>
  <si>
    <t>Asset</t>
  </si>
  <si>
    <t>Years</t>
  </si>
  <si>
    <t>Building</t>
  </si>
  <si>
    <t>60 Years</t>
  </si>
  <si>
    <t>Leasehold Improvements</t>
  </si>
  <si>
    <t>10 Years</t>
  </si>
  <si>
    <t xml:space="preserve">Computers
</t>
  </si>
  <si>
    <t xml:space="preserve">       - Computer</t>
  </si>
  <si>
    <t xml:space="preserve">       - Software purchased</t>
  </si>
  <si>
    <t>Electrical Installations</t>
  </si>
  <si>
    <t>Furniture, Fixtures &amp; Equipments</t>
  </si>
  <si>
    <t>Office Equipments</t>
  </si>
  <si>
    <t>7 Years</t>
  </si>
  <si>
    <t>Effective 01 April 2021 the Company changed the estimated useful life of assets as follows to allign with its group policy. This change has been done on the basis of internal assessments by the management. The management believes that the useful lives as given below best represent the expected period over which the assets are to be utilised. Hence, the useful lives for these assets is different from the useful lives as prescribed under Part C of Schedule II of the Act.</t>
  </si>
  <si>
    <r>
      <t xml:space="preserve">Depreciation and amortisation </t>
    </r>
    <r>
      <rPr>
        <b/>
        <i/>
        <sz val="9"/>
        <color theme="1"/>
        <rFont val="Arial"/>
        <family val="2"/>
      </rPr>
      <t>(continued)</t>
    </r>
  </si>
  <si>
    <t>3 Years</t>
  </si>
  <si>
    <t>5 Years</t>
  </si>
  <si>
    <t>The revisions were accounted for prospectively as a change in accounting estimates. The Management believes that the impact on account of such change in estimate would not be material.</t>
  </si>
  <si>
    <t xml:space="preserve">Depreciation methods, useful lives and residual values are reviewed periodically, including at each financial year end. </t>
  </si>
  <si>
    <t>Financial instruments</t>
  </si>
  <si>
    <t>The Company recognizes financial assets and financial liabilities when it becomes a party to the contractual provisions of the instrument. All financial assets and liabilities are recognised at fair values. Transaction costs that are directly attributable to the acquisition or issue of financial assets and financial liabilities, which are not at fair value through profit or loss, are added to or deducted from the fair value on initial recognition. Transaction costs that are directly attributable to the acquisition of financial assets or financial liabilities at fair value through profit or loss, are recognised immediately in statement of profit or loss.</t>
  </si>
  <si>
    <t>A</t>
  </si>
  <si>
    <t>Initial recognition</t>
  </si>
  <si>
    <t>All financial assets are recognised initially at fair value and transaction cost that is attributable to the acquisition of the financial asset is also adjusted.</t>
  </si>
  <si>
    <t>Subsequent measurement</t>
  </si>
  <si>
    <t>i.</t>
  </si>
  <si>
    <t>Amortised cost</t>
  </si>
  <si>
    <t>A financial asset is subsequently measured at amortised cost if it is held within a business model whose objective is to hold the asset in order to collect contractual cash flows and the contractual terms of the financial asset give rise on specified dates to cash flows that are solely payments of principal and interest on the principal amount outstanding.</t>
  </si>
  <si>
    <t>ii.</t>
  </si>
  <si>
    <t>Fair value through other comprehensive income</t>
  </si>
  <si>
    <t>A financial asset is subsequently measured at fair value through other comprehensive income if it is held within a business model whose objective is achieved by both collecting contractual cash flows and selling financial assets and the contractual terms of the financial asset give rise on specified dates to cash flows that are solely payments of principal and interest on the principal amount outstanding.</t>
  </si>
  <si>
    <t>iii.</t>
  </si>
  <si>
    <t>Fair value through profit or loss</t>
  </si>
  <si>
    <t>A financial asset which is not classified in any of the above categories are subsequently fair valued through profit or loss.</t>
  </si>
  <si>
    <t xml:space="preserve">De-recognition of financial assets </t>
  </si>
  <si>
    <t>A financial asset is primarily de-recognised when the rights to receive cash flows from the asset have expired or the Company has transferred its rights to receive cash flows from the asset.</t>
  </si>
  <si>
    <t>B</t>
  </si>
  <si>
    <t>Initial recognition and measurement</t>
  </si>
  <si>
    <t xml:space="preserve">All financial liabilities are recognised initially at fair value and transaction cost that is attributable to the acquisition of the financial liabilities is also adjusted. These liabilities are classified as amortised cost. </t>
  </si>
  <si>
    <t>All financial liabilities are subsequently measured at amortised cost using the effective interest method. The effective interest method is a method of calculating the amortised cost of a financial liability and of allocating interest expense over the relevant period. For trade and other payables maturing within one year from the balance sheet date, the carrying amounts approximate fair value due to the short maturity of these instruments.</t>
  </si>
  <si>
    <t>Derecognition of financial liabilities</t>
  </si>
  <si>
    <t>The Company derecognises financial liabilities when the Company's obligations are discharged, cancelled or have expired. The difference between the carrying amount of the financial liability derecognised and the consideration paid and payable is recognised in profit or loss.</t>
  </si>
  <si>
    <t>Financial instruments (Contd.)</t>
  </si>
  <si>
    <t>C</t>
  </si>
  <si>
    <t>For financial reporting purpose, fair value measurements are categorised into Level 1, 2 or 3 based on the degree to which the inputs to the fair value measurements are observable and the significance of the inputs to the fair value measurement in its entirety, which are described as follows :</t>
  </si>
  <si>
    <t>Level 1 inputs are quoted prices (unadjusted) in active markets for identical assets or liabilities that the entity can access at the measurement date;</t>
  </si>
  <si>
    <t>Level 2 inputs are inputs, other than quoted prices included within Level 1, that are observable for the asset or liability either directly or indirectly.</t>
  </si>
  <si>
    <t>Level 3 inputs are unobservable inputs for the assets or liability.</t>
  </si>
  <si>
    <t>D</t>
  </si>
  <si>
    <t>Impairment of financial assets</t>
  </si>
  <si>
    <t>Impairment loss is provided to the extent the carrying amounts of assets exceed their recoverable amounts. Recoverable amount is the higher of an asset’s net selling price and its value in use. Value in use is the present value of estimated future cash flows expected to arise from the continuing use of the asset and from its disposal at the end of its useful life. Net selling price is the amount obtainable from sale of the asset in an arm’s length transaction between knowledgeable, willing parties, less the costs of disposal.
The Company measures the expected credit loss associated with trade receivables and other assets is based on historical trend, industry practices and the business environment in which the entity operates or any other appropriate basis. The impairment methodology applied depends on whether there has been a significant increase in credit risk.</t>
  </si>
  <si>
    <t>Employee benefits</t>
  </si>
  <si>
    <t>Expenses and liabilities in respect of employee benefits are recorded in accordance with following:
Liabilities recognised in respect of short-term employee benefits, are measured at their nominal values using the remuneration rate expected to apply at the time of settlement.
Liabilities recognised in respect of long term employee benefits are measured as the present value of the estimated future cash outflows to be made by the Company in respect of services provided by employees up to reporting date.</t>
  </si>
  <si>
    <t>Defined contribution plan</t>
  </si>
  <si>
    <t>Retirement benefit in the form of provident fund is a defined contribution scheme. The Company has no obligation, other than the contribution payable to the provident fund. The Company recognises contribution payable to the provident fund scheme as an expenditure, when an employee renders the related service. Prepaid contributions are recognised as an asset to the extent that a cash refund or a reduction in the future payments is available.</t>
  </si>
  <si>
    <t>Defined benefit plan</t>
  </si>
  <si>
    <t>Gratuity</t>
  </si>
  <si>
    <t>The liability or asset recognised in the balance sheet in respect of defined benefit gratuity plans is the present value of the defined benefit obligation at the end of the reporting period less the fair value of plan assets (if any). The defined benefit obligation is calculated annually by actuaries using the projected unit credit method. The present value of the defined benefit obligation denominated in ₹ is determined by discounting the estimated future cash outflows by reference to market yields at the end of the reporting period on government bonds that have terms approximating to the terms of the related obligation.</t>
  </si>
  <si>
    <t>The net interest cost is calculated by applying the discount rate to the net balance of the defined benefit obligation and the fair value of plan assets. This cost is included in employee benefit expense in the Statement of Profit and Loss.  Remeasurement gains and losses arising from experience adjustments and changes in actuarial assumptions are recognised in the period in which they occur, directly in other comprehensive income. They are included in retained earnings in the Statement of Changes in Equity and in the Balance Sheet. 
Changes in the present value of the defined benefit obligation resulting from plan amendments or curtailments are recognised immediately in profit or loss as past service cost.</t>
  </si>
  <si>
    <t>Compensated absences</t>
  </si>
  <si>
    <t>Compensated absences are treated as short-term employee benefit. The Company measures the expected cost of such absences as the additional amount that it expects to pay as a result of the unused entitlement that has accumulated at the reporting date.</t>
  </si>
  <si>
    <t>The Company treats accumulated leave short-term employee benefit for measurement purposes. Such compensated absences are provided for based on the actuarial valuation using the projected unit credit method at the year-end. Actuarial gains/losses are immediately taken to the Statement of Profit and Loss and are not deferred. The Company presents the leave as a current liability in the Balance Sheet, to the extent it does not have an unconditional right to defer its settlement for 12 months after the reporting date. Where company has the unconditional legal and contractual right to defer the settlement for a period beyond 12 months, the same is presented as non-current liability.</t>
  </si>
  <si>
    <t>The Company recognizes termination benefit as a liability and an expense when the Company has a present obligation as a result of past event, it is probable that an outflow of resources embodying economic benefits will be required to settle the obligation and a reliable estimate can be made of the amount of the obligation. If the termination benefits fall due more than 12 months after the Balance Sheet date, they are measured at present value of future cash flows using the discount rate determined by reference to market yields at the Balance Sheet date on government bonds.</t>
  </si>
  <si>
    <r>
      <t xml:space="preserve">Retirement and other employee benefits </t>
    </r>
    <r>
      <rPr>
        <b/>
        <i/>
        <sz val="9"/>
        <rFont val="Arial"/>
        <family val="2"/>
      </rPr>
      <t>(continued)</t>
    </r>
  </si>
  <si>
    <t>Short-term employee benefits</t>
  </si>
  <si>
    <t>Short-term employee benefits comprise of employee costs such as salaries, bonus etc. is recognized on the basis of the amount paid or payable for the period during which services are rendered by the employee.</t>
  </si>
  <si>
    <t>Currency transactions and translations</t>
  </si>
  <si>
    <t>Functional and presentation currency</t>
  </si>
  <si>
    <t>Items included in the financial statements of the Company are measured using the currency of the primary economic environment in which the Company operates. The financial statements are presented in Indian Rupee (in Lakhs) which is the Company's functional and presentation currency.</t>
  </si>
  <si>
    <t>Foreign currency</t>
  </si>
  <si>
    <t>Transactions in currencies other than the entity’s functional currency (foreign currencies) are recognised at the rates of exchange prevailing at the dates of the transactions. At the end of each reporting period, monetary items denominated in foreign currencies are retranslated at the rates prevailing at that date. Non-monetary items that are measured in terms of historical cost in a foreign currency are not retranslated. Exchange differences arising on monetary items on settlement, or restatement as at reporting date, at rates different from those at which they were initially recorded, are recognized in the statement of profit and loss in the year in which they arise.</t>
  </si>
  <si>
    <t>Earnings per share</t>
  </si>
  <si>
    <t>The Company reports basic Earnings per Share (EPS). Basic earnings per share is calculated by dividing the net profit or loss for the period attributable to equity shareholders by the weighted average number of equity shares outstanding during the period.</t>
  </si>
  <si>
    <t>Taxation</t>
  </si>
  <si>
    <t>Tax expense recognized in Statement of Profit or Loss comprises the sum of deferred tax and current tax except the ones recognized in other comprehensive income or directly in equity.</t>
  </si>
  <si>
    <t>Provision for current tax is made under the tax payable method, based on the liability computed, after taking credit for allowances and exemptions as per the provisions of Income Tax Act, 1961. Company has opted for lower tax regime as per 115BAA, according the income tax is computed.  Current tax assets and current tax liabilities are offset only if there is a legally enforceable right to set off the recognized amounts, and it is intended to realize the asset and settle the liability on a net basis or simultaneously.</t>
  </si>
  <si>
    <t>Deferred tax</t>
  </si>
  <si>
    <t>Deferred tax is provided using the liability method on temporary differences between the tax bases of assets and liabilities and their carrying amounts for financial reporting purposes at the reporting date. Deferred tax assets are recognized to the extent that it is probable that the underlying tax loss or deductible temporary difference will be utilized against future taxable income. This is assessed based on the Company’s forecast of future operating results, adjusted for significant non-taxable income and expenses and specific limits on the use of any unused tax loss or credit. The carrying amount of deferred tax assets is reviewed at each reporting date and reduced to the extent that it is no longer probable that sufficient taxable profit will be available to allow all or part of the deferred tax asset to be utilised. Unrecognised deferred tax assets are re-assessed at each reporting date and are recognised to the extent that it has become probable that future taxable profits will allow the deferred tax asset to be recovered. Deferred tax assets and liabilities are measured at the tax rates that are expected to apply in the year when the asset is realised or the liability is settled, based on tax rates (and tax laws) that have been enacted or substantively enacted at the reporting date.</t>
  </si>
  <si>
    <t>MAT paid in accordance with the tax laws, which gives future economic benefits in the form of adjustment to future income tax liability, is considered as an asset if there is convincing evidence that the Company will pay normal income tax. Accordingly, MAT is recognised as an asset in the Balance Sheet when it is highly probable that future economic benefit associated with it will flow to the Company having reasonable certainty that it can be utilized against the normal taxes payable under the Income Tax Act 1961.</t>
  </si>
  <si>
    <t>Provisions and contingencies</t>
  </si>
  <si>
    <t>Provision</t>
  </si>
  <si>
    <t>A provision is recognised if, as a result of a past event, the Company has a present legal or constructive obligation that is reasonably estimable, and it is probable that an outflow of economic benefits will be required to settle the obligation. If the effect of the time value of money is material, provisions are determined by discounting the expected future cash flows at a pre-tax rate that reflects current market assessments of the time value of money and the risks specific to the liability. The increase in the provision due to the passage of time is recognised as interest expense.</t>
  </si>
  <si>
    <t>Contingent liabilities</t>
  </si>
  <si>
    <t>A contingent liability is a possible obligation that arises from past events whose existence will be confirmed by the occurrence or non-occurrence of one or more uncertain future events not wholly within the control of the entity or a present obligation that is not recognised because it is not probable that an outflow of resources will be required to settle the obligation or it cannot be measured with sufficient reliability. The Company does not recognise a contingent liability but discloses its existence in the financial statements.</t>
  </si>
  <si>
    <t>Contingent assets</t>
  </si>
  <si>
    <t>Contingent assets are neither recognised nor disclosed. However, when realisation of income is virtually certain, related asset is recognised.</t>
  </si>
  <si>
    <t>Cash flow statement</t>
  </si>
  <si>
    <t>Cash flows are reported using the indirect method, whereby profit / (loss) before extraordinary items and tax is adjusted for the effects of transactions of non-cash nature and any deferrals or accruals of past or future cash receipts or payments. The cash flows from operating, investing and financing activities of the Company are segregated based on the available information.</t>
  </si>
  <si>
    <t xml:space="preserve">Cash comprises cash on hand and demand deposits having maturity of three months with banks. Cash equivalents are short-term balances (with an original maturity of three months or less from the date of acquisition), highly liquid investments that are readily convertible into known amounts of cash and which are subject to insignificant risk of changes in value. </t>
  </si>
  <si>
    <t>Prior period items</t>
  </si>
  <si>
    <t>Company corrects material prior period errors retrospectively in the first set of financial statements approved for issue after their discovery by:
(a) restating the comparative amounts for the prior periods presented in which the error occurred; or
(b) if the error occurred before the earliest prior period presented, restating the opening balances of assets, liabilities and equity for the earliest prior period presented.
Material omissions or misstatements of items are material if they could, individually or collectively, influence the economic decisions that users make on the basis of the financial statements. Materiality depends on the size and nature of the omission or misstatement judged in the surrounding circumstances. The size or nature of the item, or a combination of both, could be the determining factor.</t>
  </si>
  <si>
    <t xml:space="preserve">Investment in subsidiaries </t>
  </si>
  <si>
    <t>The Company has accounted for its investment in subsidiary at cost less impairment. The Company assesses investments in subsidiary for impairment whenever events or changes in circumstances indicate that the carrying amount of the investment may not be recoverable. If any such indication exists, the Company estimates the recoverable amount of the investment in subsidiary. The recoverable amount of such investment is the higher of its fair value less cost of disposal (FVLCD) and its value-in-use (VIU). The VIU of the investment is calculated using projected future cash flows. If the recoverable amount of the investment is less than its carrying amount, the carrying amount is reduced to its recoverable amount. The reduction is treated as an impairment loss and is recognised in the statement of profit and loss.</t>
  </si>
  <si>
    <t xml:space="preserve">Current versus non-current classification
</t>
  </si>
  <si>
    <t>The Company presents assets and liabilities in the balance sheet based on current/ non-current classification. An asset is treated as current when it is:
 a) Expected to be realised or intended to be sold or consumed in normal operating cycle
 b) Held primarily for the purpose of trading
 c) Expected to be realised in normal operating cycle or within twelve months after the reporting period or
 d) Cash or cash equivalents unless restricted from being exchanged or used to settle a liability for at least twelve months after the reporting period.
All other assets are classified as non-current.
A liability is current when:
 a) It is expected to be settled in normal operating cycle or due to be settled within twelve months after the reporting period.
 b) It is held primarily for the purpose of trading.
 c) There is no unconditional right to defer the settlement of the liability for at least twelve months after the reporting period
 All other liabilities are classified as non-current.
Deferred tax assets and liabilities are classified as non-current assets and liabilities.
The operating cycle is the time between the acquisition of assets for processing and their realisation in cash and cash equivalents. The Company has identified period of twelve months as its operating cycle.a</t>
  </si>
  <si>
    <t>Standard issued but not yet effective</t>
  </si>
  <si>
    <t>The Ministry of Corporate Affairs (MCA) notifies new standards or amendments to the existing standards under Companies (Indian Accounting Standards) Rules as issued from time to time. On 31 March 2023, MCA amended the companies (Indian Accounting Standards) Amendment Rules, 2023. The Company applied for the first-time these amendments.
(i) Definition of Accounting Estimates - Amendments to Ind AS 8
The amendments clarify the distinction between changes in accounting estimates and changes in accounting policies and the correction of errors. It has also been clarified how entities use measurement techniques and inputs to develop accounting estimates.
The amendments had no impact on the Company’s standalone financial statements.
(ii) Disclosure of Accounting Policies - Amendments to Ind AS 1
The amendments aim to help entities provide accounting policy disclosures that are more useful by replacing the requirement for entities to disclose their ‘significant’ accounting policies with a requirement to disclose their ‘material’ accounting policies and adding guidance on how entities apply the concept of materiality in making decisions about accounting policy disclosures.
The amendments have had an impact on the Company’s disclosures of accounting policies, but not on the measurement, recognition or presentation of any items in the Company’s financial statements.
(iii) Deferred Tax related to Assets and Liabilities arising from a Single Transaction - Amendments to Ind AS 12
The amendments narrow the scope of the initial recognition exception under Ind AS 12, so that it no longer applies to transactions that give rise to equal taxable and deductible temporary differences such as leases.
The Company previously recognised for deferred tax on leases on a net basis. As a result of these amendments, the Company has recognised a separate deferred tax asset in relation to its lease liabilities and a deferred tax liability in relation to its right-of-use assets. Since, these  balances qualify for offset as per the requirements of  paragraph 74 of Ind AS 12,there is no impact in the  balance sheet. There was also no impact on the opening retained earnings as at 1 April 2022.
Apart from these, consequential amendments and editorials have been made to other Ind AS like Ind AS 101, Ind AS 102, Ind AS 103, Ind AS 107, Ind AS 109, Ind AS 115 and Ind AS 34.</t>
  </si>
  <si>
    <t>First-time adoption of Ind-AS</t>
  </si>
  <si>
    <t xml:space="preserve">These standalone financial statements are the first set of Ind AS financial statements prepared by the Company. Accordingly, the Company has prepared financial statements which comply with Ind AS applicable for year ending on 31 March 2021, together with the comparative year data as at and for the year ended 31 March 2020, as described in the significant accounting policies. In preparing these standalone financial statements, the Company’s opening balance sheet was prepared as at 01 April 2019, being the Company’s date of transition to Ind AS. This note explains the principal adjustments made by the Company in restating its Indian GAAP financial statements, including the balance sheet as at 01 April 2019 and the financial statements as at and for the year ended 31 March 2020. </t>
  </si>
  <si>
    <t>Exemptions availed on first time adoption of Ind AS</t>
  </si>
  <si>
    <t>Ind AS 101, First-time Adoption of Indian Accounting Standards, allows first-time adopters certain exemptions from the retrospective application of certain requirements under Ind AS. The Company has accordingly applied the following exemptions.</t>
  </si>
  <si>
    <t>Optional Exemption</t>
  </si>
  <si>
    <t>Deemed Cost of property plant and equipment and intangible assets</t>
  </si>
  <si>
    <t>Ind AS 101 permits a first time adopter to elect to continue with the carrying value for all its property, plant and equipment and intangible assets as recognised in the financial statement as at the date of transition to Ind AS, measured as per the previous GAAP and use that as its deemed cost as at the date of transition. Accordingly, the company has elected to measure all of its property, plant and equipment and intangible assets at their previous GAAP carrying value.</t>
  </si>
  <si>
    <t>Share based Transactions</t>
  </si>
  <si>
    <t>The Company has elected not to apply Ind AS 102 Share based payments to equity instruments that vested before the date of transition to Ind AS.</t>
  </si>
  <si>
    <t>Revenue Recognition</t>
  </si>
  <si>
    <t>The Company has availed the following practical expedients in applying the standard retrospectively:
a. For completed contracts within the same annual reporting period, no restatement has been done;
b. For completed contracts that have variable consideration, the Company has used the transaction price at the date the contract was completed rather than estimating variable consideration amounts in the comparative reporting periods; and
c. For contracts that were completed before the transition date, no restatement has been done.</t>
  </si>
  <si>
    <t>(d)</t>
  </si>
  <si>
    <t>The Company has availed the following practical expedients in applying Ind AS 116:</t>
  </si>
  <si>
    <t>1. With leases previously classified as operating leases according to previous GAAP, the lease liability was measured at the present value of the outstanding lease payments, discounted by the incremental borrowing rate at 01 April  2019. The respective right-of-use asset was recognised at an amount equal to the lease liability;</t>
  </si>
  <si>
    <t>2. Regardless of their original lease term, leases for which the lease term ends latest on March 31, 2020, were recognised as short-term leases;</t>
  </si>
  <si>
    <t>3. At the date of initial application, the measurement of a right-of-use asset excluded the initial direct costs.</t>
  </si>
  <si>
    <t>4. Hindsight was considered when determining the lease term if the contract contains options to extend or terminate the leases.</t>
  </si>
  <si>
    <t>Mandatory Exceptions on first-time adoption of Ind AS</t>
  </si>
  <si>
    <t>Estimates</t>
  </si>
  <si>
    <t>Entity’s estimates in accordance with Ind AS at the date of transition to Ind AS shall be consistent with estimates made for the same date in accordance with Indian GAAP (after adjustments to reflect any difference in accounting policies), unless there is objective evidence that those estimates were in error.</t>
  </si>
  <si>
    <t>Ind AS estimates as at 1 April 2019 are consistent with the estimates as at the same date made in conformity with Indian GAAP. The Company made estimates for following items in accordance with Ind AS at the date of transition as these were not required under Indian GAAP:
(i)  Impairment of financial assets based on expected credit loss model.
(ii) Effective interest rate used in calculation of security deposit.</t>
  </si>
  <si>
    <t>Derecognition of financial assets and financial liabilities</t>
  </si>
  <si>
    <t>Ind AS 101 requires a first time adopter to apply the derecognition provisions of Ind AS 109 prospectively for transactions occurring on or after the date of transition to Ind AS. Accordingly, the Company has applied the derecognition requirement for financial assets and financial liabilities in Ind AS 109 prospectively for transactions occurring on or after date of transition to Ind AS.</t>
  </si>
  <si>
    <t>Classification and measurement of financial assets</t>
  </si>
  <si>
    <t>Ind AS 101 requires an entity to assess classification and measurement of financial assets on the basis of facts and circumstances that exist on the date of transition to Ind AS. Accordingly, the Company has applied the above requirement prospectively.</t>
  </si>
  <si>
    <t>Ind AS 101 requires an entity to assess and determine the impairment allowance on financial assets as per Ind AS 109 using the reasonable and supportable information that is available without undue cost or effort to determine the credit risk at the date that financial instruments which were initially recognised and compare that to the credit risk at the date of transition to Ind AS. Company has applied this exception prospectively.</t>
  </si>
  <si>
    <t>Summary of Material accounting policies and other explanatory information</t>
  </si>
  <si>
    <t>Leasehold improvements</t>
  </si>
  <si>
    <t xml:space="preserve">Furniture &amp;           fixtures </t>
  </si>
  <si>
    <t>Office equipments</t>
  </si>
  <si>
    <t>Computers</t>
  </si>
  <si>
    <t>Gross block</t>
  </si>
  <si>
    <t>As at 01 April 2023</t>
  </si>
  <si>
    <t>Additions</t>
  </si>
  <si>
    <t>Disposals</t>
  </si>
  <si>
    <t xml:space="preserve">Gross value of Asset sold </t>
  </si>
  <si>
    <t>As at 31 March 2024</t>
  </si>
  <si>
    <t xml:space="preserve">Acc.dep of Asset sold </t>
  </si>
  <si>
    <t>Net book value of asset sold</t>
  </si>
  <si>
    <t>As at 31 March 2025</t>
  </si>
  <si>
    <t>Accumulated depreciation</t>
  </si>
  <si>
    <t>Depreciation charge for the year</t>
  </si>
  <si>
    <t>Net block</t>
  </si>
  <si>
    <t>#) Zero represents less than ₹0.5 Lakhs</t>
  </si>
  <si>
    <t>Internal Assets Under Development</t>
  </si>
  <si>
    <t>Internal Software Developed</t>
  </si>
  <si>
    <t>Software purchased</t>
  </si>
  <si>
    <t xml:space="preserve">Acquired goodwill </t>
  </si>
  <si>
    <t>Capitalized</t>
  </si>
  <si>
    <t>Accumulated amortisation</t>
  </si>
  <si>
    <t>Amortisation charge for the year</t>
  </si>
  <si>
    <t>Impairmemt loss charge for the year</t>
  </si>
  <si>
    <t>Amortisation</t>
  </si>
  <si>
    <t>Internal assets Under Development-Ageing Schedule</t>
  </si>
  <si>
    <t>Less than 1 year</t>
  </si>
  <si>
    <t>1-2 years</t>
  </si>
  <si>
    <t>2-3 years</t>
  </si>
  <si>
    <t>More than 3 years</t>
  </si>
  <si>
    <t>Projects in Progress</t>
  </si>
  <si>
    <t>Projects temporarily Suspended</t>
  </si>
  <si>
    <t>During the years ended 31 March 2025 and 31 March 2024 there are no projects whose completion is overdue or has exceeded its cost compared to its original plan</t>
  </si>
  <si>
    <t>Net Book Value</t>
  </si>
  <si>
    <t>31 Mach 2025</t>
  </si>
  <si>
    <t>31 Mach 2024</t>
  </si>
  <si>
    <t>Goodwill</t>
  </si>
  <si>
    <t>Non Current</t>
  </si>
  <si>
    <t>Mar 23</t>
  </si>
  <si>
    <t>Unsecured, considered good</t>
  </si>
  <si>
    <t>FD-Margin Money</t>
  </si>
  <si>
    <t>FD Maturity</t>
  </si>
  <si>
    <t>Accrued Interest</t>
  </si>
  <si>
    <t>Security deposits</t>
  </si>
  <si>
    <t>&lt;12M</t>
  </si>
  <si>
    <t>&gt;12M</t>
  </si>
  <si>
    <t>&lt;3M</t>
  </si>
  <si>
    <t>&gt;3M &amp; &lt;12M</t>
  </si>
  <si>
    <t>- others</t>
  </si>
  <si>
    <r>
      <t xml:space="preserve">Deposits with banks </t>
    </r>
    <r>
      <rPr>
        <vertAlign val="superscript"/>
        <sz val="9"/>
        <rFont val="Arial"/>
        <family val="2"/>
      </rPr>
      <t>(*)</t>
    </r>
  </si>
  <si>
    <t>Interest accrued on deposits</t>
  </si>
  <si>
    <t>Lease receivable</t>
  </si>
  <si>
    <t>Current</t>
  </si>
  <si>
    <t>Note:</t>
  </si>
  <si>
    <r>
      <rPr>
        <vertAlign val="superscript"/>
        <sz val="9"/>
        <rFont val="Arial"/>
        <family val="2"/>
      </rPr>
      <t>(*)</t>
    </r>
    <r>
      <rPr>
        <sz val="9"/>
        <rFont val="Arial"/>
        <family val="2"/>
      </rPr>
      <t>Fixed deposits are kept under lien for performance bank guarantees for various projects amounting to ₹ 29 (31 March 2024 : ₹29).</t>
    </r>
  </si>
  <si>
    <t>Non-current</t>
  </si>
  <si>
    <t>Deposits with banks having maturity period of more than 12 months from the balance sheet date (refer note below)</t>
  </si>
  <si>
    <t>Advance to suppliers-</t>
  </si>
  <si>
    <t xml:space="preserve">  - for capital goods</t>
  </si>
  <si>
    <t xml:space="preserve">  - others</t>
  </si>
  <si>
    <t>Receivables form others</t>
  </si>
  <si>
    <t>Loans &amp; Advances to Employees</t>
  </si>
  <si>
    <t>Loans and advance to employees</t>
  </si>
  <si>
    <t>Balance with govt. authorities</t>
  </si>
  <si>
    <t xml:space="preserve">Balance with government authorities </t>
  </si>
  <si>
    <t>Prepaid</t>
  </si>
  <si>
    <t>Prepaid expenses</t>
  </si>
  <si>
    <t>Advance to suppliers</t>
  </si>
  <si>
    <t xml:space="preserve">Non-current </t>
  </si>
  <si>
    <t>Investments in equity instruments of subsidiaries at cost (unquoted) (Refer Note 30)</t>
  </si>
  <si>
    <t>Paladion Networks LLC, Abu Dhabi</t>
  </si>
  <si>
    <t xml:space="preserve">49 shares of AED 1500 each (31 March 2024 : 49) </t>
  </si>
  <si>
    <t xml:space="preserve">   Less : Impairment of investments for Paladion Networks LLC, Abu Dhabi</t>
  </si>
  <si>
    <t>Paladion Qatar WLL, Qatar</t>
  </si>
  <si>
    <t xml:space="preserve">98,000 shares of QAR 1 each (31 March 2024 : 98,000) </t>
  </si>
  <si>
    <t>Less : Impairment of investments for Paladion Qatar WLL, Qatar</t>
  </si>
  <si>
    <t>Paladion Networks LLC, Dubai</t>
  </si>
  <si>
    <t xml:space="preserve">98 shares of AED 1000 each (31 March 2024 : 98) </t>
  </si>
  <si>
    <t xml:space="preserve">   Less : Impairment of investments for Paladion Networks LLC, Dubai</t>
  </si>
  <si>
    <t>Paladion Networks (Thailand) Company Limited</t>
  </si>
  <si>
    <t xml:space="preserve">599,998 partly paid shares of THB 5 each (31 March 2024 : 599,998) </t>
  </si>
  <si>
    <t>Less : Impairment of investments for Paladion Networks (Thailand) Company Limited</t>
  </si>
  <si>
    <t>Aggregate amount of quoted investments</t>
  </si>
  <si>
    <t>Aggregate amount of unquoted investments</t>
  </si>
  <si>
    <t>Aggregate amount of impairment/fair value loss in value of investments</t>
  </si>
  <si>
    <t>Total Investments in Subsidiaries</t>
  </si>
  <si>
    <t>Less: Impairment of investments</t>
  </si>
  <si>
    <t>Net Investment of subsidiaries</t>
  </si>
  <si>
    <t>ER</t>
  </si>
  <si>
    <t>Trade receivables considered good - secured</t>
  </si>
  <si>
    <t>Trade receivables considered good - unsecured</t>
  </si>
  <si>
    <t>India</t>
  </si>
  <si>
    <t>Sharjah</t>
  </si>
  <si>
    <t>US</t>
  </si>
  <si>
    <t>Done</t>
  </si>
  <si>
    <t>IR</t>
  </si>
  <si>
    <t>Debtors</t>
  </si>
  <si>
    <t>- Others</t>
  </si>
  <si>
    <t>IR-Elimination</t>
  </si>
  <si>
    <t>Trade Receivables which have significant increase in credit risk</t>
  </si>
  <si>
    <t xml:space="preserve">IR-Forex </t>
  </si>
  <si>
    <t>Less: Expected credit losses (Refer note 8.2)</t>
  </si>
  <si>
    <t>Unbilled revenue</t>
  </si>
  <si>
    <t>ER-Forex</t>
  </si>
  <si>
    <t>Unbilled-ER</t>
  </si>
  <si>
    <t>Unbilled Revenue</t>
  </si>
  <si>
    <t>Unbilled -IR</t>
  </si>
  <si>
    <t>Unbilled -IR-forex</t>
  </si>
  <si>
    <t>As per TB</t>
  </si>
  <si>
    <t>Trade receivables are non interest bearing and are generally on terms of 30 to 90 days.</t>
  </si>
  <si>
    <t>Provision for doubtful debts</t>
  </si>
  <si>
    <t>No trade  receivable are due from directors or other officers of the company either severally or jointly with any other person. Nor any trade receivable are due from firms or private companies respectively in which any director is a partner, a director or a member.</t>
  </si>
  <si>
    <t>Outstanding for following periods from due date of payment</t>
  </si>
  <si>
    <t>Unbilled
(not due)</t>
  </si>
  <si>
    <t>Total unbilled</t>
  </si>
  <si>
    <t>&lt; 6 months</t>
  </si>
  <si>
    <t>6 months - 1 year</t>
  </si>
  <si>
    <t>&gt; 3 years</t>
  </si>
  <si>
    <t>Undisputed trade receivables - considered good</t>
  </si>
  <si>
    <t>Undisputed trade receivables – which have significant increase in credit risk</t>
  </si>
  <si>
    <t>Less than 6 Months</t>
  </si>
  <si>
    <t>Undisputed trade receivables – credit impaired</t>
  </si>
  <si>
    <t>6 M to 1 Year</t>
  </si>
  <si>
    <t>Disputed trade receivables – considered good</t>
  </si>
  <si>
    <t>1-2 Years</t>
  </si>
  <si>
    <t>Disputed trade receivables – which have significant increase in credit risk</t>
  </si>
  <si>
    <t>2-3 Years</t>
  </si>
  <si>
    <t>Disputed trade receivables – credit impaired</t>
  </si>
  <si>
    <t>More than 3 Years</t>
  </si>
  <si>
    <t>Trade receivables Ageing as at 31 March 2024</t>
  </si>
  <si>
    <t>Opening</t>
  </si>
  <si>
    <t>Provision made during the year</t>
  </si>
  <si>
    <t>Provision reversed / utilised during the year</t>
  </si>
  <si>
    <t>Exchange (gain) / loss Impact</t>
  </si>
  <si>
    <t>Closing</t>
  </si>
  <si>
    <t>Current accounts</t>
  </si>
  <si>
    <t>EEFC</t>
  </si>
  <si>
    <t>(iii) In deposit accounts with original maturity of less than 3 months</t>
  </si>
  <si>
    <r>
      <t xml:space="preserve">During the year the group has obtained sanction of non fund based working capital limit amounting to ₹25 from bank  on the basis of security of current assets, the Company has not utilised such limit as on 31 March 2025.  </t>
    </r>
    <r>
      <rPr>
        <sz val="9"/>
        <color theme="1"/>
        <rFont val="Arial"/>
        <family val="2"/>
      </rPr>
      <t>The company has pledged a part of its short term deposits to fulfill  collateral requirements(Refer Note 6 for futher details)</t>
    </r>
    <r>
      <rPr>
        <sz val="9"/>
        <color rgb="FFC00000"/>
        <rFont val="Arial"/>
        <family val="2"/>
      </rPr>
      <t>.</t>
    </r>
  </si>
  <si>
    <r>
      <t xml:space="preserve">Short term deposits are made for varying period of between one day and three months ,depending on the immediate cash requirement of the company,and earn interest at the respective </t>
    </r>
    <r>
      <rPr>
        <sz val="9"/>
        <color theme="1"/>
        <rFont val="Arial"/>
        <family val="2"/>
      </rPr>
      <t>short term deposit rate</t>
    </r>
    <r>
      <rPr>
        <sz val="9"/>
        <color rgb="FFC00000"/>
        <rFont val="Arial"/>
        <family val="2"/>
      </rPr>
      <t xml:space="preserve">. </t>
    </r>
  </si>
  <si>
    <t>Deposits with Banks</t>
  </si>
  <si>
    <t>Bank balances other than cash and cash equivalents</t>
  </si>
  <si>
    <t>(In deposit account with original  maturity of greater for 3 months but less than 12 months)</t>
  </si>
  <si>
    <t>(Space has been left intentionally)</t>
  </si>
  <si>
    <t>Authorised share capital</t>
  </si>
  <si>
    <t>Number of shares</t>
  </si>
  <si>
    <t>Equity shares of ₹10 each</t>
  </si>
  <si>
    <t>Preference shares of ₹10 each</t>
  </si>
  <si>
    <t>Issued Equity share capital</t>
  </si>
  <si>
    <t xml:space="preserve">a) </t>
  </si>
  <si>
    <t>Reconciliation of shares outstanding at the beginning and at the end of the period</t>
  </si>
  <si>
    <t>Equity shares of ₹10 each issued, subscribed and fully paid up</t>
  </si>
  <si>
    <t>Balance as at 01 April 2023</t>
  </si>
  <si>
    <t>Shares issued and fully paid as at 31 March 2025</t>
  </si>
  <si>
    <t>Equity component of preference shares of ₹10 each issued and fully paid up</t>
  </si>
  <si>
    <t>b)</t>
  </si>
  <si>
    <t>Rights, preferences and restrictions attached to the equity shares</t>
  </si>
  <si>
    <t>The Company has only one class of equity shares with voting rights (one vote per share). The Company declares and pays dividend in Indian rupees. The dividend proposed by board of directors is subject to approval by the shareholders at the ensuing annual general meeting. In the event of liquidation of the Company, the equity shareholders are entitled to receive only the residual assets of the Company after distribution of all preferential amount. The distribution will be in proportion to the number of equity shares held by the shareholder. Other rights attached to the equity shares are as per the articles of the Company.</t>
  </si>
  <si>
    <t>c)</t>
  </si>
  <si>
    <t>Rights, preferences and restrictions attached to the compulsorily convertible non-cumulative preference shares</t>
  </si>
  <si>
    <t>The Company has only one class of compulsorily convertible non-cumulative preference shares. In the event of liquidation of the Company, Compulsorily convertible non-cumulative preference shares will be preference over equity shareholders. The distribution will be in proportion to the number of preference shares held by the preference shareholders. Other rights attached to the preference shares are as per the articles of the Company. The shares are compulsorily convertible within 20 years from the date of allotment and are non-cumulative. The Preference shares rank ahead of Equity shares in the event of liquidation of the company.</t>
  </si>
  <si>
    <t>Summary of significant accounting policies and other explanatory information as at and for the year ended 31 March 2022</t>
  </si>
  <si>
    <t>(Amounts are stated in ₹ lakhs unless otherwise stated)</t>
  </si>
  <si>
    <t xml:space="preserve">d) </t>
  </si>
  <si>
    <t>Shares held by holding/ ultimate holding company and/ or their subsidiaries/ associates</t>
  </si>
  <si>
    <t>% of holding</t>
  </si>
  <si>
    <t>Equity shares of  ₹10 each</t>
  </si>
  <si>
    <t>Paladion Technologies Inc (Holding company)</t>
  </si>
  <si>
    <t>Eviden India Private Limited (formerly known as Atos India Private Limited)</t>
  </si>
  <si>
    <t>Nadathur Estates Private Limited</t>
  </si>
  <si>
    <t>Amita Partners</t>
  </si>
  <si>
    <t>Rajat Mohanty</t>
  </si>
  <si>
    <t>Vinod Vasudevan</t>
  </si>
  <si>
    <t>Binu Mathew Thomas</t>
  </si>
  <si>
    <t>Jose Varghese</t>
  </si>
  <si>
    <t>Sreeraj Gopinathan Nair</t>
  </si>
  <si>
    <t>Firosh C Ummer</t>
  </si>
  <si>
    <t>Roshan R Chandran</t>
  </si>
  <si>
    <t>Rohit Girish Kumar</t>
  </si>
  <si>
    <t>Sachin Paul Varghese</t>
  </si>
  <si>
    <t xml:space="preserve">Atos Global IT Solutions &amp; Services Private Limited </t>
  </si>
  <si>
    <t>Syntel Private Limited</t>
  </si>
  <si>
    <t>During the year preference shares of the company are sold by Atos Global IT Solutions and Services Private Limited  to Syntel Private Limited on 26 April 2023.</t>
  </si>
  <si>
    <t>The Company has accounted preference shares as 100% equity component.</t>
  </si>
  <si>
    <t xml:space="preserve">e) </t>
  </si>
  <si>
    <t>Details of equity shares held by each shareholder holding more than 5% shares</t>
  </si>
  <si>
    <t>Name of shareholder</t>
  </si>
  <si>
    <t>Paladion Technologies Inc</t>
  </si>
  <si>
    <t xml:space="preserve">f) </t>
  </si>
  <si>
    <t>The Company has not issued any bonus shares or shares for consideration other than cash nor has there been any buy back of shares during five years immediately preceding 31 March 2025.</t>
  </si>
  <si>
    <t>g)</t>
  </si>
  <si>
    <t>Promoter's holding</t>
  </si>
  <si>
    <t>Equity shares of  ₹ 10 each</t>
  </si>
  <si>
    <t>Securities premium {Refer Note (a) below}</t>
  </si>
  <si>
    <t>Retained earnings {Refer Note (b) below}</t>
  </si>
  <si>
    <t>Summary of significant accounting policies and other explanatory information as at and for the year ended 31 March 2021</t>
  </si>
  <si>
    <t>(All amounts are stated in ₹ unless otherwise stated)</t>
  </si>
  <si>
    <t xml:space="preserve">Balance at the beginning of the year </t>
  </si>
  <si>
    <t xml:space="preserve">Balance at the end of the year </t>
  </si>
  <si>
    <t>Retained earnings</t>
  </si>
  <si>
    <t>Balance at the beginning of the year</t>
  </si>
  <si>
    <t>Add: Profit /(Loss) for the year</t>
  </si>
  <si>
    <t>Add: Other comprehensive (loss) for the year</t>
  </si>
  <si>
    <t>Items and other comprehensive income recognised directly in retained earnings</t>
  </si>
  <si>
    <t>Nature and purpose of reserve</t>
  </si>
  <si>
    <t>The amount received in excess of face value of the equity shares is recognised in securities premium. This reserve will be utilized in accordance with provisions of section 52 of the Companies Act, 2013.</t>
  </si>
  <si>
    <t>Retained Earnings</t>
  </si>
  <si>
    <t>Retained earnings are the profits/(loss) that the Company has earned/incurred till date, less any transfers on account of dividends or other distribution to share holders.it also includes re-measurement loss/(gain) on defined benefit plan, net of taxes that will not be reclassified to statement of profit and loss.</t>
  </si>
  <si>
    <t>Provision for gratuity (refer note 28(b)(I))</t>
  </si>
  <si>
    <t>Provision for compensated absences (refer note 28(b)(II))</t>
  </si>
  <si>
    <t>Gratuity Payable</t>
  </si>
  <si>
    <t>Leave Encashment Payable</t>
  </si>
  <si>
    <t>PL</t>
  </si>
  <si>
    <t>Since the company does not have an unconditional right to defer settlement for the  leave obligations, it disclosed the entire amount as current liabilities. However, the company does not expect all the leave obligations will be settled in the next 12 months</t>
  </si>
  <si>
    <t>Creditors</t>
  </si>
  <si>
    <r>
      <t xml:space="preserve">Dues to </t>
    </r>
    <r>
      <rPr>
        <vertAlign val="superscript"/>
        <sz val="9"/>
        <rFont val="Arial"/>
        <family val="2"/>
      </rPr>
      <t>(*)</t>
    </r>
    <r>
      <rPr>
        <sz val="9"/>
        <rFont val="Arial"/>
        <family val="2"/>
      </rPr>
      <t xml:space="preserve"> </t>
    </r>
  </si>
  <si>
    <t>Internal</t>
  </si>
  <si>
    <t>-  micro enterprises and small enterprises (refer note 14.2 below)</t>
  </si>
  <si>
    <t>Internal-Elimination</t>
  </si>
  <si>
    <t>-  creditors other than micro enterprises and small enterprises</t>
  </si>
  <si>
    <t>Internal Forex</t>
  </si>
  <si>
    <t xml:space="preserve">    (i) To related parties (refer note 30)</t>
  </si>
  <si>
    <t>External</t>
  </si>
  <si>
    <t>Sundry Creditors</t>
  </si>
  <si>
    <t xml:space="preserve">    (ii) To other than related parties</t>
  </si>
  <si>
    <t>Capex Creditors</t>
  </si>
  <si>
    <t>Accrued expenses</t>
  </si>
  <si>
    <t>External Forex</t>
  </si>
  <si>
    <t>(i) Related parties (refer note 30)</t>
  </si>
  <si>
    <t>Accrued exp</t>
  </si>
  <si>
    <t>(ii) others</t>
  </si>
  <si>
    <r>
      <rPr>
        <vertAlign val="superscript"/>
        <sz val="9"/>
        <rFont val="Arial"/>
        <family val="2"/>
      </rPr>
      <t xml:space="preserve">(*) </t>
    </r>
    <r>
      <rPr>
        <sz val="9"/>
        <rFont val="Arial"/>
        <family val="2"/>
      </rPr>
      <t>There are no disputed dues as on 31 March 2025. (31 March 2024 : NIL)</t>
    </r>
  </si>
  <si>
    <t>Difference</t>
  </si>
  <si>
    <t xml:space="preserve">    Trade payables are non interest bearing and are generally settled  on 60 day terms.</t>
  </si>
  <si>
    <t>Trade payables ageing as at 31 March 2025</t>
  </si>
  <si>
    <t>Accrued expenses (not due)</t>
  </si>
  <si>
    <t xml:space="preserve">Total Accrued expenses </t>
  </si>
  <si>
    <t>&lt; 1 year</t>
  </si>
  <si>
    <t>Total outstanding dues of micro enterprises and small enterprises</t>
  </si>
  <si>
    <t>Disputed dues of micro enterprises and small enterprises</t>
  </si>
  <si>
    <t>1-2 year</t>
  </si>
  <si>
    <t>Disputed dues of creditors other than micro enterprises and small enterprises</t>
  </si>
  <si>
    <t>2-3 year</t>
  </si>
  <si>
    <t>More than 3 year</t>
  </si>
  <si>
    <t>Trade payables ageing as at 31 March 2024</t>
  </si>
  <si>
    <r>
      <t xml:space="preserve">The Company has amounts due to micro and small suppliers registered under the Micro, Small and Medium Enterprises Development Act 2006 (MSMED Act), as at </t>
    </r>
    <r>
      <rPr>
        <sz val="9"/>
        <color theme="1"/>
        <rFont val="Arial"/>
        <family val="2"/>
      </rPr>
      <t>31 March 2025</t>
    </r>
  </si>
  <si>
    <t>The disclosure pursuant to the said Act is as under:</t>
  </si>
  <si>
    <t>The amount remaining unpaid to micro and small suppliers at the end of the year</t>
  </si>
  <si>
    <t>- Principal</t>
  </si>
  <si>
    <t>- Interest on above</t>
  </si>
  <si>
    <t>Payment made to suppliers (other than interest) beyond appointed day during the year</t>
  </si>
  <si>
    <t>Interest due and payable to suppliers under MSMED Act towards payments already made(#)</t>
  </si>
  <si>
    <t>Interest accrued and remaining unpaid at the end of the accounting year</t>
  </si>
  <si>
    <t>The amount of further interest remaining due and payable even in the succeeding years, until such date when the interest dues as above are actually paid to the small enterprise for the purpose of disallowance as a deductible expenditure under section 23 of the MSMED Act.(#)</t>
  </si>
  <si>
    <t>Employees Payable</t>
  </si>
  <si>
    <t>Accrued employee related expenses</t>
  </si>
  <si>
    <t xml:space="preserve">Payable to Group </t>
  </si>
  <si>
    <t>Payable to group companies (refer note 30)</t>
  </si>
  <si>
    <t>SD Repayable</t>
  </si>
  <si>
    <t>Security deposit refundable to related party(refer note 30)</t>
  </si>
  <si>
    <t>Stat dues</t>
  </si>
  <si>
    <t>Statutory dues payable</t>
  </si>
  <si>
    <t>Advances from customers</t>
  </si>
  <si>
    <t>Advance from Customers</t>
  </si>
  <si>
    <t>Capital creditors</t>
  </si>
  <si>
    <t>Deferred Rent-inter co</t>
  </si>
  <si>
    <t>Deferred Rent - Related Parties (refer note 30)</t>
  </si>
  <si>
    <t>Unearned revenue</t>
  </si>
  <si>
    <t>Unearned income-inter co</t>
  </si>
  <si>
    <t>Unearned income</t>
  </si>
  <si>
    <t>Revenue from contract with customers</t>
  </si>
  <si>
    <t>Sale of services</t>
  </si>
  <si>
    <t>Revenue from operations</t>
  </si>
  <si>
    <t xml:space="preserve">Other operating revenue </t>
  </si>
  <si>
    <t>(i) Revenue (by location of customers)</t>
  </si>
  <si>
    <t>Middle East</t>
  </si>
  <si>
    <t>USA</t>
  </si>
  <si>
    <t>Germany</t>
  </si>
  <si>
    <t>Mexico</t>
  </si>
  <si>
    <t>Rest of world</t>
  </si>
  <si>
    <t>(ii) Revenue (by contract type)</t>
  </si>
  <si>
    <t>Time and material</t>
  </si>
  <si>
    <t>Fixed price contracts</t>
  </si>
  <si>
    <t>(iii) Revenue (by service)</t>
  </si>
  <si>
    <t>Managed Detection and Response (MDR)</t>
  </si>
  <si>
    <t>(iv) Timing of revenue recognition</t>
  </si>
  <si>
    <t>(a) Services transferred at a point in time</t>
  </si>
  <si>
    <t>(b) Services transferred over a period of time</t>
  </si>
  <si>
    <t>(iii) Contract balances</t>
  </si>
  <si>
    <t>Contract assets(Unbilled revenue)</t>
  </si>
  <si>
    <t>Contract liabilities(Unearned revenue and Advances from customers)</t>
  </si>
  <si>
    <t>Note :</t>
  </si>
  <si>
    <t>The contract assets are in form of receivables, which are included in income receivable, primarily relate to company right to receive the consideration for services given to the customers but not billed at the reporting date. The contract assets are transfered to receivables when it is billed subsequently.</t>
  </si>
  <si>
    <t>Contract liabilties</t>
  </si>
  <si>
    <t>The contract liabilities are in the form of advance received from customer for which the obligation of supply of goods/services is not completed at the year end.</t>
  </si>
  <si>
    <t>(iv) Movement of contract assets and contract liabilities</t>
  </si>
  <si>
    <t>Opening Balance of contract liabilities</t>
  </si>
  <si>
    <t>Addition in balance of contract liabilities for current year</t>
  </si>
  <si>
    <t>Amount  of revenue recognised against opening contract liabilities</t>
  </si>
  <si>
    <t>Closing Balance of contract liabilities</t>
  </si>
  <si>
    <t>Opening Balance of contract assets</t>
  </si>
  <si>
    <t>Addition in balance of contract assets for current year</t>
  </si>
  <si>
    <t>Amount  of revenue recognised against opening contract assets</t>
  </si>
  <si>
    <t>Closing Balance of contract assets</t>
  </si>
  <si>
    <t>Interest income on</t>
  </si>
  <si>
    <t>Interest income on bank dep</t>
  </si>
  <si>
    <t>bank deposits</t>
  </si>
  <si>
    <t>Interest income on IT refund</t>
  </si>
  <si>
    <t>income tax refund</t>
  </si>
  <si>
    <t>Interest  Income on PL</t>
  </si>
  <si>
    <t>employee loan</t>
  </si>
  <si>
    <t>other financial assets measured at amortised cost</t>
  </si>
  <si>
    <t>Interest income on Lease receivable</t>
  </si>
  <si>
    <t>interest income on lease receivable - Related parties (refer note 30)</t>
  </si>
  <si>
    <t>Amortization of Deferred Rent</t>
  </si>
  <si>
    <t>Amorisation of deferred rent - Related parties(refer note 30)</t>
  </si>
  <si>
    <t>Gain on derecognition on ROU</t>
  </si>
  <si>
    <t>Gain on derecognition of right of use asset - Related parties (refer note 30)</t>
  </si>
  <si>
    <t>Foreign exchange gain on transactions and translations (net)</t>
  </si>
  <si>
    <t>Written back</t>
  </si>
  <si>
    <t>Gain on disposal  of property, plant and equipment</t>
  </si>
  <si>
    <t>Gain on sale of assets</t>
  </si>
  <si>
    <t>Misc Income</t>
  </si>
  <si>
    <t>Hardware bought for service delivery to clients</t>
  </si>
  <si>
    <t>Cost of material Consumed</t>
  </si>
  <si>
    <t>Software for service delivery</t>
  </si>
  <si>
    <t>Technical Contract Charges</t>
  </si>
  <si>
    <t>Summary of significant accounting policies and other explanatory information as at and for the year ended 31 March 2023</t>
  </si>
  <si>
    <t xml:space="preserve">Salaries, wages and bonus </t>
  </si>
  <si>
    <t>Salaries and Wages</t>
  </si>
  <si>
    <t xml:space="preserve">   - others</t>
  </si>
  <si>
    <t>Leave encashment</t>
  </si>
  <si>
    <t>Contribution</t>
  </si>
  <si>
    <t>Staff welfare expenses</t>
  </si>
  <si>
    <t>Staff Welfare</t>
  </si>
  <si>
    <t>Bank Charges</t>
  </si>
  <si>
    <t>Bank charges</t>
  </si>
  <si>
    <t>Interest expenses on</t>
  </si>
  <si>
    <t>Interest on LL</t>
  </si>
  <si>
    <t>Other fin exp</t>
  </si>
  <si>
    <r>
      <t xml:space="preserve">- Dues to MSME (refer note 14.2) </t>
    </r>
    <r>
      <rPr>
        <vertAlign val="superscript"/>
        <sz val="9"/>
        <color theme="1"/>
        <rFont val="Arial"/>
        <family val="2"/>
      </rPr>
      <t>(#)</t>
    </r>
  </si>
  <si>
    <t>- Other interest costs</t>
  </si>
  <si>
    <t>Other intersest cost</t>
  </si>
  <si>
    <t xml:space="preserve">     - others</t>
  </si>
  <si>
    <r>
      <rPr>
        <vertAlign val="superscript"/>
        <sz val="9"/>
        <rFont val="Arial"/>
        <family val="2"/>
      </rPr>
      <t xml:space="preserve">(#) </t>
    </r>
    <r>
      <rPr>
        <sz val="9"/>
        <rFont val="Arial"/>
        <family val="2"/>
      </rPr>
      <t>Zero represents less than ₹0.5 Lakhs</t>
    </r>
  </si>
  <si>
    <t>Depreciation</t>
  </si>
  <si>
    <t>Depreciation on property, plant and equipment (refer note 3)</t>
  </si>
  <si>
    <t>Amortization</t>
  </si>
  <si>
    <t>Amortisation of intangible assets (refer note 4)</t>
  </si>
  <si>
    <t>Depreciation_ROU</t>
  </si>
  <si>
    <t>Corporate support services</t>
  </si>
  <si>
    <t>Corporate Support Services</t>
  </si>
  <si>
    <t>Legal and professional charges</t>
  </si>
  <si>
    <t>Legal and Prof.fee</t>
  </si>
  <si>
    <t>Advertisement and marketing expenses</t>
  </si>
  <si>
    <t>Advertising and marketing</t>
  </si>
  <si>
    <t>Travelling and conveyance</t>
  </si>
  <si>
    <t>Travelling and Conveyance</t>
  </si>
  <si>
    <t>Net loss on foreign currency transactions and translations</t>
  </si>
  <si>
    <t>Rates and taxes</t>
  </si>
  <si>
    <t>Communication exp</t>
  </si>
  <si>
    <t xml:space="preserve">Communication expenses </t>
  </si>
  <si>
    <t>Repairs and maintenance ;</t>
  </si>
  <si>
    <t>Repairs and maintenance</t>
  </si>
  <si>
    <t>Computer consumables</t>
  </si>
  <si>
    <t>Computer Consumables</t>
  </si>
  <si>
    <t>Other consumables</t>
  </si>
  <si>
    <t>Other R&amp;M</t>
  </si>
  <si>
    <t>Provision for doubtful trade receivables</t>
  </si>
  <si>
    <t>Provision for doubtful trade receivables and advances (net of reversal/utilisation)</t>
  </si>
  <si>
    <t>Membership and subscription</t>
  </si>
  <si>
    <t>Rent</t>
  </si>
  <si>
    <t>Power and fuel</t>
  </si>
  <si>
    <t>Payments to auditors (Refer Note (i) below)</t>
  </si>
  <si>
    <t>Payments to auditors (refer Note 24.1)</t>
  </si>
  <si>
    <t>Miscellaneous expenses</t>
  </si>
  <si>
    <t>Misc Exp</t>
  </si>
  <si>
    <t>Statutory audit</t>
  </si>
  <si>
    <t>Tax audit</t>
  </si>
  <si>
    <t>Other services</t>
  </si>
  <si>
    <t>Out of pocket expenses</t>
  </si>
  <si>
    <t>Impairment of goodwill</t>
  </si>
  <si>
    <t>Impairment of Goodwill</t>
  </si>
  <si>
    <t>The Company merged with Paladion Cyber Technologies Private Limited during the financial year 2017 - 2018. As a result, the Company had recorded goodwill amounting to INR 36,484 in its books. Goodwill amounting to INR 18,242  had been impaired by the Company unto 01 April 2019 (transition date to IndAS). The management assessed the carrying value of goodwill in the books for impairment on annual basis. In the current year, the management believes that the goodwill recorded in the books does not have any future econominc benefits as all contracts acquired from Paladion Cyber Technologies Private Limited have completed its tenure and thus has impaired the balance goodwill amounting to INR 18,242 in the 2023-24, Current year:NIL.</t>
  </si>
  <si>
    <t>(a) Deferred and Income-tax expense through the statement of profit and loss</t>
  </si>
  <si>
    <t>Profit or loss section</t>
  </si>
  <si>
    <t>Current tax:</t>
  </si>
  <si>
    <t xml:space="preserve">IT </t>
  </si>
  <si>
    <t>Current tax on profits for the year</t>
  </si>
  <si>
    <t>Deferred tax charge/ (credit):</t>
  </si>
  <si>
    <t>In respect of current year origination and reversal of temporary differences</t>
  </si>
  <si>
    <t xml:space="preserve">Total tax expense </t>
  </si>
  <si>
    <t>(b) Income-tax on other comprehensive income</t>
  </si>
  <si>
    <t>(Benefit) on re-measurements of defined benefit plans</t>
  </si>
  <si>
    <t>Total tax expense recognised in other comprehensive income</t>
  </si>
  <si>
    <t>(c) Reconciliation of tax expense and the accounting profit /(loss) multiplied by India’s tax rate:</t>
  </si>
  <si>
    <t>Accounting profit/ (loss) before taxes</t>
  </si>
  <si>
    <t>Applicable income tax rate</t>
  </si>
  <si>
    <t>Tax as per statutory income tax rate</t>
  </si>
  <si>
    <t>Add/(Less): Impact of Permanent difference</t>
  </si>
  <si>
    <t>Non-deductible interest and taxes</t>
  </si>
  <si>
    <r>
      <t xml:space="preserve">Difference on account of adoption of new tax rate </t>
    </r>
    <r>
      <rPr>
        <vertAlign val="superscript"/>
        <sz val="9"/>
        <rFont val="Arial"/>
        <family val="2"/>
      </rPr>
      <t>(*)</t>
    </r>
  </si>
  <si>
    <t>Taxes on exceptional items</t>
  </si>
  <si>
    <t>DTA Reversal on business loss</t>
  </si>
  <si>
    <t>Other differences</t>
  </si>
  <si>
    <t>Efffective tax</t>
  </si>
  <si>
    <t>(d) Reconciliation of tax expense in terms of %</t>
  </si>
  <si>
    <t>Efffective tax rate</t>
  </si>
  <si>
    <t>Computed</t>
  </si>
  <si>
    <t>- current tax</t>
  </si>
  <si>
    <t>- deferred tax</t>
  </si>
  <si>
    <t>Total Tax</t>
  </si>
  <si>
    <t>Deferred tax not recognised last year</t>
  </si>
  <si>
    <t>Adjustments for current tax of prior periods</t>
  </si>
  <si>
    <t>Net Amount</t>
  </si>
  <si>
    <r>
      <rPr>
        <vertAlign val="superscript"/>
        <sz val="9"/>
        <rFont val="Arial"/>
        <family val="2"/>
      </rPr>
      <t xml:space="preserve">(*) </t>
    </r>
    <r>
      <rPr>
        <sz val="9"/>
        <rFont val="Arial"/>
        <family val="2"/>
      </rPr>
      <t xml:space="preserve">The Company has opted for new tax regime u/s 115BAA from the  year i.e. FY 2021-22 as it was beneficial to the Company. </t>
    </r>
  </si>
  <si>
    <t>(e) Tax assets:</t>
  </si>
  <si>
    <t>Tax paid under protest</t>
  </si>
  <si>
    <t>Advance tax (net of provision for taxation)</t>
  </si>
  <si>
    <t>(f) Reconciliation of provision for taxation</t>
  </si>
  <si>
    <t>Add:  Tax paid (including tax deducted at source and payment under protest)</t>
  </si>
  <si>
    <t>Less: Provision recognised during the year</t>
  </si>
  <si>
    <t>Less: Refund received</t>
  </si>
  <si>
    <t>Income tax assets</t>
  </si>
  <si>
    <t>(g) Deferred tax assets (net)</t>
  </si>
  <si>
    <t>Deferred tax asset/ (liability) arising on account of :</t>
  </si>
  <si>
    <t>Difference in written down value of property and equipment</t>
  </si>
  <si>
    <t>Provision for employees benefits</t>
  </si>
  <si>
    <t>Provision for advances / trade receivables</t>
  </si>
  <si>
    <t>Unabsorbed depreciation</t>
  </si>
  <si>
    <t>Brought forward losses</t>
  </si>
  <si>
    <t>Section 40(a) disallowance on account of non-deduction of TDS</t>
  </si>
  <si>
    <t>Deferred Tax Assets</t>
  </si>
  <si>
    <t>Net deferred tax asset</t>
  </si>
  <si>
    <t>(i) Movement in deferred tax assets and deferred tax liabilities from 01 April 2024 to 31 March 2025</t>
  </si>
  <si>
    <t>Opening balance as on 
01 April 2024</t>
  </si>
  <si>
    <t>Recognised in statement of profit and loss</t>
  </si>
  <si>
    <t>Recognised in other comprehensive income</t>
  </si>
  <si>
    <t>Closing balance as on 
31 March 2025</t>
  </si>
  <si>
    <t>(ii) Movement in deferred tax assets and deferred tax liabilities from 1 April 2023 to 31 March 2024</t>
  </si>
  <si>
    <t>Opening balance as on 
1 April 2023</t>
  </si>
  <si>
    <t>Closing balance as on 
31 March 2024</t>
  </si>
  <si>
    <t>Provision for Advances / Trade Receivables</t>
  </si>
  <si>
    <r>
      <t xml:space="preserve">Note : </t>
    </r>
    <r>
      <rPr>
        <sz val="9"/>
        <rFont val="Arial"/>
        <family val="2"/>
      </rPr>
      <t>Deferred tax assets are recognised for timing differences of items other than unabsorbed depreciation and carry forward losses only to the extent that reasonable certainty exists that sufficient future taxable income will be available against which these can be realised. However, if there are unabsorbed depreciation and carry forward of losses, and items related to capital losses, deferred tax assets are recognised only if there is virtual certainty, supported by convincing evidence, that there will be sufficient future taxable income available to realise the assets. Deferred tax assets are reviewed at each balance sheet date for their realisability.</t>
    </r>
    <r>
      <rPr>
        <b/>
        <sz val="9"/>
        <rFont val="Arial"/>
        <family val="2"/>
      </rPr>
      <t xml:space="preserve"> </t>
    </r>
  </si>
  <si>
    <t>The numerators and denominators used to calculate the basic and diluted earnings per share are as follows:</t>
  </si>
  <si>
    <t>Net profit attributable to shareholders for basic/diluted earnings per share</t>
  </si>
  <si>
    <t>Weighted average number of equity shares for basic earnings per share</t>
  </si>
  <si>
    <t>Basic earnings per share (₹)</t>
  </si>
  <si>
    <t>Weighted average number of equity shares for diluted earnings per share</t>
  </si>
  <si>
    <t>Diluted earnings per share (₹)</t>
  </si>
  <si>
    <t>a)</t>
  </si>
  <si>
    <t>Defined contribution plans</t>
  </si>
  <si>
    <t>The Company's defined contribution plans are provident fund, employee state insurance and employees’ pension scheme (under the provisions of the Employees’ Provident Funds and Miscellaneous Provisions Act, 1952).</t>
  </si>
  <si>
    <t>The Company has recognised the following amounts in the statement of profit and loss for the year:</t>
  </si>
  <si>
    <t>31 March 2025</t>
  </si>
  <si>
    <t>31 March 2024</t>
  </si>
  <si>
    <t>Contribution to provident and other funds</t>
  </si>
  <si>
    <t>Defined benefit plans</t>
  </si>
  <si>
    <t>(I)</t>
  </si>
  <si>
    <t>Gratuity (unfunded)</t>
  </si>
  <si>
    <t>The gratuity plan is governed by the Payment of Gratuity Act, 1972 under which an employee who has completed five years of service is entitled to specific benefits. The level of benefits provided depends on the member’s length of service and salary at retirement age.</t>
  </si>
  <si>
    <t xml:space="preserve">There is no compulsion on the part of the Company to pre fund the liability of the plan. The Company’s philosophy is to not externally fund these liabilities but instead create an accounting provisions in its books of accounts and pay the gratuity to its employees directly from its own resources as and when the employee leaves the Company. </t>
  </si>
  <si>
    <t>The following tables summarize the components of net benefit expense recognised in the statement of profit and loss and the amount recognised in the balance sheet for the defined benefit plan.</t>
  </si>
  <si>
    <t xml:space="preserve">Gratuity benefits </t>
  </si>
  <si>
    <t>Change in the present value of the defined benefit obligation:</t>
  </si>
  <si>
    <t>Opening defined benefit obligation</t>
  </si>
  <si>
    <t>Interest cost</t>
  </si>
  <si>
    <t>Current service cost</t>
  </si>
  <si>
    <t>Past service cost</t>
  </si>
  <si>
    <t>Benefits paid</t>
  </si>
  <si>
    <t>Actuarial losses/(gains) on obligation</t>
  </si>
  <si>
    <t>Closing defined benefit obligation</t>
  </si>
  <si>
    <t>Amount recognised in the balance sheet</t>
  </si>
  <si>
    <t>Present value of defined benefit obligation at the end of the period</t>
  </si>
  <si>
    <t>Fair value of plan assets at the end of the period</t>
  </si>
  <si>
    <t>Net liability for India</t>
  </si>
  <si>
    <t>Net liability for Middle East</t>
  </si>
  <si>
    <t>Classification</t>
  </si>
  <si>
    <t>Non current</t>
  </si>
  <si>
    <t xml:space="preserve">Amount recognised as liability </t>
  </si>
  <si>
    <t>(Amounts are stated in ₹  unless otherwise stated)</t>
  </si>
  <si>
    <t>Expense recognised in the statement of profit and loss:</t>
  </si>
  <si>
    <t>Amount of expense for India</t>
  </si>
  <si>
    <t>Middle East cost</t>
  </si>
  <si>
    <t>Expense recognised in the statement of profit and loss</t>
  </si>
  <si>
    <t>Expense recognised in the other comprehensive income:</t>
  </si>
  <si>
    <t>Opening amount recognized in other comprehensive income</t>
  </si>
  <si>
    <t>Actuarial (gain) / loss on defined benefit obligations</t>
  </si>
  <si>
    <t>Net expense recognised in the total comprehensive income</t>
  </si>
  <si>
    <t>Breakup of actuarial (gain) /loss</t>
  </si>
  <si>
    <t>Actuarial (gain) /loss on defined benefit obligation</t>
  </si>
  <si>
    <t xml:space="preserve">    Changes in demographic assumptions </t>
  </si>
  <si>
    <t xml:space="preserve">    Changes in financial assumptions</t>
  </si>
  <si>
    <t xml:space="preserve">    Changes in experience adjustments</t>
  </si>
  <si>
    <t>Actuarial (gain)/loss</t>
  </si>
  <si>
    <t>Actuarial assumptions used</t>
  </si>
  <si>
    <t>Discount rate (per annum)</t>
  </si>
  <si>
    <t>Salary escalation rate (per annum)</t>
  </si>
  <si>
    <t>Rate of employee turnover</t>
  </si>
  <si>
    <t>Mortality Rate During Employment</t>
  </si>
  <si>
    <t>Indian Assured Lives Mortality (2006-08) Urban</t>
  </si>
  <si>
    <t>Sensitivity analysis</t>
  </si>
  <si>
    <t>Increase by 1%</t>
  </si>
  <si>
    <t>Decrease by 1%</t>
  </si>
  <si>
    <t>Discount rate</t>
  </si>
  <si>
    <t>Increase/ (decrease) in the defined benefit liability</t>
  </si>
  <si>
    <t>Salary escalation rate</t>
  </si>
  <si>
    <t>Employee Turnover rate</t>
  </si>
  <si>
    <t>The sensitivity analysis is based on a change in one assumption while not changing all other assumptions. This analysis may not be representative of the actual change in the defined benefit obligation as it is unlikely that the change in the assumptions would occur in isolation of one another since some of the assumptions may be co-related.</t>
  </si>
  <si>
    <t>Maturity Analysis of defined benefit obligations:</t>
  </si>
  <si>
    <t>Defined benefits payable in future years from the date of reporting</t>
  </si>
  <si>
    <t>1st following year</t>
  </si>
  <si>
    <t>2nd following year</t>
  </si>
  <si>
    <t>3rd following year</t>
  </si>
  <si>
    <t>4th following year</t>
  </si>
  <si>
    <t>5th following year</t>
  </si>
  <si>
    <t>Sum of years 6 to 10</t>
  </si>
  <si>
    <t>(II)</t>
  </si>
  <si>
    <t>Compensated absences cover the Company's liability for sick and earned leaves. The amount of provision with respect of compensated absences is ₹ ...  (31 March 2024: ₹ 382) is presented as current liability as per the provisions note. The Company has recognised charge of ₹... (31 March 2024: ₹ 210) in the statement of profit and loss.</t>
  </si>
  <si>
    <t>Year Ended</t>
  </si>
  <si>
    <t>a) Right-of-use assets</t>
  </si>
  <si>
    <t>The carrying amount of right-of-use asset by class can be analysed as follows:</t>
  </si>
  <si>
    <t>Leasehold premises</t>
  </si>
  <si>
    <t>Deletions</t>
  </si>
  <si>
    <t>Exchange Impact(*)</t>
  </si>
  <si>
    <t>Exchange Impact</t>
  </si>
  <si>
    <t>b) Lease liabilities</t>
  </si>
  <si>
    <t>Gross carrying value</t>
  </si>
  <si>
    <t xml:space="preserve"> As at 01 April 2023</t>
  </si>
  <si>
    <t>Interest expense</t>
  </si>
  <si>
    <t>Repayment of lease liability</t>
  </si>
  <si>
    <t>Payment of interest</t>
  </si>
  <si>
    <t>(*) Represents exchange difference resulting from translation of ROU relating to foreign branches.</t>
  </si>
  <si>
    <t>Non-Current</t>
  </si>
  <si>
    <t>Undiscounted finance lease liabilities are repayable as follows:</t>
  </si>
  <si>
    <t>Within 1 year</t>
  </si>
  <si>
    <t>Over 1 year</t>
  </si>
  <si>
    <t>Less: interest</t>
  </si>
  <si>
    <t>Amount recognised in statement of profit and loss account</t>
  </si>
  <si>
    <t>Depreciation on right-of-use assets</t>
  </si>
  <si>
    <t>Interest on lease liabilities</t>
  </si>
  <si>
    <t xml:space="preserve">Rent expenses </t>
  </si>
  <si>
    <r>
      <rPr>
        <b/>
        <sz val="9"/>
        <color theme="1"/>
        <rFont val="Arial"/>
        <family val="2"/>
      </rPr>
      <t>c).Net investement details(Intermediate lessor)</t>
    </r>
    <r>
      <rPr>
        <sz val="9"/>
        <color theme="1"/>
        <rFont val="Arial"/>
        <family val="2"/>
      </rPr>
      <t xml:space="preserve"> </t>
    </r>
  </si>
  <si>
    <t>As at 01 April 2024</t>
  </si>
  <si>
    <t>Interest income</t>
  </si>
  <si>
    <t>Receipt</t>
  </si>
  <si>
    <t>Interest rates used for discounting (per annum)</t>
  </si>
  <si>
    <t>JP Nagar</t>
  </si>
  <si>
    <t>Whitefield</t>
  </si>
  <si>
    <t>Mumbai</t>
  </si>
  <si>
    <t>In accordance with the requirement of Indian Accounting Standard (Ind AS) 24 "Related Party Disclosures", names of the related parties, related party relationships, transactions and outstanding balances including commitments where control exists and with whom transactions have taken place during the reported period are as follows:</t>
  </si>
  <si>
    <t>Names of the related parties and the nature of relationship:</t>
  </si>
  <si>
    <t>Relationship</t>
  </si>
  <si>
    <t>Name of the Related Party</t>
  </si>
  <si>
    <t>Ultimate Holding company</t>
  </si>
  <si>
    <t>Atos SE</t>
  </si>
  <si>
    <t>Intermediary Holding company</t>
  </si>
  <si>
    <t>Syntel Private Limited( w.e.f 26 April 2023)</t>
  </si>
  <si>
    <t>960115</t>
  </si>
  <si>
    <t>Atos Global IT Solutions &amp; Services private limited (up to 25 April 2023)</t>
  </si>
  <si>
    <t>960924</t>
  </si>
  <si>
    <t>Paladion Technologies Inc., USA</t>
  </si>
  <si>
    <t>960A19</t>
  </si>
  <si>
    <t>Subsidiary (from 08.10.2020)</t>
  </si>
  <si>
    <t>Paladion Networks (Thailand) Co. Limited.</t>
  </si>
  <si>
    <t>960A27</t>
  </si>
  <si>
    <t>960A23</t>
  </si>
  <si>
    <t>960A25</t>
  </si>
  <si>
    <t>960A26</t>
  </si>
  <si>
    <t>Fellow subsidiary</t>
  </si>
  <si>
    <t>Atos France SAS</t>
  </si>
  <si>
    <t>960022</t>
  </si>
  <si>
    <t>Atos International S.A.S</t>
  </si>
  <si>
    <t>960024</t>
  </si>
  <si>
    <t>Atos Meda SAS</t>
  </si>
  <si>
    <t>960093</t>
  </si>
  <si>
    <t>Atos Syntel Inc. (US)</t>
  </si>
  <si>
    <t>960099</t>
  </si>
  <si>
    <t>Atos Information Technology GmbH Berlin</t>
  </si>
  <si>
    <t>960100</t>
  </si>
  <si>
    <t>Eviden Nederland B.V.</t>
  </si>
  <si>
    <t>960222</t>
  </si>
  <si>
    <t>Atos Luxembourg PSF S.A.</t>
  </si>
  <si>
    <t>960330</t>
  </si>
  <si>
    <t>Eviden AG (Zurich)</t>
  </si>
  <si>
    <t>960360</t>
  </si>
  <si>
    <t>Eviden USA Inc.</t>
  </si>
  <si>
    <t>960B72</t>
  </si>
  <si>
    <t>Eviden India Private Limited</t>
  </si>
  <si>
    <t>960396</t>
  </si>
  <si>
    <t>Atos Information Technology</t>
  </si>
  <si>
    <t>960401</t>
  </si>
  <si>
    <t>Eviden Belgium NV/SA</t>
  </si>
  <si>
    <t>960503</t>
  </si>
  <si>
    <t>Atos Information Technology HK Limited</t>
  </si>
  <si>
    <t>960535</t>
  </si>
  <si>
    <t>Atos Poland Global Services Sp. z o</t>
  </si>
  <si>
    <t>960554</t>
  </si>
  <si>
    <t>Atos (PTY) LTD</t>
  </si>
  <si>
    <t>960559</t>
  </si>
  <si>
    <t>Atos Spain SA</t>
  </si>
  <si>
    <t>960560</t>
  </si>
  <si>
    <t>Atos  IT Services UK Limited</t>
  </si>
  <si>
    <t>960584</t>
  </si>
  <si>
    <t>Atos Origin FZ LLC</t>
  </si>
  <si>
    <t>960698/685</t>
  </si>
  <si>
    <t>Atos Saudi Riyadh</t>
  </si>
  <si>
    <t>960697</t>
  </si>
  <si>
    <t>Eviden Canada, Inc</t>
  </si>
  <si>
    <t>960723</t>
  </si>
  <si>
    <t>Atos IT Solutions and Servcies A/S</t>
  </si>
  <si>
    <t>960728</t>
  </si>
  <si>
    <t>Atos Information Technology GmbH</t>
  </si>
  <si>
    <t>960735</t>
  </si>
  <si>
    <t>Atos IT solutions and Services Ltd Dublin</t>
  </si>
  <si>
    <t>960741</t>
  </si>
  <si>
    <t>Atos IT Solutions and Services</t>
  </si>
  <si>
    <t>960745</t>
  </si>
  <si>
    <t>Eviden Technologies S.R.L.</t>
  </si>
  <si>
    <t>960750</t>
  </si>
  <si>
    <t>Eviden IT Solutions and Services Limited</t>
  </si>
  <si>
    <t>960760</t>
  </si>
  <si>
    <t>Atos Qatar LLC</t>
  </si>
  <si>
    <t>960782</t>
  </si>
  <si>
    <t>Bull Algérie</t>
  </si>
  <si>
    <t>960827</t>
  </si>
  <si>
    <t>Bull ITD SAO Paulo</t>
  </si>
  <si>
    <t>960833</t>
  </si>
  <si>
    <t>Bull SAS</t>
  </si>
  <si>
    <t>960846</t>
  </si>
  <si>
    <t>Eviden IT Services Private Limited</t>
  </si>
  <si>
    <t>960928</t>
  </si>
  <si>
    <t>Atos IT Outsourcing Services, LLC</t>
  </si>
  <si>
    <t>960931</t>
  </si>
  <si>
    <t>Agarik SAS</t>
  </si>
  <si>
    <t>960847</t>
  </si>
  <si>
    <t>Motiv IT Masters B.V.</t>
  </si>
  <si>
    <t>960A53</t>
  </si>
  <si>
    <t>Atos Integration SAS</t>
  </si>
  <si>
    <t>960096</t>
  </si>
  <si>
    <t>Atos Brasil Ltda</t>
  </si>
  <si>
    <t>960372</t>
  </si>
  <si>
    <t>Atos IT Solutions and Services Inc.</t>
  </si>
  <si>
    <t>960376</t>
  </si>
  <si>
    <t>Atos IT SAE</t>
  </si>
  <si>
    <t>960696</t>
  </si>
  <si>
    <t>Atos Investissement 22</t>
  </si>
  <si>
    <t>960816</t>
  </si>
  <si>
    <t>Eviden</t>
  </si>
  <si>
    <t>960854</t>
  </si>
  <si>
    <t>Atos Global IT Solutions &amp; Services Private Limited</t>
  </si>
  <si>
    <t>Eviden Poland R&amp;D sp. z o.o.</t>
  </si>
  <si>
    <t>960A03</t>
  </si>
  <si>
    <t>Eviden France SAS</t>
  </si>
  <si>
    <t>960A37</t>
  </si>
  <si>
    <t>SEC Consult Singapore Pte. Ltd</t>
  </si>
  <si>
    <t>960A46</t>
  </si>
  <si>
    <t>Atos Technologies Canada Inc.</t>
  </si>
  <si>
    <t>960B28</t>
  </si>
  <si>
    <t>Atos AG</t>
  </si>
  <si>
    <t>960B29</t>
  </si>
  <si>
    <t>ATOS Belgium BV</t>
  </si>
  <si>
    <t>960B43</t>
  </si>
  <si>
    <t>Atos Netherlands B.V.</t>
  </si>
  <si>
    <t>960B45</t>
  </si>
  <si>
    <t>Eviden Technology Services Limited</t>
  </si>
  <si>
    <t>960B53</t>
  </si>
  <si>
    <t>Eviden Technologies Mexico</t>
  </si>
  <si>
    <t>960B61</t>
  </si>
  <si>
    <t>Eviden Germany GmbH</t>
  </si>
  <si>
    <t>960B76</t>
  </si>
  <si>
    <t>Eagle Creek Software Services, Inc</t>
  </si>
  <si>
    <t>960A49</t>
  </si>
  <si>
    <t>Step down subsiiary</t>
  </si>
  <si>
    <t>Paladion Information Technology LLC, Saudi</t>
  </si>
  <si>
    <t>960A24</t>
  </si>
  <si>
    <t>Key Management Personnel (KMP)</t>
  </si>
  <si>
    <t>Arvind Jugalkishor Bajaj (w.e.f 08 October 2020)</t>
  </si>
  <si>
    <t>Umar Ali Sheikh (w.e.f 08 October 2020 to 26 June 2023)</t>
  </si>
  <si>
    <t>Rakesh Khanna (w.e.f 23 June 2023)</t>
  </si>
  <si>
    <t>Entity over which the KMP exercises significant influence.</t>
  </si>
  <si>
    <t>Paladion Network LLC, Dubai, UAE</t>
  </si>
  <si>
    <t>Paladion Networks LLC, Abu Dhabi, UAE</t>
  </si>
  <si>
    <t>The above information has been determined to the extent such parties have been identified on the basis of information available with the Company, which has been relied upon by the auditors.</t>
  </si>
  <si>
    <t>Transactions with related parties</t>
  </si>
  <si>
    <t>Nature of transaction</t>
  </si>
  <si>
    <t>Name of the related party</t>
  </si>
  <si>
    <t>Country</t>
  </si>
  <si>
    <t>Relationship with the 
related party</t>
  </si>
  <si>
    <t>Sale of services (Revenue)</t>
  </si>
  <si>
    <t>Dubai</t>
  </si>
  <si>
    <t>Subsidiary</t>
  </si>
  <si>
    <t>Qatar</t>
  </si>
  <si>
    <t>Saudi Arabia</t>
  </si>
  <si>
    <t>Atos It Solutions and Services, Inc.</t>
  </si>
  <si>
    <t>France</t>
  </si>
  <si>
    <t>Eviden Netherlands B.V</t>
  </si>
  <si>
    <t>Nederlands</t>
  </si>
  <si>
    <t>Luxembourg</t>
  </si>
  <si>
    <t>Switzerland</t>
  </si>
  <si>
    <t>Singapore</t>
  </si>
  <si>
    <t>Belgium</t>
  </si>
  <si>
    <t>Hongkong</t>
  </si>
  <si>
    <t>United Kingdom</t>
  </si>
  <si>
    <t>960698 / 685</t>
  </si>
  <si>
    <t>Canada</t>
  </si>
  <si>
    <t>Denmark</t>
  </si>
  <si>
    <t>Ireland</t>
  </si>
  <si>
    <t>BULL SAS</t>
  </si>
  <si>
    <t>Algeria</t>
  </si>
  <si>
    <t>Brazil</t>
  </si>
  <si>
    <t>Atos Global IT Solutions &amp; Services Pvt Ltd</t>
  </si>
  <si>
    <t>Atos Meda Sas</t>
  </si>
  <si>
    <t>EVIDEN IT Solutions and Services Limited</t>
  </si>
  <si>
    <t>Thailand</t>
  </si>
  <si>
    <t>Spain</t>
  </si>
  <si>
    <t>Atos (Pty) Ltd</t>
  </si>
  <si>
    <t>South Africa</t>
  </si>
  <si>
    <t>Atos Integration S.A.S</t>
  </si>
  <si>
    <t>Abu Dhabi</t>
  </si>
  <si>
    <t xml:space="preserve">Syntel Pvt Ltd </t>
  </si>
  <si>
    <t>Atos Brazil LTDA</t>
  </si>
  <si>
    <t xml:space="preserve">Atos IT SAE </t>
  </si>
  <si>
    <t>Egypt</t>
  </si>
  <si>
    <t>Atos Investessement 22</t>
  </si>
  <si>
    <t>Atos Technologies Canada Inc</t>
  </si>
  <si>
    <t>Atos Belgium BV</t>
  </si>
  <si>
    <t>Eviden Technologies Mexio</t>
  </si>
  <si>
    <t>RPT</t>
  </si>
  <si>
    <t>Eviden Germany GM</t>
  </si>
  <si>
    <t>Check</t>
  </si>
  <si>
    <t>For the year ended
31 March 2023</t>
  </si>
  <si>
    <t>Paladion Networks LLC, Dubai, UAE</t>
  </si>
  <si>
    <t>Romania</t>
  </si>
  <si>
    <t>Syntel Pvt Ltd</t>
  </si>
  <si>
    <t>Eviden Netherlands B.V.</t>
  </si>
  <si>
    <t>Poland</t>
  </si>
  <si>
    <t>960698</t>
  </si>
  <si>
    <t xml:space="preserve">Atos Spain SA </t>
  </si>
  <si>
    <t>Eviden USA, Inc.</t>
  </si>
  <si>
    <t>Netherlands</t>
  </si>
  <si>
    <t>Evidian SA</t>
  </si>
  <si>
    <t>Legal &amp; professional charges</t>
  </si>
  <si>
    <t>Syntel private limited</t>
  </si>
  <si>
    <t>Repairs &amp; Maintenance-others</t>
  </si>
  <si>
    <t>Power &amp; Fuel</t>
  </si>
  <si>
    <t>Intermediate Holding company</t>
  </si>
  <si>
    <t>Communiaction expenses</t>
  </si>
  <si>
    <t>Salaries &amp; Wages</t>
  </si>
  <si>
    <t>Other interests cost</t>
  </si>
  <si>
    <t>Gain on dereocognition of ROU</t>
  </si>
  <si>
    <t>Amortization of deferred rent(income)</t>
  </si>
  <si>
    <t>Interest income on lease receivable</t>
  </si>
  <si>
    <t>Balance with related parties with parties referred above</t>
  </si>
  <si>
    <t>Nature of Balances</t>
  </si>
  <si>
    <t>Relationship with the related party</t>
  </si>
  <si>
    <t>Investment in subsidiary</t>
  </si>
  <si>
    <t>Paladion Networks LLC-Abu Dhabi, UAE</t>
  </si>
  <si>
    <t>Atos India Private Limited (Eviden India Private Limited)</t>
  </si>
  <si>
    <t>Luxumbourg</t>
  </si>
  <si>
    <t>Eviden AG</t>
  </si>
  <si>
    <t>Honk Kong</t>
  </si>
  <si>
    <t>960685</t>
  </si>
  <si>
    <t>Motiv IT Masters B.V</t>
  </si>
  <si>
    <t xml:space="preserve">Eviden Germany GmbH </t>
  </si>
  <si>
    <t>ATOS Integration SAS, Abu Dhabi</t>
  </si>
  <si>
    <t>UAE</t>
  </si>
  <si>
    <t>Security Deposits</t>
  </si>
  <si>
    <t>Payable to group companies</t>
  </si>
  <si>
    <t>Advance received</t>
  </si>
  <si>
    <t>Unearned Revenue</t>
  </si>
  <si>
    <t>Nederland</t>
  </si>
  <si>
    <t>ATOS Qatar LLC</t>
  </si>
  <si>
    <t>Paladion Networks LLC - Dubai, UAE</t>
  </si>
  <si>
    <t>Bull SAS</t>
  </si>
  <si>
    <t>Eviden SA</t>
  </si>
  <si>
    <t>Atos Syntel Inc.</t>
  </si>
  <si>
    <t>Accrued Expenses</t>
  </si>
  <si>
    <t>As at
31 March 2025</t>
  </si>
  <si>
    <t>As at
31 March 2024</t>
  </si>
  <si>
    <t>Atos (Pty) Limited</t>
  </si>
  <si>
    <t>South Afrca</t>
  </si>
  <si>
    <t xml:space="preserve">Atos Brasil Ltda </t>
  </si>
  <si>
    <t>Eviden Germany GmbH 0B76</t>
  </si>
  <si>
    <t>Receivable from Related Party</t>
  </si>
  <si>
    <t>Security Deposit Refundable</t>
  </si>
  <si>
    <t xml:space="preserve">Deferred Rent </t>
  </si>
  <si>
    <t>Internally developed software</t>
  </si>
  <si>
    <t>Fellow Subsidiary</t>
  </si>
  <si>
    <t>The sales to and purchases from related parties are made on terms equivalent to those that prevail in arm’s length transactions. Outstanding balances at the year-end are unsecured and interest free and settlement occurs in cash. There have been no guarantees provided or received for any related party receivables or payables. For the year ended 31 March 2025, the Company has not recorded any impairment of receivables relating to amounts owed by related parties (31 March 2024: INR Nil). This assessment is undertaken each financial year through examining the financial position of the related party and the market in which the related party operates.</t>
  </si>
  <si>
    <t>d)</t>
  </si>
  <si>
    <t xml:space="preserve"> Compensation of key management personnel of the company</t>
  </si>
  <si>
    <t>Particular</t>
  </si>
  <si>
    <r>
      <t>Remuneration &amp; short term benefit</t>
    </r>
    <r>
      <rPr>
        <b/>
        <vertAlign val="superscript"/>
        <sz val="9"/>
        <rFont val="Arial"/>
        <family val="2"/>
      </rPr>
      <t>(*)</t>
    </r>
  </si>
  <si>
    <t>Other benefits</t>
  </si>
  <si>
    <t>Remuneration &amp; short term benefit</t>
  </si>
  <si>
    <t xml:space="preserve">Other benefits </t>
  </si>
  <si>
    <t>Padmanabha Kundapur Krishnamurthy</t>
  </si>
  <si>
    <t>Issue of Compulsorily convertible non cumulative preference shares pursuant towards scheme of amalgamation</t>
  </si>
  <si>
    <r>
      <rPr>
        <b/>
        <sz val="9"/>
        <rFont val="Arial"/>
        <family val="2"/>
      </rPr>
      <t xml:space="preserve">(*) </t>
    </r>
    <r>
      <rPr>
        <sz val="9"/>
        <rFont val="Arial"/>
        <family val="2"/>
      </rPr>
      <t>Managerial remuneration for the year ended 31 March 2023 : NIL (31 March 2022 : NIL)  
     From 08 October 2020 there was a change in management an no fees was payable to the new management from the Company.</t>
    </r>
  </si>
  <si>
    <t>Financial assets and financial liabilities</t>
  </si>
  <si>
    <t>Financial assets at fair value through profit and loss</t>
  </si>
  <si>
    <t>Carrying value</t>
  </si>
  <si>
    <t>Fair value</t>
  </si>
  <si>
    <t>Investments in instruments of subsidiary</t>
  </si>
  <si>
    <t>Financial assets and liabilities at amortized cost</t>
  </si>
  <si>
    <t>Financial assets - non-current</t>
  </si>
  <si>
    <t>Financial assets - current</t>
  </si>
  <si>
    <t>Trade receivable</t>
  </si>
  <si>
    <t>Total financial assets</t>
  </si>
  <si>
    <t>Financial liabilities - non-current</t>
  </si>
  <si>
    <t>Financial liabilities - current</t>
  </si>
  <si>
    <t>Other financial liabilties</t>
  </si>
  <si>
    <t>Total liabilities</t>
  </si>
  <si>
    <t>Financial assets include cash and cash equivalents, tax free deposits, trade receivables, unbilled receivables and Financial liabilities includes finance lease liabilities, employee and other advances, trade payables, and eligible current liabilities and non-current liabilities. The fair value of cash and cash equivalents, trade receivables, unbilled receivables, trade payables, other current financial assets and liabilities approximate their carrying amount largely due to the short-term nature of these instruments.</t>
  </si>
  <si>
    <t>The fair values of lease liabilities, security deposits, loans and other financial assets and liabilities are considered to be the same as their carrying values, as there is an immaterial change in the lending rates.</t>
  </si>
  <si>
    <t>Fair value hierarchy for assets and liabilities</t>
  </si>
  <si>
    <t>Fair value is the price that would be received to sell an asset or paid to transfer a liability in an orderly transaction between market participants at the measurement date under current market conditions.</t>
  </si>
  <si>
    <t>The Group categorizes assets and liabilities measured at fair value into one of three levels depending on the ability to observe inputs employed in their measurement which are described as follows:</t>
  </si>
  <si>
    <t>Level 1: Quoted (unadjusted) prices in active markets for identical assets or liablities.</t>
  </si>
  <si>
    <r>
      <t>Level 2</t>
    </r>
    <r>
      <rPr>
        <b/>
        <sz val="9"/>
        <color theme="1"/>
        <rFont val="Arial"/>
        <family val="2"/>
      </rPr>
      <t xml:space="preserve">: </t>
    </r>
    <r>
      <rPr>
        <sz val="9"/>
        <color theme="1"/>
        <rFont val="Arial"/>
        <family val="2"/>
      </rPr>
      <t>Other techniques for which all inputs which have a signifcant effect on the recorded fair values are observable, either directly or indirectly.</t>
    </r>
  </si>
  <si>
    <t>Level 3: Techniques which use inputs that have a signifcant effect on the recorded fair value that are not based on observable market data. The following table provides the fair value measurements hierarchy of the Group’s assets and liabilities:</t>
  </si>
  <si>
    <t>Fair value measurements hierarchy of the Company's assets and liabilities as at 31 March 2025:</t>
  </si>
  <si>
    <t>Quoted prices in active market
(Level 1)</t>
  </si>
  <si>
    <t>Significant observable inputs
(Level 2)</t>
  </si>
  <si>
    <t>Significant unobservable inputs
(Level 3)</t>
  </si>
  <si>
    <t>Fair value measurements hierarchy of the Company's assets and liabilities as at 31 March 2024:</t>
  </si>
  <si>
    <t>There have been no transfer between Level 1, Level 2 and Level 3 during the period 31 March 2025 and  31 March 2024.</t>
  </si>
  <si>
    <t>A wide range of risks may affect the Company's business and financial results. Amongst other risks that could have significant influence on the Company are market risk, credit risk and liquidity risk.
The Board of Directors of the Company manage and review the affairs of the Company by setting up short term and long term budgets by monitoring the same and taking suitable actions to minimise potential adverse effects on its operational and financial performance. This transaction has no impact on the financial statements for the year ended 31 March 2025.</t>
  </si>
  <si>
    <t>Market risk</t>
  </si>
  <si>
    <t>Market risk is the risk that the fair value of future cash flows of a financial instrument will fluctuate because of changes in market prices. Market risk comprises of three types of risks: currency risk, interest rate risk and other price risk such as equity price risk and commodity risk.</t>
  </si>
  <si>
    <t>Currency risk</t>
  </si>
  <si>
    <t>The Company is exposed to currency risk on receivables and payables that are denominated in foreign currencies.</t>
  </si>
  <si>
    <t>The carrying amounts of the Company's foreign currency denominated monetary assets and liabilities at the end of the reporting period are as follows:</t>
  </si>
  <si>
    <t>Foreign currency denomination</t>
  </si>
  <si>
    <t xml:space="preserve">Foreign currency </t>
  </si>
  <si>
    <t>Rupee equivalent</t>
  </si>
  <si>
    <t xml:space="preserve">Trade receivables </t>
  </si>
  <si>
    <t xml:space="preserve">USD </t>
  </si>
  <si>
    <t>AED</t>
  </si>
  <si>
    <t>EUR</t>
  </si>
  <si>
    <t>KWD</t>
  </si>
  <si>
    <t>GBP</t>
  </si>
  <si>
    <t>CHF</t>
  </si>
  <si>
    <t>MXN</t>
  </si>
  <si>
    <t>QAR</t>
  </si>
  <si>
    <r>
      <t>DZD</t>
    </r>
    <r>
      <rPr>
        <vertAlign val="superscript"/>
        <sz val="9"/>
        <rFont val="Arial"/>
        <family val="2"/>
      </rPr>
      <t xml:space="preserve"> (#)</t>
    </r>
  </si>
  <si>
    <r>
      <t>CAD</t>
    </r>
    <r>
      <rPr>
        <vertAlign val="superscript"/>
        <sz val="9"/>
        <rFont val="Arial"/>
        <family val="2"/>
      </rPr>
      <t>(#)</t>
    </r>
  </si>
  <si>
    <t>OMR</t>
  </si>
  <si>
    <t>SAR</t>
  </si>
  <si>
    <t>USD</t>
  </si>
  <si>
    <t>Bank Balances</t>
  </si>
  <si>
    <t xml:space="preserve">Trade payables </t>
  </si>
  <si>
    <r>
      <t xml:space="preserve">PLN </t>
    </r>
    <r>
      <rPr>
        <vertAlign val="superscript"/>
        <sz val="9"/>
        <rFont val="Arial"/>
        <family val="2"/>
      </rPr>
      <t>(#)</t>
    </r>
  </si>
  <si>
    <t>Other Payable</t>
  </si>
  <si>
    <t>Trade receivables include balance outstanding in INR amounting to ₹ ...(31 March 2024: ₹ 3107 ); Trade payable include balance outstanding in INR amounting to ₹ ... (31 March 2024 : ₹ 2673 ); Bank Balance include balance outstanding in INR amounting to ₹ ... (31 March 2024 : ₹ 735 ); for which the Company does not carry any currency risk; Other receivables include balance outstanding in INR amounting to ₹.... (31 March 2024 ₹ 327); Other payables include balance outstanding in INR amounting ₹.....(31 March 2024 ₹ 170)</t>
  </si>
  <si>
    <t xml:space="preserve">(ii) Foreign currency sensitivity </t>
  </si>
  <si>
    <t>5% increase</t>
  </si>
  <si>
    <t>5% decrease</t>
  </si>
  <si>
    <r>
      <t>DZD</t>
    </r>
    <r>
      <rPr>
        <vertAlign val="superscript"/>
        <sz val="9"/>
        <rFont val="Arial"/>
        <family val="2"/>
      </rPr>
      <t>(#)</t>
    </r>
    <r>
      <rPr>
        <sz val="9"/>
        <rFont val="Arial"/>
        <family val="2"/>
      </rPr>
      <t xml:space="preserve"> </t>
    </r>
  </si>
  <si>
    <r>
      <t>CHF</t>
    </r>
    <r>
      <rPr>
        <vertAlign val="superscript"/>
        <sz val="9"/>
        <rFont val="Arial"/>
        <family val="2"/>
      </rPr>
      <t>(#)</t>
    </r>
    <r>
      <rPr>
        <sz val="9"/>
        <rFont val="Arial"/>
        <family val="2"/>
      </rPr>
      <t xml:space="preserve"> </t>
    </r>
  </si>
  <si>
    <r>
      <t>CAD</t>
    </r>
    <r>
      <rPr>
        <vertAlign val="superscript"/>
        <sz val="9"/>
        <rFont val="Arial"/>
        <family val="2"/>
      </rPr>
      <t>(#)</t>
    </r>
    <r>
      <rPr>
        <sz val="9"/>
        <rFont val="Arial"/>
        <family val="2"/>
      </rPr>
      <t xml:space="preserve"> </t>
    </r>
  </si>
  <si>
    <r>
      <t>PLN</t>
    </r>
    <r>
      <rPr>
        <vertAlign val="superscript"/>
        <sz val="9"/>
        <rFont val="Arial"/>
        <family val="2"/>
      </rPr>
      <t>(#)</t>
    </r>
    <r>
      <rPr>
        <sz val="9"/>
        <rFont val="Arial"/>
        <family val="2"/>
      </rPr>
      <t xml:space="preserve"> </t>
    </r>
  </si>
  <si>
    <r>
      <t>SAR</t>
    </r>
    <r>
      <rPr>
        <vertAlign val="superscript"/>
        <sz val="9"/>
        <rFont val="Arial"/>
        <family val="2"/>
      </rPr>
      <t>(#)</t>
    </r>
    <r>
      <rPr>
        <sz val="9"/>
        <rFont val="Arial"/>
        <family val="2"/>
      </rPr>
      <t xml:space="preserve"> </t>
    </r>
  </si>
  <si>
    <t>(iii) Interest rate risk</t>
  </si>
  <si>
    <t>Interest rate risk is the risk that the fair value or future cash flows of a financial instrument will fluctuate because of changes in market interest rates. The Company is not significantly exposed to interest rate risk as the future cash flows are based on fixed rate on bank deposits.</t>
  </si>
  <si>
    <t>Credit risk</t>
  </si>
  <si>
    <t>Credit risk refers to the risk of default on its obligation by the counterparty resulting in a financial loss. The maximum exposure of the financial assets are contributed by trade receivables, unbilled revenue and cash and cash equivalents.</t>
  </si>
  <si>
    <t>The Company’s credit risk management policies and procedures is consistent with and leverages the risk management policies and procedures of the Atos Group which includes established framework for ensuring transparency of material credit risks, ensuring compliance with established limits and escalation of risk concentrations to appropriate senior management.</t>
  </si>
  <si>
    <t>Trade receivables and unbilled revenue</t>
  </si>
  <si>
    <t>Trade receivables and unbilled revenue are majorly from its group companies, hence reducing credit risk on the receivables. Breakup of trade receivables and unbilled revenue is as follows:</t>
  </si>
  <si>
    <t>Related party</t>
  </si>
  <si>
    <t>Liquidity risk</t>
  </si>
  <si>
    <t>Liquidity risk refers to the risk that the Company will be unable to finance its operations due to difficulty in liquidating its assets. Liquidity risk encompasses the risk that the Company’s financial condition is adversely affected by an inability or perceived inability to meet its financial obligations in a timely manner. It also includes the associated funding risks triggered by the market or idiosyncratic stress events that may cause unexpected changes in funding needs or an inability to realise the trade receivables. The Company consistently generates sufficient cash flows from operations to meet its financial obligations as and when they fall due.</t>
  </si>
  <si>
    <t>On Demand</t>
  </si>
  <si>
    <t xml:space="preserve">1 to 5 years </t>
  </si>
  <si>
    <t xml:space="preserve">More than 5 years </t>
  </si>
  <si>
    <t>As on 31 March 2025</t>
  </si>
  <si>
    <t>As on 31 March 2024</t>
  </si>
  <si>
    <t xml:space="preserve">i) </t>
  </si>
  <si>
    <t>Claims against the Company not acknowledged as debt</t>
  </si>
  <si>
    <t>- Service tax (disallowance of input credit)</t>
  </si>
  <si>
    <t>- Bank guarantees</t>
  </si>
  <si>
    <t>FEMA Compliance (refer note (b))</t>
  </si>
  <si>
    <t>Amount not determinable</t>
  </si>
  <si>
    <r>
      <rPr>
        <b/>
        <sz val="9"/>
        <rFont val="Arial"/>
        <family val="2"/>
      </rPr>
      <t>Note:</t>
    </r>
    <r>
      <rPr>
        <sz val="9"/>
        <rFont val="Arial"/>
        <family val="2"/>
      </rPr>
      <t xml:space="preserve">  
</t>
    </r>
    <r>
      <rPr>
        <b/>
        <sz val="9"/>
        <rFont val="Arial"/>
        <family val="2"/>
      </rPr>
      <t xml:space="preserve">a) </t>
    </r>
    <r>
      <rPr>
        <sz val="9"/>
        <rFont val="Arial"/>
        <family val="2"/>
      </rPr>
      <t>Outflow, if any, arising out of the said claim including interest, if any, would depend on the outcome of the decision of the concerned authority and the Company’s right for future appeal before the judiciary.</t>
    </r>
  </si>
  <si>
    <r>
      <rPr>
        <b/>
        <sz val="9"/>
        <rFont val="Arial"/>
        <family val="2"/>
      </rPr>
      <t xml:space="preserve">b) </t>
    </r>
    <r>
      <rPr>
        <sz val="9"/>
        <rFont val="Arial"/>
        <family val="2"/>
      </rPr>
      <t>The trade receivables as at 31 March 2024 include receivables amounting to ₹138.09 pending settlement beyond the timeline stipulated by the FED Master Direction No. 16/2015-16 under the Foreign Exchange Management Act, 1999, of which the Company has been able to collect the ₹116.79 subsequent to year end. For the remaining receivables, the Company is in the process of regularizing these defaults by filing necessary applications with appropriate authority for condonation of delays. Pending conclusion of the aforesaid matter, the amount of penalty, if any, that may be levied, is unascertainable and accordingly, no provision in the financial statements has been recognized.
The trade payables as at 31 March 2024 include payables amounting to ₹7.66 pending settlement beyond the timeline stipulated by the FED Master Direction No. 17/2016-17 under the Foreign Exchange Management Act, 1999. The Company has paid the entire import payables which were outstanding for more than 6 months as on 31 March 2024, without any levy of interest or penalty by the Athorised Dealer Bank. Considering the payments have not been made with the statutory timelines, the likelikhood of the levy of penalty by the Reserve Bank of India on the entire amount unsettled as on 31 March 2024 is possible. Pending conclusion of the aforesaid matter, the amount of penalty, if any, that may be levied, is unascertainable and accordingly, no provision in the financial statements has been recognized.</t>
    </r>
  </si>
  <si>
    <t>ii)</t>
  </si>
  <si>
    <t>Capital commitments</t>
  </si>
  <si>
    <t>Estimated amounts of contracts remaining to be executed on capital account and not provided for tangible assets</t>
  </si>
  <si>
    <t>Estimated amounts of contracts remaining to executed on account of other than capital commitments for open purchase orders / contracts</t>
  </si>
  <si>
    <t>1 : Remeasurement of post-employment benefit obligations</t>
  </si>
  <si>
    <t>Under the previous GAAP, these remeasurement were forming part of the profit or loss for the year. 
Under Ind AS, remeasurement i.e. actuarial gains and losses, excluding amounts included in the net interest expense on the net defined benefit liability are recognised in other comprehensive income instead of the statement of profit and loss.</t>
  </si>
  <si>
    <t>2. Financial instruemnt measured at amortised cost</t>
  </si>
  <si>
    <t xml:space="preserve">Under Previous GAAP, financial assets and financial liabilities were typically carried at the contractual amount receivable or payable. 
Under Ind AS, financial instruments carried at amortised cost are initially recognised at fair value, and subsequently measured at amortised cost, at effective interest rate. For certain financial assets and financial liabilities, the fair value thereof at the date of transition to Ind AS has been considered as the new amortised cost of that financial asset and financial liability at the date of transition to Ind AS. </t>
  </si>
  <si>
    <t>3. Expected credit loss on ECL</t>
  </si>
  <si>
    <t>Under Ind AS, impairment allowance has been determined based on Expected Credit Loss model (ECL)</t>
  </si>
  <si>
    <t>4 : Deferred tax</t>
  </si>
  <si>
    <t>Under previous GAAP, deferred tax was accounted as per the income statement approach which required creation of deferred tax asset/ liability on timing differences between taxable income and accounting income. 
Under Ind AS, deferred tax is accounted as per the balance sheet approach which requires creation of deferred tax asset/ liability on temporary differences between the carrying amount of an asset/ liability in the Balance Sheet and its corresponding tax base. The adjustments in equity and net profit, as discussed previously, resulted in additional temporary differences on which deferred taxes are calculated.</t>
  </si>
  <si>
    <r>
      <rPr>
        <b/>
        <sz val="9"/>
        <rFont val="Arial"/>
        <family val="2"/>
      </rPr>
      <t>5.</t>
    </r>
    <r>
      <rPr>
        <sz val="9"/>
        <rFont val="Arial"/>
        <family val="2"/>
      </rPr>
      <t xml:space="preserve"> There are no material changes in the statement of cash flows upon transition to Ind AS.</t>
    </r>
  </si>
  <si>
    <t>The Company has evaluated all subsequent events that occurred after the balance sheet date up to ...., the date on which these financial statements are being issued and there are no significant subsequent events.</t>
  </si>
  <si>
    <t>Previous year figures have been regrouped / reclassified, where applicable, to confirm to current year’s classification.</t>
  </si>
  <si>
    <t>The Code on Social Security, 2020 (‘Code’) relating to employee benefits during employment and post employment benefits received Presidential assent in September 2020. The Code has been published in the Official Gazette of India. Certain sections of the Code came into effect on 3 May 2023. However, the final rules/interpretation have not yet been issued. Based on a preliminary assessment, the entity believes the impact of the change will not be significant.</t>
  </si>
  <si>
    <t>The ratios for the years ended 31 March 2025 and 31 March 2024 are as follows :</t>
  </si>
  <si>
    <t>Ratios</t>
  </si>
  <si>
    <t>Numerator</t>
  </si>
  <si>
    <t>Denominator</t>
  </si>
  <si>
    <t>Change in %</t>
  </si>
  <si>
    <t xml:space="preserve">Current ratio (in times) </t>
  </si>
  <si>
    <t>Currents assets</t>
  </si>
  <si>
    <t>Debt – Equity ratio (in times)</t>
  </si>
  <si>
    <r>
      <t xml:space="preserve">Total debt </t>
    </r>
    <r>
      <rPr>
        <vertAlign val="superscript"/>
        <sz val="9"/>
        <rFont val="Arial"/>
        <family val="2"/>
      </rPr>
      <t>(*)</t>
    </r>
  </si>
  <si>
    <t>Shareholder’s equity</t>
  </si>
  <si>
    <r>
      <t xml:space="preserve">Debt service coverage ratio (in times) </t>
    </r>
    <r>
      <rPr>
        <vertAlign val="superscript"/>
        <sz val="9"/>
        <rFont val="Arial"/>
        <family val="2"/>
      </rPr>
      <t>(1)</t>
    </r>
  </si>
  <si>
    <t>Earnings available for debt service=Net profit after taxes+Non cash operating expenses</t>
  </si>
  <si>
    <t>Debt service=Interest payments and lease payments</t>
  </si>
  <si>
    <r>
      <t xml:space="preserve">Return on Equity (ROE)  (in times) </t>
    </r>
    <r>
      <rPr>
        <vertAlign val="superscript"/>
        <sz val="9"/>
        <rFont val="Arial"/>
        <family val="2"/>
      </rPr>
      <t>(2)</t>
    </r>
  </si>
  <si>
    <t>Net profit after tax</t>
  </si>
  <si>
    <t>Average shareholder equity</t>
  </si>
  <si>
    <r>
      <t>Trade receivable turnover ratio (in times)</t>
    </r>
    <r>
      <rPr>
        <vertAlign val="superscript"/>
        <sz val="9"/>
        <rFont val="Arial"/>
        <family val="2"/>
      </rPr>
      <t>(3)</t>
    </r>
  </si>
  <si>
    <t>Average trade receivable</t>
  </si>
  <si>
    <r>
      <t xml:space="preserve">Trade payables turnover ratio (in times) </t>
    </r>
    <r>
      <rPr>
        <vertAlign val="superscript"/>
        <sz val="9"/>
        <rFont val="Arial"/>
        <family val="2"/>
      </rPr>
      <t>(4)</t>
    </r>
  </si>
  <si>
    <t>Purchases of services &amp; other expenses</t>
  </si>
  <si>
    <t>Average trade payable</t>
  </si>
  <si>
    <t>Net capital turnover ratio (in times)(5)</t>
  </si>
  <si>
    <t>Working capital</t>
  </si>
  <si>
    <r>
      <t xml:space="preserve">Net profit ratio (in times) </t>
    </r>
    <r>
      <rPr>
        <vertAlign val="superscript"/>
        <sz val="9"/>
        <rFont val="Arial"/>
        <family val="2"/>
      </rPr>
      <t>(6)</t>
    </r>
  </si>
  <si>
    <r>
      <t xml:space="preserve">Return on Capital Employed (ROCE) 
(in times) </t>
    </r>
    <r>
      <rPr>
        <vertAlign val="superscript"/>
        <sz val="9"/>
        <rFont val="Arial"/>
        <family val="2"/>
      </rPr>
      <t>(7)</t>
    </r>
  </si>
  <si>
    <t>Earnings before interest and taxes</t>
  </si>
  <si>
    <t>Capital employed</t>
  </si>
  <si>
    <r>
      <rPr>
        <vertAlign val="superscript"/>
        <sz val="9"/>
        <rFont val="Arial"/>
        <family val="2"/>
      </rPr>
      <t>(*)</t>
    </r>
    <r>
      <rPr>
        <sz val="9"/>
        <rFont val="Arial"/>
        <family val="2"/>
      </rPr>
      <t xml:space="preserve"> represents lease liabilities</t>
    </r>
  </si>
  <si>
    <r>
      <rPr>
        <vertAlign val="superscript"/>
        <sz val="9"/>
        <rFont val="Arial"/>
        <family val="2"/>
      </rPr>
      <t xml:space="preserve">(1) </t>
    </r>
    <r>
      <rPr>
        <sz val="9"/>
        <rFont val="Arial"/>
        <family val="2"/>
      </rPr>
      <t>Decrease in ratio is due to decrease in earnings during the year</t>
    </r>
  </si>
  <si>
    <r>
      <rPr>
        <vertAlign val="superscript"/>
        <sz val="9"/>
        <rFont val="Arial"/>
        <family val="2"/>
      </rPr>
      <t>(2)</t>
    </r>
    <r>
      <rPr>
        <sz val="9"/>
        <rFont val="Arial"/>
        <family val="2"/>
      </rPr>
      <t xml:space="preserve"> Decrease in ratio is due to decrease in the accumulated profit on account of transfer of profit for current year.</t>
    </r>
  </si>
  <si>
    <r>
      <rPr>
        <vertAlign val="superscript"/>
        <sz val="9"/>
        <rFont val="Arial"/>
        <family val="2"/>
      </rPr>
      <t>(3)</t>
    </r>
    <r>
      <rPr>
        <sz val="9"/>
        <rFont val="Arial"/>
        <family val="2"/>
      </rPr>
      <t xml:space="preserve"> Decrease in Turnover days is majorly due to early collection from customers</t>
    </r>
  </si>
  <si>
    <r>
      <rPr>
        <vertAlign val="superscript"/>
        <sz val="9"/>
        <rFont val="Arial"/>
        <family val="2"/>
      </rPr>
      <t>(4)</t>
    </r>
    <r>
      <rPr>
        <sz val="9"/>
        <rFont val="Arial"/>
        <family val="2"/>
      </rPr>
      <t xml:space="preserve"> Decrease in Turnover days is majorly due to early payments to vendors</t>
    </r>
  </si>
  <si>
    <r>
      <rPr>
        <vertAlign val="superscript"/>
        <sz val="9"/>
        <rFont val="Arial"/>
        <family val="2"/>
      </rPr>
      <t>(5)</t>
    </r>
    <r>
      <rPr>
        <sz val="9"/>
        <rFont val="Arial"/>
        <family val="2"/>
      </rPr>
      <t xml:space="preserve"> Increase in ratio is due to increase in revenue</t>
    </r>
  </si>
  <si>
    <r>
      <rPr>
        <vertAlign val="superscript"/>
        <sz val="9"/>
        <rFont val="Arial"/>
        <family val="2"/>
      </rPr>
      <t>(6)</t>
    </r>
    <r>
      <rPr>
        <sz val="9"/>
        <rFont val="Arial"/>
        <family val="2"/>
      </rPr>
      <t xml:space="preserve"> Decrease in ratio is due to increase in Cost as compared to increase in revenue during the year</t>
    </r>
  </si>
  <si>
    <r>
      <rPr>
        <vertAlign val="superscript"/>
        <sz val="9"/>
        <rFont val="Arial"/>
        <family val="2"/>
      </rPr>
      <t>(7)</t>
    </r>
    <r>
      <rPr>
        <sz val="9"/>
        <rFont val="Arial"/>
        <family val="2"/>
      </rPr>
      <t xml:space="preserve"> Increase in ratio is due to increase in earnings during the year</t>
    </r>
  </si>
  <si>
    <t>Summary of significant accounting policies and other explanatory information</t>
  </si>
  <si>
    <t xml:space="preserve">The Ministry of Corporate Affairs (MCA) has prescribed a new requirement for companies under the proviso to Rule 3(1) of the Companies (Accounts) Rules, 2014, inserted by the Companies (Accounts) Amendment Rules 2021 requiring companies, which uses accounting software for maintaining its books of account, shall only use such accounting software which has a feature of recording audit trail of each and every transaction, creating an edit log of each change made in the books of account along with the date when such changes were made and ensuring that the audit trail cannot be disabled.
The Holding Company and its subsidiary companies have used an accounting software for maintaining their books of account which has a feature of recording audit trail (edit log) facility and the same have been enabled throughout the year at the application level. The software is operated by a third-party software service provider and in the absence of any information on the existence of audit trail feature in the ‘Independent Service Auditor’s Report on a Description of the Service Organization’s System and the Suitability of the Design and Operating Effectiveness of Controls’ (‘Type 2 report’ issued in accordance with ISAE 3402, Assurance Reports on Controls at a Service Organization), we are unable to assess whether the audit trail feature was enabled and operated throughout the year at database the level to log any direct data changes. </t>
  </si>
  <si>
    <r>
      <t xml:space="preserve">Atos S.E., the Ultimate Holding Company, along with its subsidiaries (collectively referred to as ‘the Group’ or ‘Group entities’), is currently facing liquidity challenges and undergoing financial restructuring. The shareholders of the Ultimate Holding Company have approved the proposed draft accelerated safeguard plan (the “Draft Plan”) by a majority vote. However, under French law, the Ultimate Holding Company must apply to the specialized Commercial Court of Nanterre (the “Court”) for approval of the Draft Plan. The plan will only become enforceable against all parties upon the Court’s approval, allowing the Group to proceed with its financial restructuring in line with its corporate interests.
</t>
    </r>
    <r>
      <rPr>
        <sz val="9"/>
        <color rgb="FFC00000"/>
        <rFont val="Arial"/>
        <family val="2"/>
      </rPr>
      <t xml:space="preserve">
The auditor of the Ultimate Holding Company included a Material Uncertainty Related to Going Concern paragraph in their review report dated 2 August 2024 for the half year ended 30 June 2024, due to uncertainties surrounding the implementation of the proposed financial restructuring plan</t>
    </r>
    <r>
      <rPr>
        <sz val="9"/>
        <color rgb="FFFFFF00"/>
        <rFont val="Arial"/>
        <family val="2"/>
      </rPr>
      <t xml:space="preserve">.
</t>
    </r>
    <r>
      <rPr>
        <sz val="9"/>
        <color theme="1"/>
        <rFont val="Arial"/>
        <family val="2"/>
      </rPr>
      <t xml:space="preserve">
This situation may significantly impact the Company’s ability to continue as a going concern due to its high dependency on transactions with other Group entities. However, given the progress of the Draft Plan, the Company’s management is confident of continued operational and financial support from Group Companies for the services provided. Additionally, after the year-end, the Company has already received </t>
    </r>
    <r>
      <rPr>
        <sz val="9"/>
        <rFont val="Arial"/>
        <family val="2"/>
      </rPr>
      <t>₹......</t>
    </r>
    <r>
      <rPr>
        <sz val="9"/>
        <color rgb="FFFF0000"/>
        <rFont val="Arial"/>
        <family val="2"/>
      </rPr>
      <t xml:space="preserve"> </t>
    </r>
    <r>
      <rPr>
        <sz val="9"/>
        <color theme="1"/>
        <rFont val="Arial"/>
        <family val="2"/>
      </rPr>
      <t xml:space="preserve">out of the total </t>
    </r>
    <r>
      <rPr>
        <sz val="9"/>
        <rFont val="Arial"/>
        <family val="2"/>
      </rPr>
      <t xml:space="preserve">₹...... </t>
    </r>
    <r>
      <rPr>
        <sz val="9"/>
        <color theme="1"/>
        <rFont val="Arial"/>
        <family val="2"/>
      </rPr>
      <t>receivables outstanding from the Group entities as of 31 March 2025. Based on these factors, the management believes that it is appropriate to prepare these financial statements on a going concern basis.</t>
    </r>
  </si>
  <si>
    <t>The Company has only one reportable business segment which is provision of services relating to networking and development of software products. The information relating to the segment has been presented in the Holding Company's consolidated financial statements in accordance with Ind AS 108 - 'Operating Segments'. No disclosures relating to the segment is therefore presented in these standalone financial statements.</t>
  </si>
  <si>
    <t>The Company’s objectives when managing capital is to safeguard continuity as a going concern and provide adequate return to shareholders through continuing growth and maintain an optimal capital structure  to reduce the cost of capital. The Company sets the amount of capital required on the basis of annual business plan and long-term operating plans which include capital investments. The Company monitors capital on basis of  total debt to total equity on a periodic basis. The Company does not have any debt or financial covenants as on 31 March 2025.
For the purpose of the Group’s capital management, capital includes issued equity capital and all other equity reserves attributable to the equity holders of the parent. The primary objective of the Group’s capital management is to maximise the shareholder value, continue as a going concern and maintain an optimal capital structure to reduce the cost of capital.
The Group manages its capital structure and makes adjustments in light of changes in economic conditions and the requirements of the financial covenants. To maintain or adjust the capital structure, the Group may adjust the dividend payment to shareholders, return capital to shareholders or issue new shares. The Group monitors capital using a gearing ratio, which is net debt divided by total capital plus net debt. The Group includes within net debt, interest bearing loans and borrowings, lease liabilities less cash and cash equivalents.</t>
  </si>
  <si>
    <t>The following table summarises the capital of the Company:</t>
  </si>
  <si>
    <t>Borrowings</t>
  </si>
  <si>
    <t>Less: cash and cash equivalent</t>
  </si>
  <si>
    <t>Net debt</t>
  </si>
  <si>
    <t xml:space="preserve">Equity share capital </t>
  </si>
  <si>
    <t>Capital reserve</t>
  </si>
  <si>
    <t>General reserve</t>
  </si>
  <si>
    <t>Capital and net debt</t>
  </si>
  <si>
    <t>Gearing ratio</t>
  </si>
  <si>
    <t>(i) The Company has not granted any loans or advances in the nature of loan to promoters, directors, key managerial personnels and related parties either severally or jointly with any other person, that are repayable on demand or without specifying any terms or period of repayment.</t>
  </si>
  <si>
    <t>(ii) During the year ended 31 March 2025 and 31 March 2024, no funds have been advanced or loaned or invested (either from borrowed funds or share premium or any other sources or kind of funds) by the Company to or in any other person or entity, including foreign entities (“intermediaries”) with the understanding, whether recorded in writing or otherwise, that the intermediary shall lend or invest in party identified by or on behalf of the Company (ultimate beneficiaries).</t>
  </si>
  <si>
    <t>(iii) During the year ended 31 March 2025 and 31 March 2024, the Company has not received any fund from any party (funding party) with the understanding that the Company shall whether, directly or indirectly lend or invest in other persons or entities identified by or on behalf of the Company (“ultimate beneficiaries”) or provide any guarantee, security or the like on behalf of the ultimate beneficiaries.</t>
  </si>
  <si>
    <t>(iv) There have been no transactions with companies whose name have been struck off by the registrar in accordance with Companies Act, 2013.</t>
  </si>
  <si>
    <t>(v) The Company did not have any transactions to report against the following disclosure requirements as notified by MCA pursuant to amended Schedule III:
      a) Benami Property held under Prohibition of Benami Property Transactions Act, 1988 and rules made thereunder.
      b) Registration of charges or satisfaction with Registrar of Companies.
      c) The Company has not traded or invested in crypto currency or virtual currency during the year.
      d) Relating to borrowed funds:
         - Wilful defaulter
         - Utilisation of borrowed funds &amp; share premium
         - Borrowings obtained on the basis of security of current assets
         - Discrepancy in Utilisation of borrowings</t>
  </si>
  <si>
    <t>(vi) During the year company has not declared any dividend.</t>
  </si>
  <si>
    <t>(vii) Information with regards to other matters specified in Schedule III to the Act is either nil or not applicable to the Company for the year.</t>
  </si>
  <si>
    <t>(viii) During the year, the Company has not surrendered or disclosed any income in the tax assessments under the Income Tax Act, 1961 (such as, search or survey or any other relevant provisions of the Income Tax Act, 1961). Accordingly, there are no transaction which are not recorded in the books of accounts.</t>
  </si>
  <si>
    <t>(viii) There are no charges or satisfaction of charges which is yet to be registered with ROC beyond the statutory period.</t>
  </si>
  <si>
    <t>(ix) The company has not entered into any cryptocurrency transactions during the year.</t>
  </si>
  <si>
    <t>(x) During the year, the Company has incurred a toatal of ₹7,237 as Research and development cost,out of which ₹3219 is expensed as it fails to meet the definition of capitalization.</t>
  </si>
  <si>
    <t>Firm's Registration Number: 001076N/N500013</t>
  </si>
  <si>
    <t>Membership No. : 101797</t>
  </si>
  <si>
    <t>Date:</t>
  </si>
  <si>
    <t>Paladion Networks Pvt Limited</t>
  </si>
  <si>
    <t>Statutory Audit for the year ended 31 March 2025</t>
  </si>
  <si>
    <t>Interco elimination</t>
  </si>
  <si>
    <t>Local Currency</t>
  </si>
  <si>
    <t>INR</t>
  </si>
  <si>
    <t>Entity Code</t>
  </si>
  <si>
    <t>Entity</t>
  </si>
  <si>
    <t>ICP</t>
  </si>
  <si>
    <t>GL Code</t>
  </si>
  <si>
    <t>PL GL Description</t>
  </si>
  <si>
    <t>Currency</t>
  </si>
  <si>
    <t>Debit</t>
  </si>
  <si>
    <t>Credit</t>
  </si>
  <si>
    <t>Exchange Rate</t>
  </si>
  <si>
    <t>EA21</t>
  </si>
  <si>
    <t>Paladion Networks Private Limited-EA21</t>
  </si>
  <si>
    <t>EA22</t>
  </si>
  <si>
    <t>604160</t>
  </si>
  <si>
    <t>OP S/C T&amp;M. Interco</t>
  </si>
  <si>
    <t>K</t>
  </si>
  <si>
    <t>713400</t>
  </si>
  <si>
    <t>Work In Process</t>
  </si>
  <si>
    <t>779000</t>
  </si>
  <si>
    <t>Revenue Offshore Netting Billing</t>
  </si>
  <si>
    <t>702311</t>
  </si>
  <si>
    <t>Indirect IC Reinvoicing Export</t>
  </si>
  <si>
    <t>706101</t>
  </si>
  <si>
    <t>Sale of Services-Export</t>
  </si>
  <si>
    <t>706361</t>
  </si>
  <si>
    <t>Sale of Services. Interco Expo</t>
  </si>
  <si>
    <t>666000</t>
  </si>
  <si>
    <t>EXCHANGE LOSSES</t>
  </si>
  <si>
    <t>Realised</t>
  </si>
  <si>
    <t>666400</t>
  </si>
  <si>
    <t>Forex fluctuation on Receivables</t>
  </si>
  <si>
    <t>Forex</t>
  </si>
  <si>
    <t>766000</t>
  </si>
  <si>
    <t>EXCHANGE GAINS</t>
  </si>
  <si>
    <t>766400</t>
  </si>
  <si>
    <t>603610</t>
  </si>
  <si>
    <t>Offshore Netting Billing</t>
  </si>
  <si>
    <t>Paladion Networks Private Limited-EA22</t>
  </si>
  <si>
    <t>604100</t>
  </si>
  <si>
    <t>OPERATING SUB-CONTRACTING - FIXED PRICE</t>
  </si>
  <si>
    <t>604360</t>
  </si>
  <si>
    <t>604360 OP&amp;PROD S/C. Interco</t>
  </si>
  <si>
    <t>618100</t>
  </si>
  <si>
    <t>ADMINISTRATIVE SUB-CONTRACTING</t>
  </si>
  <si>
    <t>706361 Sales of Services. Interco EXP</t>
  </si>
  <si>
    <t>EA20</t>
  </si>
  <si>
    <t>706100</t>
  </si>
  <si>
    <t>Sale of Services.LOCAL</t>
  </si>
  <si>
    <t>k</t>
  </si>
  <si>
    <t>SALES OF SERVICES - EXPORT 3rd party</t>
  </si>
  <si>
    <t>706360</t>
  </si>
  <si>
    <t>Sale of Services.Interco LOC</t>
  </si>
  <si>
    <t>708811</t>
  </si>
  <si>
    <t>Indirect IC Reinvoicing</t>
  </si>
  <si>
    <t>622501</t>
  </si>
  <si>
    <t>Other Consultancy</t>
  </si>
  <si>
    <t>Paladion Networks Private Limited-EA20</t>
  </si>
  <si>
    <t>603610 Offshore Netting Billing</t>
  </si>
  <si>
    <t>604160 OP S/C T&amp;M. Interco</t>
  </si>
  <si>
    <t>604300</t>
  </si>
  <si>
    <t>604300 OPERATING AND PRODUCTION SUB-CONTRACTING</t>
  </si>
  <si>
    <t>604150</t>
  </si>
  <si>
    <t>604150 OPERATING SUB-CONTRACTING -TIME AND MATERIALS</t>
  </si>
  <si>
    <t>Branch Elimination</t>
  </si>
  <si>
    <t>Entity code</t>
  </si>
  <si>
    <t>BS GL Description</t>
  </si>
  <si>
    <t>Net Amt</t>
  </si>
  <si>
    <t>Forex Rate</t>
  </si>
  <si>
    <t>Amount
(INR)</t>
  </si>
  <si>
    <t>401450</t>
  </si>
  <si>
    <t>interco foreign Vendors</t>
  </si>
  <si>
    <t>ok</t>
  </si>
  <si>
    <t>411450</t>
  </si>
  <si>
    <t>Foreign Interco customers</t>
  </si>
  <si>
    <t>418150</t>
  </si>
  <si>
    <t>TRADE DEBTORS - SALES INVOICE ACCRUALS - INTERCO</t>
  </si>
  <si>
    <t>401998</t>
  </si>
  <si>
    <t>TRADE PAYABLES - FOREIGN CURRENCY REVAL</t>
  </si>
  <si>
    <t>401996</t>
  </si>
  <si>
    <t>Trade payables - Foreign Currency revaluation Inte</t>
  </si>
  <si>
    <t>forex</t>
  </si>
  <si>
    <t>411996</t>
  </si>
  <si>
    <t>Trade recev. Foreign Curr revaluation Intercompany</t>
  </si>
  <si>
    <t>INTERCO FOREIGN VENDORS</t>
  </si>
  <si>
    <t>467000</t>
  </si>
  <si>
    <t>Other Accounts in Debit</t>
  </si>
  <si>
    <t>401450 TRADE PAYABLES - FOREIGN</t>
  </si>
  <si>
    <t>455000</t>
  </si>
  <si>
    <t xml:space="preserve">455000 Intercompany current accounts liabilities - us branch </t>
  </si>
  <si>
    <t>Exchange  difference due to</t>
  </si>
  <si>
    <t>Intercompany elimination</t>
  </si>
  <si>
    <t>BS &amp; PL rates diff</t>
  </si>
  <si>
    <t>Total difference</t>
  </si>
  <si>
    <t>Net</t>
  </si>
  <si>
    <t>S.no</t>
  </si>
  <si>
    <t>Ledger Name</t>
  </si>
  <si>
    <t>Entity Currency</t>
  </si>
  <si>
    <t>Remarks</t>
  </si>
  <si>
    <t>A21</t>
  </si>
  <si>
    <t>766200</t>
  </si>
  <si>
    <t>Non-realized exchange gain</t>
  </si>
  <si>
    <t>Forex fluctuation in retained earnings</t>
  </si>
  <si>
    <t>110000</t>
  </si>
  <si>
    <t>RETAINED EARNINGS</t>
  </si>
  <si>
    <t>678800</t>
  </si>
  <si>
    <t>678800 EXTRAORDINARY EXPENSES</t>
  </si>
  <si>
    <t>A20</t>
  </si>
  <si>
    <t>120000</t>
  </si>
  <si>
    <t>IFRS Entries removal</t>
  </si>
  <si>
    <t>167211</t>
  </si>
  <si>
    <t>281700</t>
  </si>
  <si>
    <t>613207</t>
  </si>
  <si>
    <t>695900</t>
  </si>
  <si>
    <t>408122</t>
  </si>
  <si>
    <t>664011</t>
  </si>
  <si>
    <t>681210</t>
  </si>
  <si>
    <t>488100</t>
  </si>
  <si>
    <t>488000</t>
  </si>
  <si>
    <t>217000</t>
  </si>
  <si>
    <t>622800</t>
  </si>
  <si>
    <t>Mar 24 entries removal</t>
  </si>
  <si>
    <t>671400</t>
  </si>
  <si>
    <t>491010</t>
  </si>
  <si>
    <t>A22</t>
  </si>
  <si>
    <t>Lease liability Real estate</t>
  </si>
  <si>
    <t>281700 Depreciation right of use real estate</t>
  </si>
  <si>
    <t>613207 Reversal rent real estate IFRS 16</t>
  </si>
  <si>
    <t>664011 Financial interests on lease liability Real estate</t>
  </si>
  <si>
    <t>Manual Accruals in FI - IFRS 16</t>
  </si>
  <si>
    <t>681210 Depreciations and impairment right of use - IndAS</t>
  </si>
  <si>
    <t>681111</t>
  </si>
  <si>
    <t>681111 OTHER INTANGIBLE ASSETS - AMORTISATION</t>
  </si>
  <si>
    <t>Reclass of amortization on intangible assets(soteria)</t>
  </si>
  <si>
    <t>687100</t>
  </si>
  <si>
    <t>EXTRAORDINARY CHARGE TO FIXED ASSET PROVISIONS</t>
  </si>
  <si>
    <t>720000</t>
  </si>
  <si>
    <t>720000 CAPITALISED PRODUCTION</t>
  </si>
  <si>
    <t>Reclass of last year Intangible asset under development to intangible asset</t>
  </si>
  <si>
    <t>641350</t>
  </si>
  <si>
    <t>641350 CAPITAL CREATING PAYMENTS</t>
  </si>
  <si>
    <t>666200</t>
  </si>
  <si>
    <t>Depreciation schedule not matching to GL due to exchange difference of ME &amp; US assets)</t>
  </si>
  <si>
    <t>281580</t>
  </si>
  <si>
    <t>218400</t>
  </si>
  <si>
    <t>Mar 21 audit entry not in Nessie</t>
  </si>
  <si>
    <t>215800</t>
  </si>
  <si>
    <t>IFRS entry removal</t>
  </si>
  <si>
    <t>Entries not in US Books for A21</t>
  </si>
  <si>
    <t>960A21</t>
  </si>
  <si>
    <t>Mar 23 entry reversed in FY 24-25 at the time conversion of INR to Foreign currency for A22 balance</t>
  </si>
  <si>
    <t>A21 tp billing not in EA22 in March 25</t>
  </si>
  <si>
    <t>Exchange difference due to intercompany elimination</t>
  </si>
  <si>
    <t>656100</t>
  </si>
  <si>
    <t>Group recharges reclassifed from technical contract to Corporate support services</t>
  </si>
  <si>
    <t>622800.1</t>
  </si>
  <si>
    <t>Group recharges reclassifed fromother prof fee to Corporate support services</t>
  </si>
  <si>
    <t>633300.1</t>
  </si>
  <si>
    <t>Group recharges reclassifed from training inv to Corporate support services</t>
  </si>
  <si>
    <t>633300</t>
  </si>
  <si>
    <t>604300.1</t>
  </si>
  <si>
    <t>275004</t>
  </si>
  <si>
    <t>Transferred to General deposits</t>
  </si>
  <si>
    <t>468701</t>
  </si>
  <si>
    <t>615330</t>
  </si>
  <si>
    <t>Other R&amp;M reclassified from Corpotate charges</t>
  </si>
  <si>
    <t>616400</t>
  </si>
  <si>
    <t>613200</t>
  </si>
  <si>
    <t>New lease deposit transferred from rent expense GL to Asset GL.</t>
  </si>
  <si>
    <t>217300</t>
  </si>
  <si>
    <t>New lease has taken in US</t>
  </si>
  <si>
    <t>275000.1</t>
  </si>
  <si>
    <t>168910</t>
  </si>
  <si>
    <t>Depreciation on ROU of US</t>
  </si>
  <si>
    <t>664012</t>
  </si>
  <si>
    <t>Interest expense on US lease liability</t>
  </si>
  <si>
    <t>Lease payments made during the year</t>
  </si>
  <si>
    <t>Depreciation on ROU assets</t>
  </si>
  <si>
    <t>Interest expense on Lease liability</t>
  </si>
  <si>
    <t>275000</t>
  </si>
  <si>
    <t>Unwinding of Interest income on deposits receivable</t>
  </si>
  <si>
    <t>758300</t>
  </si>
  <si>
    <t>Amortization of deferred rent</t>
  </si>
  <si>
    <t>704670.2</t>
  </si>
  <si>
    <t>Receipt of sublease income</t>
  </si>
  <si>
    <t>615230</t>
  </si>
  <si>
    <t>Last year sublease income received during this year</t>
  </si>
  <si>
    <t>Unwimding of Interest on lease receiveble</t>
  </si>
  <si>
    <t>704670.1</t>
  </si>
  <si>
    <t>Repairs and maintainence reversal moved to 615230</t>
  </si>
  <si>
    <t>615390</t>
  </si>
  <si>
    <t>Reclass of expenses</t>
  </si>
  <si>
    <t>408151</t>
  </si>
  <si>
    <t>Reclass of provison for debtors</t>
  </si>
  <si>
    <t>491000</t>
  </si>
  <si>
    <t>451B72</t>
  </si>
  <si>
    <t>Reversal of expenses related to 960B72</t>
  </si>
  <si>
    <t>Reversal of provison as per ECL Workings</t>
  </si>
  <si>
    <t>781740</t>
  </si>
  <si>
    <t>Ceation of provison as per ECL workings</t>
  </si>
  <si>
    <t>613590</t>
  </si>
  <si>
    <t>Interest expenses on security deposit repayble</t>
  </si>
  <si>
    <t>401997</t>
  </si>
  <si>
    <t>Advance from customers reclassified form trade receivable</t>
  </si>
  <si>
    <t>411450.1</t>
  </si>
  <si>
    <t>159200</t>
  </si>
  <si>
    <t>FFS JV IGAAP Mar25</t>
  </si>
  <si>
    <t>428200</t>
  </si>
  <si>
    <t>626424</t>
  </si>
  <si>
    <t>641100</t>
  </si>
  <si>
    <t>641404</t>
  </si>
  <si>
    <t>641702</t>
  </si>
  <si>
    <t>641704</t>
  </si>
  <si>
    <t>641721</t>
  </si>
  <si>
    <t>641722</t>
  </si>
  <si>
    <t>437425</t>
  </si>
  <si>
    <t>437522</t>
  </si>
  <si>
    <t>438666</t>
  </si>
  <si>
    <t>427120</t>
  </si>
  <si>
    <t>Salary TDS Diff JV IGAAP Mar25</t>
  </si>
  <si>
    <t>445891</t>
  </si>
  <si>
    <t>RCM provision</t>
  </si>
  <si>
    <t>445894</t>
  </si>
  <si>
    <t>437405</t>
  </si>
  <si>
    <t>TDS on provisions</t>
  </si>
  <si>
    <t>486000</t>
  </si>
  <si>
    <t>486500</t>
  </si>
  <si>
    <t>437408</t>
  </si>
  <si>
    <t>437409</t>
  </si>
  <si>
    <t>668000</t>
  </si>
  <si>
    <t>Interest on MSME</t>
  </si>
  <si>
    <t>418250</t>
  </si>
  <si>
    <t>Unbilled reclassified to Unearned income</t>
  </si>
  <si>
    <t>487000</t>
  </si>
  <si>
    <t>276850</t>
  </si>
  <si>
    <t>BNP and Kotak FD</t>
  </si>
  <si>
    <t>761700</t>
  </si>
  <si>
    <t>444562</t>
  </si>
  <si>
    <t>275002</t>
  </si>
  <si>
    <t>419500.1</t>
  </si>
  <si>
    <t>Reclassed to other receivables from Debtors</t>
  </si>
  <si>
    <t>419500</t>
  </si>
  <si>
    <t>615260</t>
  </si>
  <si>
    <t>622400</t>
  </si>
  <si>
    <t>625900</t>
  </si>
  <si>
    <t>626300</t>
  </si>
  <si>
    <t>628425</t>
  </si>
  <si>
    <t>652100</t>
  </si>
  <si>
    <t>658000</t>
  </si>
  <si>
    <t>758000</t>
  </si>
  <si>
    <t>423000</t>
  </si>
  <si>
    <t>Advances on salary reclassed</t>
  </si>
  <si>
    <t>425000</t>
  </si>
  <si>
    <t>411500</t>
  </si>
  <si>
    <t>Receivable knocked off against payable</t>
  </si>
  <si>
    <t>419250</t>
  </si>
  <si>
    <t>Other receivables reclassified from trade receivables</t>
  </si>
  <si>
    <t>453000</t>
  </si>
  <si>
    <t>Knocked off against Unbillled</t>
  </si>
  <si>
    <t>419250.1</t>
  </si>
  <si>
    <t>Reclass to receivable from related parties</t>
  </si>
  <si>
    <t>Reclassed  adavance from customers</t>
  </si>
  <si>
    <t>Reclass of deferred revenue form Unbiiled revenue</t>
  </si>
  <si>
    <t>411350</t>
  </si>
  <si>
    <t>LRD Accrual</t>
  </si>
  <si>
    <t>TAF Accrual</t>
  </si>
  <si>
    <t>Duplicate entry rectified</t>
  </si>
  <si>
    <t>Acturial gain OCI as per Actuary Report FY 24-25</t>
  </si>
  <si>
    <t>681502_OCI</t>
  </si>
  <si>
    <t>Differential JV as per Actuary Report FY 24-25</t>
  </si>
  <si>
    <t>681502</t>
  </si>
  <si>
    <t>648000</t>
  </si>
  <si>
    <t>681502.1</t>
  </si>
  <si>
    <t>Reclass of Leave encashment form Gratuity GL</t>
  </si>
  <si>
    <t>23-24</t>
  </si>
  <si>
    <t>OBE</t>
  </si>
  <si>
    <t>Elimination</t>
  </si>
  <si>
    <t>Consol-March 25</t>
  </si>
  <si>
    <t>Consol-March 24</t>
  </si>
  <si>
    <t>Name</t>
  </si>
  <si>
    <t>NT</t>
  </si>
  <si>
    <t>Group 1</t>
  </si>
  <si>
    <t>Group 2</t>
  </si>
  <si>
    <t>FS Group</t>
  </si>
  <si>
    <t>101300</t>
  </si>
  <si>
    <t>CAPITAL SUBSCRIBED - CALLED AND PAID</t>
  </si>
  <si>
    <t>Shareholders Fund</t>
  </si>
  <si>
    <t>106800</t>
  </si>
  <si>
    <t>OTHER RESERVES</t>
  </si>
  <si>
    <t>106800.1</t>
  </si>
  <si>
    <t>Capital Reserve</t>
  </si>
  <si>
    <t>104100</t>
  </si>
  <si>
    <t>Securities Premium Account</t>
  </si>
  <si>
    <t>119000</t>
  </si>
  <si>
    <t>ACCUMULATED DEFICITS</t>
  </si>
  <si>
    <t>NET INCOME FOR THE PERIOD</t>
  </si>
  <si>
    <t>Lease Liabilities</t>
  </si>
  <si>
    <t>IFRS</t>
  </si>
  <si>
    <t>167212</t>
  </si>
  <si>
    <t>Lease liability IT equipment</t>
  </si>
  <si>
    <t>167213</t>
  </si>
  <si>
    <t>Lease liability Company cars</t>
  </si>
  <si>
    <t>Other Current liabilities</t>
  </si>
  <si>
    <t>Accrued interests – lease liability Others</t>
  </si>
  <si>
    <t>151810</t>
  </si>
  <si>
    <t>SUBSIDIARY AND PARTICIPATING INTEREST RISKS (PROVISIONS FOR LOSSES AND CONTINGENCIES)</t>
  </si>
  <si>
    <t>Provision for diminushing investments-subsidiaries</t>
  </si>
  <si>
    <t>Investment</t>
  </si>
  <si>
    <t>155100</t>
  </si>
  <si>
    <t>PROV. FOR TAX RISKS, PENALTIES AND FINES</t>
  </si>
  <si>
    <t>151830</t>
  </si>
  <si>
    <t>OTHER PROVISIONS FOR RISKS AND CHARGES</t>
  </si>
  <si>
    <t>155000</t>
  </si>
  <si>
    <t>DEFERRED TAX LIABILITY</t>
  </si>
  <si>
    <t>Deferred Tax Liability</t>
  </si>
  <si>
    <t>Deferred Tax</t>
  </si>
  <si>
    <t>408151.1</t>
  </si>
  <si>
    <t>Provison for Warranty</t>
  </si>
  <si>
    <t>408151.5</t>
  </si>
  <si>
    <t>Prov for LD</t>
  </si>
  <si>
    <t>PROVISION - PAID HOLIDAYS</t>
  </si>
  <si>
    <t>Employee benefit obligation</t>
  </si>
  <si>
    <t>447300</t>
  </si>
  <si>
    <t>OTHER TAXES</t>
  </si>
  <si>
    <t>Unfunded post employment DB plans</t>
  </si>
  <si>
    <t>402998.1</t>
  </si>
  <si>
    <t>Security deposit repayable to lesse</t>
  </si>
  <si>
    <t>401100</t>
  </si>
  <si>
    <t>TRADE CREDITORS - GOODS AND SERVICES - DOMESTIC</t>
  </si>
  <si>
    <t>Trade Payables</t>
  </si>
  <si>
    <t>401500</t>
  </si>
  <si>
    <t>TRADE CREDITORS - GOODS AND SERVICES GROUP - DOMESTIC</t>
  </si>
  <si>
    <t>401700</t>
  </si>
  <si>
    <t>TRADE CREDITORS  GUARANTEE RETENTIONS</t>
  </si>
  <si>
    <t>401996 Trade payables - Foreign Currency revaluation Inte</t>
  </si>
  <si>
    <t>401997 Adjustment regroup payables in debit</t>
  </si>
  <si>
    <t>401999</t>
  </si>
  <si>
    <t>TRADE CREDITOR SUSPENSE ACCOUNTS</t>
  </si>
  <si>
    <t>408100</t>
  </si>
  <si>
    <t>TRADE CREDITORS - PURCHASE INVOICE ACCRUALS</t>
  </si>
  <si>
    <t>408998</t>
  </si>
  <si>
    <t>408998 FX Inv to be received</t>
  </si>
  <si>
    <t>401400</t>
  </si>
  <si>
    <t>TRADE CREDITORS - GOODS AND SERVICES FOREIGN</t>
  </si>
  <si>
    <t>408500</t>
  </si>
  <si>
    <t>TRADE CREDITORS - PURCH. INV. ACCRUALS GROUP</t>
  </si>
  <si>
    <t>409150</t>
  </si>
  <si>
    <t>PAYMENTS ON ACCOUNT TO IC SUPPLIERS</t>
  </si>
  <si>
    <t>409100</t>
  </si>
  <si>
    <t>PAYMENTS ON ACCOUNT TO SUPPLIERS</t>
  </si>
  <si>
    <t>PREPAYMENTS</t>
  </si>
  <si>
    <t>408420</t>
  </si>
  <si>
    <t>TRAD CRED - FIX ASS PURCH INV ACCRUALS SPEC. MM-Capital Purchase</t>
  </si>
  <si>
    <t>467100</t>
  </si>
  <si>
    <t>467100 OTHER ACCOUNTS IN CREDIT</t>
  </si>
  <si>
    <t>402998</t>
  </si>
  <si>
    <t>TRADE CREDITORS - MANUAL CROSS-MATCHING</t>
  </si>
  <si>
    <t>530100</t>
  </si>
  <si>
    <t>Cash Flow Hedge foreign exchange derivatives</t>
  </si>
  <si>
    <t>530200</t>
  </si>
  <si>
    <t>Fair Value Hedge foreign exchange derivatives - CL</t>
  </si>
  <si>
    <t>240100</t>
  </si>
  <si>
    <t>313700</t>
  </si>
  <si>
    <t>Hedging Reserves (Cash flow hedge) Foreign exc</t>
  </si>
  <si>
    <t>240200</t>
  </si>
  <si>
    <t>Fair Value Hedge foreign exchange derivatives - CA</t>
  </si>
  <si>
    <t>451A49</t>
  </si>
  <si>
    <t>451A49 C/A Eagle Creek Software Services, Inc</t>
  </si>
  <si>
    <t>451A19</t>
  </si>
  <si>
    <t>451A19 C/A Paladion Technologies Inc.</t>
  </si>
  <si>
    <t>451376</t>
  </si>
  <si>
    <t>451376 C/A Atos IT Solutions and Services Inc.</t>
  </si>
  <si>
    <t>451B72 C/A Eviden USA, Inc.</t>
  </si>
  <si>
    <t>451000</t>
  </si>
  <si>
    <t>DEFERRED INCOME</t>
  </si>
  <si>
    <t>487050</t>
  </si>
  <si>
    <t>487050 Interco Deferred income</t>
  </si>
  <si>
    <t>487998</t>
  </si>
  <si>
    <t>487998 DEFERRED INCOME -  MANUAL CROSS-MATCHING</t>
  </si>
  <si>
    <t>Advance Billing</t>
  </si>
  <si>
    <t>427106</t>
  </si>
  <si>
    <t>Prov-Equaln(Car Running)</t>
  </si>
  <si>
    <t>Outstanding Liabilities</t>
  </si>
  <si>
    <t>468600</t>
  </si>
  <si>
    <t>ACCRUED EXPENSES</t>
  </si>
  <si>
    <t>468650</t>
  </si>
  <si>
    <t>408120</t>
  </si>
  <si>
    <t>TRAD CREDITORS - PURCH. INV. ACCRUALS SPECIFIC MM</t>
  </si>
  <si>
    <t>408152</t>
  </si>
  <si>
    <t>408152 Prov-Telephone Expenses</t>
  </si>
  <si>
    <t>408153</t>
  </si>
  <si>
    <t>Stale Cheques</t>
  </si>
  <si>
    <t>427102</t>
  </si>
  <si>
    <t>Unpaid Salaries</t>
  </si>
  <si>
    <t>427009</t>
  </si>
  <si>
    <t>Flexible Benefits (Food Vauchers)</t>
  </si>
  <si>
    <t>427100</t>
  </si>
  <si>
    <t>Payroll Clearing Account</t>
  </si>
  <si>
    <t>427101</t>
  </si>
  <si>
    <t>Net Salary Payable</t>
  </si>
  <si>
    <t>427103</t>
  </si>
  <si>
    <t>Provision - LTA</t>
  </si>
  <si>
    <t>Pending Final Settlement Provision</t>
  </si>
  <si>
    <t>428600</t>
  </si>
  <si>
    <t>428600 OTHER ACCRUED EXPENSES - TRAVELLING EXPENSES</t>
  </si>
  <si>
    <t>428610</t>
  </si>
  <si>
    <t>ACCRUED EXPENSES - YEAR-END BONUS</t>
  </si>
  <si>
    <t>428616</t>
  </si>
  <si>
    <t>ACCRUED EXPENSES - PROV. OBJECTIVES BON -  Loyalty Bonus</t>
  </si>
  <si>
    <t>428618</t>
  </si>
  <si>
    <t>PROV. RESULTS-RELATED BONUS</t>
  </si>
  <si>
    <t>428640</t>
  </si>
  <si>
    <t>ACCRUED EXPENSES-INCENTIVE PAYMENTS-Sales Incentives</t>
  </si>
  <si>
    <t>428650</t>
  </si>
  <si>
    <t>OTHER ACCRUED EXPENSES - Retention Bonus</t>
  </si>
  <si>
    <t>TRAVELLING EXPENSES</t>
  </si>
  <si>
    <t>437000</t>
  </si>
  <si>
    <t>437000 HEALTH INSURANCE</t>
  </si>
  <si>
    <t>437100</t>
  </si>
  <si>
    <t>Assedic Unemployment fund</t>
  </si>
  <si>
    <t>437200</t>
  </si>
  <si>
    <t>437200 WELFARE INSTITUTIONS</t>
  </si>
  <si>
    <t>159000</t>
  </si>
  <si>
    <t>Provision for Pension and other commitments-NPS</t>
  </si>
  <si>
    <t>TDS - Contractor &amp; Sub Contractor</t>
  </si>
  <si>
    <t>437406</t>
  </si>
  <si>
    <t>TDS - Comm. &amp; Brok.</t>
  </si>
  <si>
    <t>437407</t>
  </si>
  <si>
    <t>TDS - Rent</t>
  </si>
  <si>
    <t>TDS - Professional Fees</t>
  </si>
  <si>
    <t>TDS - Foreign Payments</t>
  </si>
  <si>
    <t>437410</t>
  </si>
  <si>
    <t>WCT - TDS Payable</t>
  </si>
  <si>
    <t>Emp PF Pension Payable</t>
  </si>
  <si>
    <t>437426</t>
  </si>
  <si>
    <t>Employees ESIC Payable</t>
  </si>
  <si>
    <t>437427</t>
  </si>
  <si>
    <t>Lab Welfare Fund Payable</t>
  </si>
  <si>
    <t>437516</t>
  </si>
  <si>
    <t>437516 Employees charges to State pension fund</t>
  </si>
  <si>
    <t>HR</t>
  </si>
  <si>
    <t>437521</t>
  </si>
  <si>
    <t>Employees HDFC Payable</t>
  </si>
  <si>
    <t>Emp Prof. Tax Payable</t>
  </si>
  <si>
    <t>437523</t>
  </si>
  <si>
    <t>Employees LIP Payable</t>
  </si>
  <si>
    <t>444400</t>
  </si>
  <si>
    <t>444400 US federal income tax liability</t>
  </si>
  <si>
    <t>445920</t>
  </si>
  <si>
    <t>Central Sales Tax Payable</t>
  </si>
  <si>
    <t>INCOME TAXES ON SALARIES</t>
  </si>
  <si>
    <t>151830.1</t>
  </si>
  <si>
    <t>Provision for Onnerous contract</t>
  </si>
  <si>
    <t>428200.1</t>
  </si>
  <si>
    <t>Provision for LTA</t>
  </si>
  <si>
    <t>159200.1</t>
  </si>
  <si>
    <t>Grautity</t>
  </si>
  <si>
    <t>487250</t>
  </si>
  <si>
    <t>487250 Deferred income POC external (Fixed price contract</t>
  </si>
  <si>
    <t>DEFERRED TAX</t>
  </si>
  <si>
    <t>Deferred Tax - Loss Carry Forward</t>
  </si>
  <si>
    <t>274800</t>
  </si>
  <si>
    <t>Loan to Intercompany</t>
  </si>
  <si>
    <t>Loan to Interco</t>
  </si>
  <si>
    <t>CA</t>
  </si>
  <si>
    <t>INTERCOMPANY CURRENT ACCOUNTS ASSETS-India</t>
  </si>
  <si>
    <t>Other financial Assets</t>
  </si>
  <si>
    <t>Branch Accounts</t>
  </si>
  <si>
    <t>US Branch</t>
  </si>
  <si>
    <t>261000</t>
  </si>
  <si>
    <t>PARTICIPATING INTERESTS – GROUP (FI-AA)</t>
  </si>
  <si>
    <t>261100</t>
  </si>
  <si>
    <t>PARTICIPATING INTERESTS – GROUP (FI-GL)</t>
  </si>
  <si>
    <t>267100</t>
  </si>
  <si>
    <t>267100 LOANS TO PARTICIPATING INTERESTS</t>
  </si>
  <si>
    <t>271100</t>
  </si>
  <si>
    <t>OTHER EQUITY INVESTMENTS - SHARES</t>
  </si>
  <si>
    <t>217000 Right of use real estate</t>
  </si>
  <si>
    <t>Other FA</t>
  </si>
  <si>
    <t>217100</t>
  </si>
  <si>
    <t>Right of use IT equipment</t>
  </si>
  <si>
    <t>Right of Use Assets</t>
  </si>
  <si>
    <t>ROU</t>
  </si>
  <si>
    <t>139400</t>
  </si>
  <si>
    <t>Impairment Right of use real estate</t>
  </si>
  <si>
    <t>Right of use others</t>
  </si>
  <si>
    <t>IndAS</t>
  </si>
  <si>
    <t xml:space="preserve">DEPOSITS AND SURETIES PAID </t>
  </si>
  <si>
    <t>EMD</t>
  </si>
  <si>
    <t>Security Deposit as per IndAS Entry (Fair Valuation on Security Deposits)</t>
  </si>
  <si>
    <t>511998</t>
  </si>
  <si>
    <t>511998 SUNDRY EXPENSES CDN TIME DEPOSITS</t>
  </si>
  <si>
    <t>Cash and Cash Equivalents</t>
  </si>
  <si>
    <t>Bank forx revaluation</t>
  </si>
  <si>
    <t>508100</t>
  </si>
  <si>
    <t>508100 OTHER TRANSFERABLE SECURITIES</t>
  </si>
  <si>
    <t>Other Assets</t>
  </si>
  <si>
    <t>Deposits</t>
  </si>
  <si>
    <t>Guarantee Given Account</t>
  </si>
  <si>
    <t>Lease Deposits</t>
  </si>
  <si>
    <t>Rent Deposits</t>
  </si>
  <si>
    <t>General Deposits</t>
  </si>
  <si>
    <t>EMD &amp; Other deposits</t>
  </si>
  <si>
    <t>401100.2</t>
  </si>
  <si>
    <t>Deposits with Insurance companies</t>
  </si>
  <si>
    <t>468701.1</t>
  </si>
  <si>
    <t>Service Tax Input Credit Receivable</t>
  </si>
  <si>
    <t>445321</t>
  </si>
  <si>
    <t>VAT 3RD COUNTRIES (SERVICES) - CREDIT</t>
  </si>
  <si>
    <t>Need to expenses of in Mar as per Shashi</t>
  </si>
  <si>
    <t>444515</t>
  </si>
  <si>
    <t>Adv Tax-Income 12</t>
  </si>
  <si>
    <t>Advance Tax</t>
  </si>
  <si>
    <t>444519</t>
  </si>
  <si>
    <t>444519 Adv Tax-Income 16</t>
  </si>
  <si>
    <t>Recl TDS-Income 12</t>
  </si>
  <si>
    <t>TDS on Interest income</t>
  </si>
  <si>
    <t>444566</t>
  </si>
  <si>
    <t>Recl TDS-Income 16</t>
  </si>
  <si>
    <t>445896</t>
  </si>
  <si>
    <t>TDS Payable on GST</t>
  </si>
  <si>
    <t>TDS on Income</t>
  </si>
  <si>
    <t>448700</t>
  </si>
  <si>
    <t>448700 ACCRUED INCOME - WITHHOLDING TAX</t>
  </si>
  <si>
    <t>WHT</t>
  </si>
  <si>
    <t>444516</t>
  </si>
  <si>
    <t>444516 Adv Tax-Income 13</t>
  </si>
  <si>
    <t>444570</t>
  </si>
  <si>
    <t>444570 DISC &amp; REBAT TOBE GRANTED, CRED NOT TOBE RAISED SD</t>
  </si>
  <si>
    <t>445895</t>
  </si>
  <si>
    <t>445895 TDS Receivable on GST</t>
  </si>
  <si>
    <t>444000</t>
  </si>
  <si>
    <t>Corporate Income Tax and Accrued Income Tax - 2020-21</t>
  </si>
  <si>
    <t>Provision for Income tax</t>
  </si>
  <si>
    <t>444000.1</t>
  </si>
  <si>
    <t>444410</t>
  </si>
  <si>
    <t>444410 US state income tax liability</t>
  </si>
  <si>
    <t>US income tax Payable</t>
  </si>
  <si>
    <t>447200</t>
  </si>
  <si>
    <t>LOCAL TAXES</t>
  </si>
  <si>
    <t>Income Tax Payable</t>
  </si>
  <si>
    <t>444500</t>
  </si>
  <si>
    <t>Tax Payable - Company</t>
  </si>
  <si>
    <t>445911</t>
  </si>
  <si>
    <t>445911 US Use Tax AP - State</t>
  </si>
  <si>
    <t>US state income tax payable</t>
  </si>
  <si>
    <t>444613</t>
  </si>
  <si>
    <t>Prov-Income Tax 13</t>
  </si>
  <si>
    <t>444613.1</t>
  </si>
  <si>
    <t>Provision for tax 13 (Net of advance tax)</t>
  </si>
  <si>
    <t>444605</t>
  </si>
  <si>
    <t>Prov-Wealth Tax 2000-01</t>
  </si>
  <si>
    <t>444606</t>
  </si>
  <si>
    <t>Prov-Wealth Tax 2005-06</t>
  </si>
  <si>
    <t>437531</t>
  </si>
  <si>
    <t>Prov for FBT 2006-07</t>
  </si>
  <si>
    <t>437532</t>
  </si>
  <si>
    <t>Prov for FBT 2007-08</t>
  </si>
  <si>
    <t>437533</t>
  </si>
  <si>
    <t>Prov for FBT 2008-09</t>
  </si>
  <si>
    <t>215400</t>
  </si>
  <si>
    <t>MEANS OF PRODUCTION</t>
  </si>
  <si>
    <t>PPE</t>
  </si>
  <si>
    <t>212000</t>
  </si>
  <si>
    <t>FITTINGS ON AND IMPROVEMENTS TO LAND</t>
  </si>
  <si>
    <t>PPE-LH</t>
  </si>
  <si>
    <t>213200</t>
  </si>
  <si>
    <t>Datacenter - Buildings</t>
  </si>
  <si>
    <t>PPE-Buildings</t>
  </si>
  <si>
    <t>215100</t>
  </si>
  <si>
    <t>Server</t>
  </si>
  <si>
    <t>PPE-Computers</t>
  </si>
  <si>
    <t>215500</t>
  </si>
  <si>
    <t>Personal Computers</t>
  </si>
  <si>
    <t>Network</t>
  </si>
  <si>
    <t>216300</t>
  </si>
  <si>
    <t>Equipment</t>
  </si>
  <si>
    <t>218100</t>
  </si>
  <si>
    <t>FITTINGS AND FIXTURES IN RENT BUILDINGS</t>
  </si>
  <si>
    <t>218200</t>
  </si>
  <si>
    <t>VEHICLES</t>
  </si>
  <si>
    <t>OFFICE FURNITURE</t>
  </si>
  <si>
    <t>PPE-Furniture</t>
  </si>
  <si>
    <t>218700</t>
  </si>
  <si>
    <t>218700 KITCHEN EQUIPMENT</t>
  </si>
  <si>
    <t>PPE-Office Equip</t>
  </si>
  <si>
    <t>219000</t>
  </si>
  <si>
    <t>OTHER TANGIBLE FIXED ASSETS</t>
  </si>
  <si>
    <t>299997</t>
  </si>
  <si>
    <t>299997 Asset data Migration</t>
  </si>
  <si>
    <t>219000.1</t>
  </si>
  <si>
    <t>281320</t>
  </si>
  <si>
    <t>Depreciation - Datacenter - Buildings</t>
  </si>
  <si>
    <t>281540</t>
  </si>
  <si>
    <t>DEPRECIATION - MEANS OF PRODUCTION</t>
  </si>
  <si>
    <t>281510</t>
  </si>
  <si>
    <t>Depreciation - Server</t>
  </si>
  <si>
    <t>281550</t>
  </si>
  <si>
    <t>Depreciation - Personal Computers</t>
  </si>
  <si>
    <t>281200</t>
  </si>
  <si>
    <t>DEPREC - FITTINGS ON AND IMPROVEMENTS TO LAND</t>
  </si>
  <si>
    <t>Depreciation - Network</t>
  </si>
  <si>
    <t>281630</t>
  </si>
  <si>
    <t>Amortization Equipment</t>
  </si>
  <si>
    <t>281810</t>
  </si>
  <si>
    <t>DEPREC - FITTINGS AND FIXTURES IN RENT BUILDINGS</t>
  </si>
  <si>
    <t>281820</t>
  </si>
  <si>
    <t>DEPRECIATION - VEHICLES</t>
  </si>
  <si>
    <t>281840</t>
  </si>
  <si>
    <t>DEPRECIATION - OFFICE FURNITURE</t>
  </si>
  <si>
    <t>281870</t>
  </si>
  <si>
    <t>281870 DEPRECIATION - KITCHEN EQUIPMENT</t>
  </si>
  <si>
    <t>280500</t>
  </si>
  <si>
    <t>DEPRECIATION - SOFTWARE</t>
  </si>
  <si>
    <t>Software</t>
  </si>
  <si>
    <t>Intangible</t>
  </si>
  <si>
    <t>281900</t>
  </si>
  <si>
    <t>DEPRECIATION - OTHER TANGIBLE FIXED ASSETS</t>
  </si>
  <si>
    <t>280300</t>
  </si>
  <si>
    <t>DEPRECIATION - RESEARCH AND DEVELOP EXPENDITURE</t>
  </si>
  <si>
    <t>Intangible assets</t>
  </si>
  <si>
    <t>281720</t>
  </si>
  <si>
    <t>281720 Depreciation right of use Company cars</t>
  </si>
  <si>
    <t>280700</t>
  </si>
  <si>
    <t>DEPRECIATION - PURCHASED GOODWILL</t>
  </si>
  <si>
    <t>280500.1</t>
  </si>
  <si>
    <t>Amortisation - Goodwill</t>
  </si>
  <si>
    <t>205000</t>
  </si>
  <si>
    <t>SOFTWARE</t>
  </si>
  <si>
    <t>207000</t>
  </si>
  <si>
    <t>PURCHASED GOODWILL</t>
  </si>
  <si>
    <t>481100</t>
  </si>
  <si>
    <t>DEFERRED CHARGES</t>
  </si>
  <si>
    <t>203000</t>
  </si>
  <si>
    <t>RESEARCH AND DEVELOPMENT EXPENDITURE</t>
  </si>
  <si>
    <t>232000</t>
  </si>
  <si>
    <t>INTANGIBLE FIXED ASSETS IN PROGRESS</t>
  </si>
  <si>
    <t>CWIP</t>
  </si>
  <si>
    <t>231000</t>
  </si>
  <si>
    <t>TANGIBLE FIXED ASSETS IN PROGRESS</t>
  </si>
  <si>
    <t>WIP</t>
  </si>
  <si>
    <t>FA</t>
  </si>
  <si>
    <t>238000</t>
  </si>
  <si>
    <t>PAYMENTS ON ACCOUNT FOR TANGIBLE FIXED ASSETS</t>
  </si>
  <si>
    <t>444571</t>
  </si>
  <si>
    <t>IOCL related receivable</t>
  </si>
  <si>
    <t>444550</t>
  </si>
  <si>
    <t>WCT TDS Recoverable-HPCL</t>
  </si>
  <si>
    <t>411100</t>
  </si>
  <si>
    <t>TRADE DEBTORS - DOMESTIC</t>
  </si>
  <si>
    <t>Trade Receivables</t>
  </si>
  <si>
    <t>TRADE DEBTORS GROUP</t>
  </si>
  <si>
    <t>Debtors-Interco</t>
  </si>
  <si>
    <t>411999</t>
  </si>
  <si>
    <t>TRADE DEBTORS - SUSPENSE ACCOUNTS</t>
  </si>
  <si>
    <t>Disbursement of cost recoverable</t>
  </si>
  <si>
    <t>Kuwait tax need to reclass</t>
  </si>
  <si>
    <t>411400</t>
  </si>
  <si>
    <t>TRADE DEBTORS FOREIGN</t>
  </si>
  <si>
    <t>419100</t>
  </si>
  <si>
    <t>TRADE DEBTORS - PAYMENTS ON ACCOUNT RECEIVED</t>
  </si>
  <si>
    <t>Interco Down payment</t>
  </si>
  <si>
    <t>419850</t>
  </si>
  <si>
    <t>419850 Customer Interco -  Credit Notes to be Issued</t>
  </si>
  <si>
    <t>340100</t>
  </si>
  <si>
    <t>Transition costs</t>
  </si>
  <si>
    <t>411996 Trade recev. Foreign Curr revaluation Intercompany</t>
  </si>
  <si>
    <t>411998</t>
  </si>
  <si>
    <t>TRADE RECEIVABLES - FX REVALUATION</t>
  </si>
  <si>
    <t>411700</t>
  </si>
  <si>
    <t>411700 TRADE DEBTORS - GUARANTEE RETENTIONS</t>
  </si>
  <si>
    <t>496700</t>
  </si>
  <si>
    <t>PROVISION - SUNDRY DEBTORS</t>
  </si>
  <si>
    <t>491010 Valuation allowances on receivables - general</t>
  </si>
  <si>
    <t>PROVISION - TRADE DEBTORS AND RELATED ACCOUNTS</t>
  </si>
  <si>
    <t>419100.1</t>
  </si>
  <si>
    <t>419700</t>
  </si>
  <si>
    <t>TRADE DEBTOR ACCOUNTS IN CREDIT AT THE PERIOD END</t>
  </si>
  <si>
    <t>Trade Debtors Advance from Customers</t>
  </si>
  <si>
    <t>411400.1</t>
  </si>
  <si>
    <t>411100.1</t>
  </si>
  <si>
    <t>419800</t>
  </si>
  <si>
    <t>DISC &amp; REBAT TOBE GRANTED, CRED NOT TOBE RAISED SD</t>
  </si>
  <si>
    <t>531105</t>
  </si>
  <si>
    <t>Cash on Hand</t>
  </si>
  <si>
    <t>Cash</t>
  </si>
  <si>
    <t>531010</t>
  </si>
  <si>
    <t>5120082</t>
  </si>
  <si>
    <t>BNP PARIBAS INR - Main</t>
  </si>
  <si>
    <t>5120083</t>
  </si>
  <si>
    <t>5120083 BNP PARIBAS USD - Main</t>
  </si>
  <si>
    <t>5120286</t>
  </si>
  <si>
    <t>BNP PARIBAS EUR - Main</t>
  </si>
  <si>
    <t>5120315</t>
  </si>
  <si>
    <t>AXIS-INR-Main</t>
  </si>
  <si>
    <t>5120316</t>
  </si>
  <si>
    <t>YES INR MAIN</t>
  </si>
  <si>
    <t>5120317</t>
  </si>
  <si>
    <t>HDFC-INR-MAIN</t>
  </si>
  <si>
    <t>5120318</t>
  </si>
  <si>
    <t>PNB-INR-Main</t>
  </si>
  <si>
    <t>5120523</t>
  </si>
  <si>
    <t>Kotak Bank - Main</t>
  </si>
  <si>
    <t>5120558</t>
  </si>
  <si>
    <t>SBI- MAIN</t>
  </si>
  <si>
    <t>51200163</t>
  </si>
  <si>
    <t>CBOI-INR-Main</t>
  </si>
  <si>
    <t>51200164</t>
  </si>
  <si>
    <t>HSBC-INR-Main</t>
  </si>
  <si>
    <t>51120194</t>
  </si>
  <si>
    <t>51120194 Emirates NBD PJSC-AED-Rcpt</t>
  </si>
  <si>
    <t>51200165</t>
  </si>
  <si>
    <t>51200166</t>
  </si>
  <si>
    <t>ICICI-INR-Main</t>
  </si>
  <si>
    <t>51200167</t>
  </si>
  <si>
    <t>51200168</t>
  </si>
  <si>
    <t>Kotak Mahindra Bank-INR-Investment Account</t>
  </si>
  <si>
    <t>51200169</t>
  </si>
  <si>
    <t>Kotak Mahindra Bank-INR-Main</t>
  </si>
  <si>
    <t>51200170</t>
  </si>
  <si>
    <t>51200171</t>
  </si>
  <si>
    <t>Kotak Mahindra Bank-USD-Main</t>
  </si>
  <si>
    <t>51200174</t>
  </si>
  <si>
    <t>SIB-INR-Main</t>
  </si>
  <si>
    <t>51200175</t>
  </si>
  <si>
    <t>CITI-INR-Main</t>
  </si>
  <si>
    <t>51200176</t>
  </si>
  <si>
    <t>51200177</t>
  </si>
  <si>
    <t>Vijayq Bank-INR-Main</t>
  </si>
  <si>
    <t>51200235</t>
  </si>
  <si>
    <t>ICICI  Bank Ltd - USD Main</t>
  </si>
  <si>
    <t>51200194</t>
  </si>
  <si>
    <t>Emirates NBD PJSC ( C.A.)- AED</t>
  </si>
  <si>
    <t>501998</t>
  </si>
  <si>
    <t>501998 Bank data Migration</t>
  </si>
  <si>
    <t>5112100</t>
  </si>
  <si>
    <t>5112100 JPMorgan USD-Transfer Receipts</t>
  </si>
  <si>
    <t>5120100</t>
  </si>
  <si>
    <t>5120100 JPMorgan USD</t>
  </si>
  <si>
    <t>5120068</t>
  </si>
  <si>
    <t>ABN Rotrdam-43.88.99</t>
  </si>
  <si>
    <t>508200</t>
  </si>
  <si>
    <t>5120541</t>
  </si>
  <si>
    <t>BNP Paribas Chennai INR  Main</t>
  </si>
  <si>
    <t>445889</t>
  </si>
  <si>
    <t>445889 Input CGST Availed</t>
  </si>
  <si>
    <t>445890</t>
  </si>
  <si>
    <t>445890 Input SGST Availed</t>
  </si>
  <si>
    <t>445891 Input IGST Availed</t>
  </si>
  <si>
    <t>445892</t>
  </si>
  <si>
    <t>445892 CGST Payable</t>
  </si>
  <si>
    <t>445893</t>
  </si>
  <si>
    <t>445893 SGST Payable</t>
  </si>
  <si>
    <t>445894 IGST Payable</t>
  </si>
  <si>
    <t>445500</t>
  </si>
  <si>
    <t>RCM VAT Output @ 5%</t>
  </si>
  <si>
    <t>445610</t>
  </si>
  <si>
    <t>VAT Input @ 5%</t>
  </si>
  <si>
    <t>445710</t>
  </si>
  <si>
    <t>Output VAT - Sales Invoices</t>
  </si>
  <si>
    <t>445863</t>
  </si>
  <si>
    <t>VAT Raw Material Recoverable</t>
  </si>
  <si>
    <t>445864</t>
  </si>
  <si>
    <t>VAT Capital Goods Recoverable</t>
  </si>
  <si>
    <t>445898</t>
  </si>
  <si>
    <t>445898 Output Compensation Cess Availed</t>
  </si>
  <si>
    <t>445915</t>
  </si>
  <si>
    <t>445915 Excise Duty Payable 12%</t>
  </si>
  <si>
    <t>412998</t>
  </si>
  <si>
    <t>TRADE DEBTORS  - MANUAL CROSS-MATCHING</t>
  </si>
  <si>
    <t>WIP Current Asset</t>
  </si>
  <si>
    <t>418500</t>
  </si>
  <si>
    <t>418500 TRADE DEBTORS - SALES INVOICE ACCRUALS GROUP</t>
  </si>
  <si>
    <t>418100</t>
  </si>
  <si>
    <t>TRADE DEBTORS - SALES INVOICE ACCRUALS</t>
  </si>
  <si>
    <t>418995</t>
  </si>
  <si>
    <t>418995 FX Customer Accruals Intercompany</t>
  </si>
  <si>
    <t>418996</t>
  </si>
  <si>
    <t>418996 FX WIP Intercompany</t>
  </si>
  <si>
    <t>401100.1</t>
  </si>
  <si>
    <t>409100.1</t>
  </si>
  <si>
    <t>408100.1</t>
  </si>
  <si>
    <t>425004</t>
  </si>
  <si>
    <t>Empl Personal Loan</t>
  </si>
  <si>
    <t>ADVANCES ON SALARIES</t>
  </si>
  <si>
    <t>425001</t>
  </si>
  <si>
    <t>ADVANCES ON EXPENSE CLAIMS</t>
  </si>
  <si>
    <t>425002</t>
  </si>
  <si>
    <t>Foreign Travel Advance</t>
  </si>
  <si>
    <t>425003</t>
  </si>
  <si>
    <t>Local Travel Advance</t>
  </si>
  <si>
    <t>468702</t>
  </si>
  <si>
    <t>General Recharges</t>
  </si>
  <si>
    <t>471000</t>
  </si>
  <si>
    <t>SUSPENSE ACCOUNT</t>
  </si>
  <si>
    <t>OTHER ACCOUNTS IN DEBIT</t>
  </si>
  <si>
    <t>467000.5</t>
  </si>
  <si>
    <t>TDS-foreign service charges bills</t>
  </si>
  <si>
    <t>486000.2</t>
  </si>
  <si>
    <t>486001</t>
  </si>
  <si>
    <t>PREPAYMENTS - MAINTENANCE</t>
  </si>
  <si>
    <t>486009</t>
  </si>
  <si>
    <t>486009 SUNDRY PREPAYMENTS</t>
  </si>
  <si>
    <t>Interco Prepayment</t>
  </si>
  <si>
    <t>486004</t>
  </si>
  <si>
    <t>PREPAYMENTS - INSURANCE</t>
  </si>
  <si>
    <t>486001.1</t>
  </si>
  <si>
    <t>445000.1</t>
  </si>
  <si>
    <t>Provision for doubtful loans and advances</t>
  </si>
  <si>
    <t>496700.2</t>
  </si>
  <si>
    <t>Provision for WCT</t>
  </si>
  <si>
    <t>467000.1</t>
  </si>
  <si>
    <t>467000.2</t>
  </si>
  <si>
    <t>Provision - Unbilled Revenue</t>
  </si>
  <si>
    <t>467000.3</t>
  </si>
  <si>
    <t>Provision  - Capital Advances</t>
  </si>
  <si>
    <t>467000.4</t>
  </si>
  <si>
    <t>Provision - Service Tax Credit</t>
  </si>
  <si>
    <t>402998.2</t>
  </si>
  <si>
    <t>Advance from Vendor</t>
  </si>
  <si>
    <t>402998.3</t>
  </si>
  <si>
    <t>Advances to related party</t>
  </si>
  <si>
    <t>ACCRUED INTEREST/DEPOSITS AND SURETIES PAID</t>
  </si>
  <si>
    <t>Fixed Deposits</t>
  </si>
  <si>
    <t>371000</t>
  </si>
  <si>
    <t xml:space="preserve"> STOCK - HARDWARE AND SOFTWARE FOR SELLING</t>
  </si>
  <si>
    <t>345000</t>
  </si>
  <si>
    <t>WORK-IN-PROGRESS (SERVICES)</t>
  </si>
  <si>
    <t>355000</t>
  </si>
  <si>
    <t>355000 Finished goods - acquisition cost</t>
  </si>
  <si>
    <t>346000</t>
  </si>
  <si>
    <t>Stock account (RM)</t>
  </si>
  <si>
    <t>346001</t>
  </si>
  <si>
    <t>Stock account (TG)</t>
  </si>
  <si>
    <t>346002</t>
  </si>
  <si>
    <t>Closing Stock (B/S) - FG</t>
  </si>
  <si>
    <t>140000</t>
  </si>
  <si>
    <t>Profit Prior to Merger</t>
  </si>
  <si>
    <t>SALES OF SERVICES - LOCAL</t>
  </si>
  <si>
    <t>Income</t>
  </si>
  <si>
    <t>SALES OF SERVICES - EXPORT</t>
  </si>
  <si>
    <t>706102</t>
  </si>
  <si>
    <t>SALES OF SERVICES - EXPORT INTERNAL</t>
  </si>
  <si>
    <t>806100</t>
  </si>
  <si>
    <t>707100</t>
  </si>
  <si>
    <t>SALES OF HARDWARE - LOCAL</t>
  </si>
  <si>
    <t>706111</t>
  </si>
  <si>
    <t xml:space="preserve"> SALES OF SERVICES - EXPORT PS</t>
  </si>
  <si>
    <t>706300</t>
  </si>
  <si>
    <t>PASS-TROUGH REVENUE - LOCAL</t>
  </si>
  <si>
    <t>706301</t>
  </si>
  <si>
    <t>PASS-TROUGH REVENUE - EXPORT</t>
  </si>
  <si>
    <t>706308</t>
  </si>
  <si>
    <t>Pass-Through Revenue Export Internal</t>
  </si>
  <si>
    <t>706340</t>
  </si>
  <si>
    <t>706340 Sales of Services (OM m-up) Interco LOC</t>
  </si>
  <si>
    <t>706341</t>
  </si>
  <si>
    <t>706341 Sales of Services (OM m-up) Interco EXP</t>
  </si>
  <si>
    <t>706360 Sales of Services. Interco LOC</t>
  </si>
  <si>
    <t>708811 Indirect IC Reinvoicing</t>
  </si>
  <si>
    <t>708821</t>
  </si>
  <si>
    <t>713300</t>
  </si>
  <si>
    <t>713300 PASS-TROUGH IFRS WIP</t>
  </si>
  <si>
    <t>713460</t>
  </si>
  <si>
    <t>713460 Inc  WIP sales of own HW</t>
  </si>
  <si>
    <t>Work in Process (Increase) / Decrease</t>
  </si>
  <si>
    <t>713401</t>
  </si>
  <si>
    <t xml:space="preserve"> WIP-EXTERNAL</t>
  </si>
  <si>
    <t>604020</t>
  </si>
  <si>
    <t>Interest expenses on Intercompany Current Accounts</t>
  </si>
  <si>
    <t>708520</t>
  </si>
  <si>
    <t>708520 REBILLED EXPENSES - EXPORT</t>
  </si>
  <si>
    <t>706309</t>
  </si>
  <si>
    <t>Pass-through sale for Software Local</t>
  </si>
  <si>
    <t>707101</t>
  </si>
  <si>
    <t>SALES OF HARDWARE - EXPORT</t>
  </si>
  <si>
    <t>702310</t>
  </si>
  <si>
    <t>702310 Indirect IC Reinvoicing</t>
  </si>
  <si>
    <t>702311 Indirect IC Reinvoicing Export</t>
  </si>
  <si>
    <t>713500</t>
  </si>
  <si>
    <t>713500 VAR INCREASE(DECREASE) IN WORK-IN-PROGRESS HW</t>
  </si>
  <si>
    <t>713401.1</t>
  </si>
  <si>
    <t xml:space="preserve"> WIP-EXTERNAL-IOCL (FG)</t>
  </si>
  <si>
    <t>713401.2</t>
  </si>
  <si>
    <t xml:space="preserve"> WIP-EXTERNAL-IOCL (TG)</t>
  </si>
  <si>
    <t>681730</t>
  </si>
  <si>
    <t>CHARGE TO PROV. - STOCK AND WIP</t>
  </si>
  <si>
    <t>Other Expenses</t>
  </si>
  <si>
    <t>681730.1</t>
  </si>
  <si>
    <t>607000</t>
  </si>
  <si>
    <t>HARDWARE PURCHASES FOR SELLING</t>
  </si>
  <si>
    <t>Cost of software packages and others</t>
  </si>
  <si>
    <t>607010</t>
  </si>
  <si>
    <t>Purchase of 3rd Party HW or SW</t>
  </si>
  <si>
    <t>License fees for Projects</t>
  </si>
  <si>
    <t>607520</t>
  </si>
  <si>
    <t>607520 SOFTWARE PURCHASES FOR OWN</t>
  </si>
  <si>
    <t>License fees for Internal &amp; software internal</t>
  </si>
  <si>
    <t>604700</t>
  </si>
  <si>
    <t>604700 Subcontracted services for value added reselling</t>
  </si>
  <si>
    <t>607550</t>
  </si>
  <si>
    <t>OTHER MATERIAL FOR SELLING</t>
  </si>
  <si>
    <t>607500</t>
  </si>
  <si>
    <t>607500 SOFTWARE PURCHASES FOR SELLING</t>
  </si>
  <si>
    <t>607600</t>
  </si>
  <si>
    <t>Consumption account (P&amp;L)</t>
  </si>
  <si>
    <t>607601</t>
  </si>
  <si>
    <t>Purchase (P&amp;L)</t>
  </si>
  <si>
    <t>607602</t>
  </si>
  <si>
    <t>Closing Stock (P/L)</t>
  </si>
  <si>
    <t>612500</t>
  </si>
  <si>
    <t>REAL-ESTATE LEASES</t>
  </si>
  <si>
    <t>641720.1</t>
  </si>
  <si>
    <t>Lease Car Rental</t>
  </si>
  <si>
    <t>613200 REAL-ESTATE RENTAL</t>
  </si>
  <si>
    <t>613500</t>
  </si>
  <si>
    <t>613500 operating lease means of production</t>
  </si>
  <si>
    <t>613508</t>
  </si>
  <si>
    <t>Reversal rent IT equipment IFRS 16</t>
  </si>
  <si>
    <t>613567</t>
  </si>
  <si>
    <t>613567 Reversal rent company cars IFRS 16</t>
  </si>
  <si>
    <t>Financial interests on lease liability</t>
  </si>
  <si>
    <t>Finance Cost</t>
  </si>
  <si>
    <t>664013</t>
  </si>
  <si>
    <t>664013 Financial interests on lease liability Comp. cars</t>
  </si>
  <si>
    <t>635130</t>
  </si>
  <si>
    <t>OTHER LOCAL TAXES</t>
  </si>
  <si>
    <t>635120</t>
  </si>
  <si>
    <t>635120 LAND TAX</t>
  </si>
  <si>
    <t>609030</t>
  </si>
  <si>
    <t>Withholding Taxes</t>
  </si>
  <si>
    <t>633500</t>
  </si>
  <si>
    <t>BUSINESS TAX FINAL/EXEMPT PAYMENTS (WITHHOLDING TAXES)</t>
  </si>
  <si>
    <t>635110</t>
  </si>
  <si>
    <t>BUSINESS TAX (RATES &amp; TAXES)</t>
  </si>
  <si>
    <t>622806</t>
  </si>
  <si>
    <t>FEES TO CUSTOMS</t>
  </si>
  <si>
    <t>681500</t>
  </si>
  <si>
    <t>681500 OP. PROVS. FOR LIAB AND CHARGES - CHARGE TO PROV</t>
  </si>
  <si>
    <t>635400</t>
  </si>
  <si>
    <t>REGISTRATION AND STAMP DUTIES</t>
  </si>
  <si>
    <t>635800</t>
  </si>
  <si>
    <t>OTHER DUTIES/ADMINISTRATIVE TAXES</t>
  </si>
  <si>
    <t>606120</t>
  </si>
  <si>
    <t>Heating</t>
  </si>
  <si>
    <t>606130</t>
  </si>
  <si>
    <t>ELECTRICITY</t>
  </si>
  <si>
    <t>607400</t>
  </si>
  <si>
    <t>RAW MATERIALS, FUEL AND AUXILIARY MATERIAL</t>
  </si>
  <si>
    <t>616220</t>
  </si>
  <si>
    <t>Insurance - Machinery</t>
  </si>
  <si>
    <t>616221</t>
  </si>
  <si>
    <t>Insurance - Office F &amp; F</t>
  </si>
  <si>
    <t>616222</t>
  </si>
  <si>
    <t>Insurance - Vehicles</t>
  </si>
  <si>
    <t>OTHER INSURANCE</t>
  </si>
  <si>
    <t>625724</t>
  </si>
  <si>
    <t>Insur-Overseas Medical</t>
  </si>
  <si>
    <t>615610</t>
  </si>
  <si>
    <t>Maintenance Software</t>
  </si>
  <si>
    <t>615600</t>
  </si>
  <si>
    <t>repair &amp; maintenance - means of Production</t>
  </si>
  <si>
    <t>606150</t>
  </si>
  <si>
    <t>NON-REBILLABLE FUEL, PETROL</t>
  </si>
  <si>
    <t>625200</t>
  </si>
  <si>
    <t>STAFF - TRAVELLING AND SUBSISTENCE: REBILLABLE</t>
  </si>
  <si>
    <t>625300</t>
  </si>
  <si>
    <t>STAFF - TRAVELLING AND SUBSISTENCE: NOT REBILLABLE</t>
  </si>
  <si>
    <t>625400</t>
  </si>
  <si>
    <t>STAFF - MISSIONS AND ENTERTAINING: REBILLABLE</t>
  </si>
  <si>
    <t>625600</t>
  </si>
  <si>
    <t>STAFF - MISSIONS AND ENTERTAINING: NOT REBILLABLE</t>
  </si>
  <si>
    <t>618400</t>
  </si>
  <si>
    <t>ATOS INTERNAL EMPLOYEE SEMINARS</t>
  </si>
  <si>
    <t>625700</t>
  </si>
  <si>
    <t>Air Travel</t>
  </si>
  <si>
    <t>625711</t>
  </si>
  <si>
    <t>Staff Entertaining</t>
  </si>
  <si>
    <t>625703</t>
  </si>
  <si>
    <t>Hotel Accommodation Costs</t>
  </si>
  <si>
    <t>625706</t>
  </si>
  <si>
    <t>Other Travel</t>
  </si>
  <si>
    <t>625720</t>
  </si>
  <si>
    <t>Conveyance Expenses</t>
  </si>
  <si>
    <t>625722</t>
  </si>
  <si>
    <t>Foreign Travel-Ticket NR</t>
  </si>
  <si>
    <t>625890</t>
  </si>
  <si>
    <t>Additional travel costs caused by offic</t>
  </si>
  <si>
    <t>635702</t>
  </si>
  <si>
    <t>Car Hire/Rental Costs</t>
  </si>
  <si>
    <t>616200</t>
  </si>
  <si>
    <t>Car Fleet</t>
  </si>
  <si>
    <t>641717</t>
  </si>
  <si>
    <t>Drivers Wages</t>
  </si>
  <si>
    <t>641720</t>
  </si>
  <si>
    <t>Car Running - Personnel</t>
  </si>
  <si>
    <t>Car Hire-Personnel</t>
  </si>
  <si>
    <t>645702</t>
  </si>
  <si>
    <t>Travel insurance</t>
  </si>
  <si>
    <t>648500</t>
  </si>
  <si>
    <t>OTHER TRAVELLING EXPENSES NOT REBILLABLE</t>
  </si>
  <si>
    <t>624300</t>
  </si>
  <si>
    <t>TRANSPORT BETWEEN SITES AND COURIER EXP</t>
  </si>
  <si>
    <t>625721</t>
  </si>
  <si>
    <t>Foreign Travel-Curr- NR</t>
  </si>
  <si>
    <t>624200</t>
  </si>
  <si>
    <t>TRANSPORT OUT</t>
  </si>
  <si>
    <t>Petrol Exps-Personnel</t>
  </si>
  <si>
    <t>625650</t>
  </si>
  <si>
    <t>Subco Travel Costs</t>
  </si>
  <si>
    <t>648601</t>
  </si>
  <si>
    <t>648601 Air Travel</t>
  </si>
  <si>
    <t>648603</t>
  </si>
  <si>
    <t>648603 Car Hire/Rental Costs</t>
  </si>
  <si>
    <t>648604</t>
  </si>
  <si>
    <t>648604 Hotel Accommodation Costs</t>
  </si>
  <si>
    <t>648607</t>
  </si>
  <si>
    <t>626100</t>
  </si>
  <si>
    <t>SPECIAL PRODUCTION LINES</t>
  </si>
  <si>
    <t>626422</t>
  </si>
  <si>
    <t>Satellite Link Line Cost</t>
  </si>
  <si>
    <t>626130</t>
  </si>
  <si>
    <t>Mobile Phones</t>
  </si>
  <si>
    <t>626421</t>
  </si>
  <si>
    <t>Internet Telephone Usage</t>
  </si>
  <si>
    <t>Telephone Charges</t>
  </si>
  <si>
    <t>ADMINISTRATIVE LINES</t>
  </si>
  <si>
    <t>626425</t>
  </si>
  <si>
    <t>Mobile Telephone Costs</t>
  </si>
  <si>
    <t>626425.1</t>
  </si>
  <si>
    <t>CSR Expenditure</t>
  </si>
  <si>
    <t>614000</t>
  </si>
  <si>
    <t>REAL-ESTATE:  REPAIRS AND  SERVICE CHARGE</t>
  </si>
  <si>
    <t>615290</t>
  </si>
  <si>
    <t>OTHER BUILDING-RELATED SERVICES</t>
  </si>
  <si>
    <t>REPAIRS -  ADMINISTRATIVE MEANS</t>
  </si>
  <si>
    <t>613560</t>
  </si>
  <si>
    <t>613560 OPERATING LEASE - VEHICLES 3rd party</t>
  </si>
  <si>
    <t>606800</t>
  </si>
  <si>
    <t>OTHER SUNDRY SUPPLIES</t>
  </si>
  <si>
    <t>REPAIRS - OTHER</t>
  </si>
  <si>
    <t>615606</t>
  </si>
  <si>
    <t>MAINTENANCE - OTHER EQUIPTS</t>
  </si>
  <si>
    <t>REPAIRS AND MAINTENANCE - REAL-ESTATE</t>
  </si>
  <si>
    <t>615630</t>
  </si>
  <si>
    <t>repair &amp; maintenance - administrative means</t>
  </si>
  <si>
    <t>615660</t>
  </si>
  <si>
    <t>repair &amp; maintenance - vehicles</t>
  </si>
  <si>
    <t>Removal of Equipment</t>
  </si>
  <si>
    <t>615690</t>
  </si>
  <si>
    <t>MAINTENANCE - OTHER</t>
  </si>
  <si>
    <t>613530</t>
  </si>
  <si>
    <t>OPERATING LEASE - ADMINISTRATIVE MEANS</t>
  </si>
  <si>
    <t>JOURNAL SUBSCRIPTIONS AND DOCUMENTATION</t>
  </si>
  <si>
    <t>621200</t>
  </si>
  <si>
    <t>TEMPING AGENCY - ADMIN STAFF</t>
  </si>
  <si>
    <t>621100</t>
  </si>
  <si>
    <t>TEMPING AGENCY - OPERATING STAFF</t>
  </si>
  <si>
    <t>622100</t>
  </si>
  <si>
    <t>COMMISSION ON PURCHASES</t>
  </si>
  <si>
    <t>622200</t>
  </si>
  <si>
    <t>COMMISSION ON SALES</t>
  </si>
  <si>
    <t>623100</t>
  </si>
  <si>
    <t>ADVERTISING AND BUSINESS GIFTS</t>
  </si>
  <si>
    <t>623300</t>
  </si>
  <si>
    <t>TRADEFAIRS, FORUMS AND EXHIBITIONS</t>
  </si>
  <si>
    <t>623200</t>
  </si>
  <si>
    <t>STAFF RECRUITMENT - ADVERTISING AND BUSINESS GIFTS</t>
  </si>
  <si>
    <t>623400</t>
  </si>
  <si>
    <t>business and other gifts</t>
  </si>
  <si>
    <t>623500</t>
  </si>
  <si>
    <t>CORPORATE SPONSORSHIP</t>
  </si>
  <si>
    <t>623600</t>
  </si>
  <si>
    <t>CATALOGUES AND PRINTED MATTERS</t>
  </si>
  <si>
    <t>606110</t>
  </si>
  <si>
    <t>WATER</t>
  </si>
  <si>
    <t>617000</t>
  </si>
  <si>
    <t xml:space="preserve"> STUDIES, SURVEYS, ANALYSIS</t>
  </si>
  <si>
    <t>628100</t>
  </si>
  <si>
    <t>SUBSCRIPTIONS</t>
  </si>
  <si>
    <t>628428</t>
  </si>
  <si>
    <t>Rounding Off Adjustment</t>
  </si>
  <si>
    <t>OTHER OPERATING EXPENSES</t>
  </si>
  <si>
    <t>615640</t>
  </si>
  <si>
    <t>615640 HW Maintenance costs to be resold</t>
  </si>
  <si>
    <t>626150</t>
  </si>
  <si>
    <t>626150 Telecom services to be resold</t>
  </si>
  <si>
    <t>707201</t>
  </si>
  <si>
    <t>707201 Value Added Resale SOFTWARE - EXPORT</t>
  </si>
  <si>
    <t>665000</t>
  </si>
  <si>
    <t>DISCOUNTS GRANTED</t>
  </si>
  <si>
    <t>612330</t>
  </si>
  <si>
    <t>HIRE PURCHASE - ADMINISTRATIVE MEANS</t>
  </si>
  <si>
    <t>OPERATING LEASE - OTHER</t>
  </si>
  <si>
    <t>656000</t>
  </si>
  <si>
    <t>GROUP OVERHEADS - STRUCTURE COSTS</t>
  </si>
  <si>
    <t>671800</t>
  </si>
  <si>
    <t>OTHER EXTRAORD EXPENSES/ NON-CAPITAL TRANSACTIONS</t>
  </si>
  <si>
    <t>602050</t>
  </si>
  <si>
    <t>Direct Global IT Recharge</t>
  </si>
  <si>
    <t>GS Recharge General Management</t>
  </si>
  <si>
    <t>656101</t>
  </si>
  <si>
    <t>656101 GS Recharge Sales</t>
  </si>
  <si>
    <t>656102</t>
  </si>
  <si>
    <t>656102 GS Recharge Marketing</t>
  </si>
  <si>
    <t>616400.1</t>
  </si>
  <si>
    <t>OTHER PROFESSIONAL FEES</t>
  </si>
  <si>
    <t>TRAINING INVOICES</t>
  </si>
  <si>
    <t>645110.1</t>
  </si>
  <si>
    <t>Expatriate Social Contribution</t>
  </si>
  <si>
    <t>604150.1</t>
  </si>
  <si>
    <t>OPERATING SUB-CONTRACTING -TIME AND MATERIALS</t>
  </si>
  <si>
    <t>OPERATING AND PRODUCTION SUB-CONTRACTING</t>
  </si>
  <si>
    <t>656103</t>
  </si>
  <si>
    <t>656103 GS Recharge Purchasing</t>
  </si>
  <si>
    <t>656104</t>
  </si>
  <si>
    <t>656104 GS Recharge GIT</t>
  </si>
  <si>
    <t>656105</t>
  </si>
  <si>
    <t>656105 GS Recharge Communication</t>
  </si>
  <si>
    <t>681110</t>
  </si>
  <si>
    <t>INTANG ASS - MEANS OF PRODUCTION - AMORTISATION</t>
  </si>
  <si>
    <t>680500</t>
  </si>
  <si>
    <t>IMPAIRMENT LOSSES AND DEPRECIATION ON LONG TERM ASSETS</t>
  </si>
  <si>
    <t>681140</t>
  </si>
  <si>
    <t>TANGIBLE ASS - MEANS OF PRODUCTION - DEPRECIATION</t>
  </si>
  <si>
    <t>681141</t>
  </si>
  <si>
    <t>TANG ASSETS - CPU - DEPRECIATION</t>
  </si>
  <si>
    <t>681146</t>
  </si>
  <si>
    <t>TANGIBLE ASSETS - PREMISES - DEPRECIATION</t>
  </si>
  <si>
    <t>681147</t>
  </si>
  <si>
    <t>OTHER TANGIBLE ASSETS - DEPRECIATION</t>
  </si>
  <si>
    <t>681156</t>
  </si>
  <si>
    <t>681156 Office Furniture depreciation</t>
  </si>
  <si>
    <t>781110</t>
  </si>
  <si>
    <t>781110 RELEASES OF AMORTISATION/INTANGIBLE FIXED ASSETS</t>
  </si>
  <si>
    <t>781120</t>
  </si>
  <si>
    <t>781120 RELEASES OF DEPRECIATION/TANGIBLE FIXED ASSETS</t>
  </si>
  <si>
    <t>681200</t>
  </si>
  <si>
    <t>DEFERRED CHARGES - AMORTISATION</t>
  </si>
  <si>
    <t>671600</t>
  </si>
  <si>
    <t>Right of use write off IFRS 16</t>
  </si>
  <si>
    <t>694510</t>
  </si>
  <si>
    <t>IMPAIRMENT ON PARTICIPATING INTERESTS IN CONSOLIDATED COMPAN</t>
  </si>
  <si>
    <t>706110</t>
  </si>
  <si>
    <t>SALES OF SERVICES - Local PS</t>
  </si>
  <si>
    <t>604220</t>
  </si>
  <si>
    <t>Loss on foreign exchange hedging der</t>
  </si>
  <si>
    <t>Non-realized exchange loss</t>
  </si>
  <si>
    <t>704220</t>
  </si>
  <si>
    <t>Gain on foreign exchange hedging der</t>
  </si>
  <si>
    <t>766300</t>
  </si>
  <si>
    <t>766300 Exchange gain from revaluation of bank and current</t>
  </si>
  <si>
    <t>766400 Exchange gain from revaluation of customer and ven</t>
  </si>
  <si>
    <t>Unrealised for Customer</t>
  </si>
  <si>
    <t>666300</t>
  </si>
  <si>
    <t>666300 Exchange loss from revaluation of bank and current</t>
  </si>
  <si>
    <t>666400 Exchange loss from revaluation of customer and ven</t>
  </si>
  <si>
    <t>Unrealised for Vendor</t>
  </si>
  <si>
    <t>681740.1</t>
  </si>
  <si>
    <t>Provision for Bad Debts Written off</t>
  </si>
  <si>
    <t>671400 IRRECOVERABLE DEBTS OF THE PERIOD</t>
  </si>
  <si>
    <t>681740</t>
  </si>
  <si>
    <t>681740 CHARGE TO PROV. - DEBTORS</t>
  </si>
  <si>
    <t>618500</t>
  </si>
  <si>
    <t>EXTERNAL SEMINARS, CONFERENCES</t>
  </si>
  <si>
    <t>STAFF RECRUITMENT - FEES AND ADVERTISING</t>
  </si>
  <si>
    <t>622411</t>
  </si>
  <si>
    <t>Staff Recruitment-Travel</t>
  </si>
  <si>
    <t>622412</t>
  </si>
  <si>
    <t>Staff Recrtmnt-Medical</t>
  </si>
  <si>
    <t>622413</t>
  </si>
  <si>
    <t>Staff Recrtmnt-Job Sites</t>
  </si>
  <si>
    <t>633330</t>
  </si>
  <si>
    <t>Training Forcem expenses</t>
  </si>
  <si>
    <t>645055</t>
  </si>
  <si>
    <t>Staff Relocation Exp non Tax</t>
  </si>
  <si>
    <t>648700</t>
  </si>
  <si>
    <t>OTHER TRAVELLING EXPENSES TRAINING</t>
  </si>
  <si>
    <t>622500</t>
  </si>
  <si>
    <t>lawyer fees (vs legal fees, counselling fees, lawS</t>
  </si>
  <si>
    <t>622600</t>
  </si>
  <si>
    <t>AUDITORS' FEES</t>
  </si>
  <si>
    <t>622700</t>
  </si>
  <si>
    <t>Notary &amp; Litigation Fees</t>
  </si>
  <si>
    <t>622800.2</t>
  </si>
  <si>
    <t>Technicla Know How Fee</t>
  </si>
  <si>
    <t>775210</t>
  </si>
  <si>
    <t>SELLING PRICE FROM DISPOSALS OF TANGIBLE FIXED A</t>
  </si>
  <si>
    <t>675210</t>
  </si>
  <si>
    <t>NET BOOK VALUE OF TANGIBLE FIXED ASSETS SOLD - OM</t>
  </si>
  <si>
    <t>602000</t>
  </si>
  <si>
    <t>CONSUMABLE SUPPLIES</t>
  </si>
  <si>
    <t>606300</t>
  </si>
  <si>
    <t>OFFICE SUPPLIES, SMALL TOOLS, MAINTENANCE SUPPLIES</t>
  </si>
  <si>
    <t>CARETAKER AND TELE-SURVEILLANCE EXPENSES</t>
  </si>
  <si>
    <t>626600</t>
  </si>
  <si>
    <t>POST EXPENSES</t>
  </si>
  <si>
    <t>Printing &amp; Stationery</t>
  </si>
  <si>
    <t>628426</t>
  </si>
  <si>
    <t>Xeroxing/Binding Charges</t>
  </si>
  <si>
    <t>606180</t>
  </si>
  <si>
    <t>Clean Services</t>
  </si>
  <si>
    <t>658003</t>
  </si>
  <si>
    <t>658003 Other facility management expenses</t>
  </si>
  <si>
    <t>606400</t>
  </si>
  <si>
    <t>OFFICE SUPPLIES</t>
  </si>
  <si>
    <t>628427</t>
  </si>
  <si>
    <t>Books &amp; Periodicals</t>
  </si>
  <si>
    <t>675210.1</t>
  </si>
  <si>
    <t>CWIP Writte Back</t>
  </si>
  <si>
    <t>775210.1</t>
  </si>
  <si>
    <t>Release of Provision of CWIP</t>
  </si>
  <si>
    <t>Thirdparty contract employees</t>
  </si>
  <si>
    <t>604159</t>
  </si>
  <si>
    <t>OPERATING SUB-CONTRACTING - (NO AHV)</t>
  </si>
  <si>
    <t>604140</t>
  </si>
  <si>
    <t>OP S/C T&amp;M (OM m-up) Interco</t>
  </si>
  <si>
    <t>Employee benefit expenses</t>
  </si>
  <si>
    <t>604340</t>
  </si>
  <si>
    <t>604340 OP&amp;PROD S/C (OM m-up) Interco</t>
  </si>
  <si>
    <t>616210</t>
  </si>
  <si>
    <t>Interco Parent Guarantees</t>
  </si>
  <si>
    <t>SOFTWARE ROYALTIES, PATENT USER RIGHTS</t>
  </si>
  <si>
    <t>652120</t>
  </si>
  <si>
    <t>Software royalties</t>
  </si>
  <si>
    <t>Technical Fees-Izoologic (third party vendor)</t>
  </si>
  <si>
    <t>628430</t>
  </si>
  <si>
    <t>628430 other outsourced services</t>
  </si>
  <si>
    <t>625760</t>
  </si>
  <si>
    <t>REPRESANTATION AND HOSTING EXPENSES - D</t>
  </si>
  <si>
    <t>Webhosting</t>
  </si>
  <si>
    <t>657000</t>
  </si>
  <si>
    <t>ATOS BRANDNAME ROYALTIES</t>
  </si>
  <si>
    <t>628400</t>
  </si>
  <si>
    <t>WAGES AND SALARIES</t>
  </si>
  <si>
    <t>641230</t>
  </si>
  <si>
    <t>641230 Choice system</t>
  </si>
  <si>
    <t>641230.1</t>
  </si>
  <si>
    <t xml:space="preserve">Subco </t>
  </si>
  <si>
    <t>641701</t>
  </si>
  <si>
    <t>Allowance 1</t>
  </si>
  <si>
    <t>Allowance 2</t>
  </si>
  <si>
    <t>641300</t>
  </si>
  <si>
    <t>INCENTIVE WAGES AND BONUSES</t>
  </si>
  <si>
    <t>641301</t>
  </si>
  <si>
    <t>INCENTIVE WAGES AND BONUSES (NO AHV)</t>
  </si>
  <si>
    <t>LTA</t>
  </si>
  <si>
    <t>641310</t>
  </si>
  <si>
    <t>YEAR-END BONUSES</t>
  </si>
  <si>
    <t>641311</t>
  </si>
  <si>
    <t>PROVISION - YEAR-END BONUSES-RETENTION BONUS</t>
  </si>
  <si>
    <t>641314</t>
  </si>
  <si>
    <t>EMPLOYEE BONUS - RETENTION BONUS</t>
  </si>
  <si>
    <t>641316</t>
  </si>
  <si>
    <t>PROVISIONS - SALES STAFF OBJECTIVE BONU-Sales Incentive</t>
  </si>
  <si>
    <t>641629</t>
  </si>
  <si>
    <t>Other Variable Pay (Loyalty Bonus)</t>
  </si>
  <si>
    <t>641705</t>
  </si>
  <si>
    <t>Notice Pay Recoveries</t>
  </si>
  <si>
    <t>641400</t>
  </si>
  <si>
    <t>COMPENSATION AND SUNDRY BENEFITS</t>
  </si>
  <si>
    <t>HOUSING ALLOWANCE</t>
  </si>
  <si>
    <t>641707</t>
  </si>
  <si>
    <t>Education Allowance</t>
  </si>
  <si>
    <t>641111</t>
  </si>
  <si>
    <t>SHIFT ALLOWANCES</t>
  </si>
  <si>
    <t>641360</t>
  </si>
  <si>
    <t>COMPENSATION OF TRAVELLING EXPENSES</t>
  </si>
  <si>
    <t>641317</t>
  </si>
  <si>
    <t>RESULTS-RELATED BONUSES-Retention Bonus</t>
  </si>
  <si>
    <t>641708</t>
  </si>
  <si>
    <t>Medical Allowance</t>
  </si>
  <si>
    <t>645001</t>
  </si>
  <si>
    <t>Health Insurance 1</t>
  </si>
  <si>
    <t>645054</t>
  </si>
  <si>
    <t>Long Service Awards</t>
  </si>
  <si>
    <t>645219</t>
  </si>
  <si>
    <t>DB Pension expenses on unfunded plans</t>
  </si>
  <si>
    <t>645110</t>
  </si>
  <si>
    <t>645700</t>
  </si>
  <si>
    <t>dc pensions plans other</t>
  </si>
  <si>
    <t>647400</t>
  </si>
  <si>
    <t>647400 PAYMENTS TO SOCIAL WELFARE ACTIVITIES</t>
  </si>
  <si>
    <t>781502</t>
  </si>
  <si>
    <t>RELEASES FROM PROV: PENSIONS &amp; RETIREMENT LIABILIT</t>
  </si>
  <si>
    <t>658013</t>
  </si>
  <si>
    <t>658013 Compensation Awards</t>
  </si>
  <si>
    <t>647600</t>
  </si>
  <si>
    <t>LUNCHEON VOUCHERS AND MEAL CARDS</t>
  </si>
  <si>
    <t>641711</t>
  </si>
  <si>
    <t>641200</t>
  </si>
  <si>
    <t>Paid Holiday (Leave Encashment)</t>
  </si>
  <si>
    <t>CH. TO PROV/ PENSIONS &amp; RETIREMENT LIABILITY PROV.-Leave Encashment</t>
  </si>
  <si>
    <t>681502 CH. TO PROV/ PENSIONS &amp; RETIREMENT LIABILITY PROV. - Gratuity</t>
  </si>
  <si>
    <t>686101</t>
  </si>
  <si>
    <t>Financial provision for interest cost (Pension)</t>
  </si>
  <si>
    <t>Other Comprehensive Income on Acturial valuation</t>
  </si>
  <si>
    <t>641713</t>
  </si>
  <si>
    <t>Co. Cont. to P.F.</t>
  </si>
  <si>
    <t>641714</t>
  </si>
  <si>
    <t>Co. Cont. to F.P.F.</t>
  </si>
  <si>
    <t>641715</t>
  </si>
  <si>
    <t>Co. Cont. to ESI</t>
  </si>
  <si>
    <t>641716</t>
  </si>
  <si>
    <t>Cont.-MLWF/PF/EDLI Admn.</t>
  </si>
  <si>
    <t>645643</t>
  </si>
  <si>
    <t>Pension contr own employee</t>
  </si>
  <si>
    <t>625100</t>
  </si>
  <si>
    <t>625100 STAFF - TRAVELLING AND SUBSISTENCE - BILLED</t>
  </si>
  <si>
    <t>625601</t>
  </si>
  <si>
    <t>625601 FOREIGN TRAVELLING AND SUBSISTENCE - DIRECT</t>
  </si>
  <si>
    <t>625714</t>
  </si>
  <si>
    <t>Staff Meals - Lunch</t>
  </si>
  <si>
    <t>OTHER EMPLOYEE EXPENSES</t>
  </si>
  <si>
    <t>625708</t>
  </si>
  <si>
    <t>Overnight Incidental Allowance</t>
  </si>
  <si>
    <t>645019</t>
  </si>
  <si>
    <t>Direct Health Costs</t>
  </si>
  <si>
    <t>645032</t>
  </si>
  <si>
    <t>Staff Bus Hire Chrgs</t>
  </si>
  <si>
    <t>647500</t>
  </si>
  <si>
    <t>Company Doctor</t>
  </si>
  <si>
    <t>641203</t>
  </si>
  <si>
    <t>641203 VACATION LEAVE PAYMENTS - GEN&amp;ADM</t>
  </si>
  <si>
    <t>604105</t>
  </si>
  <si>
    <t>Medical Supplies</t>
  </si>
  <si>
    <t>604104</t>
  </si>
  <si>
    <t>604111</t>
  </si>
  <si>
    <t>Catering &amp; Restaurant</t>
  </si>
  <si>
    <t>647700</t>
  </si>
  <si>
    <t>OTHER FINANCIAL EXPENSES</t>
  </si>
  <si>
    <t>627800</t>
  </si>
  <si>
    <t>OTHER BANK EXPENSES AND COMMISSION</t>
  </si>
  <si>
    <t>661510</t>
  </si>
  <si>
    <t>661510 OVERDRAFT INTEREST AND BANK CHARGES</t>
  </si>
  <si>
    <t>604051</t>
  </si>
  <si>
    <t>Other Interest Expenses non deductible</t>
  </si>
  <si>
    <t>Interest on LWF</t>
  </si>
  <si>
    <t>604050</t>
  </si>
  <si>
    <t>604050 Other Interest Expenses</t>
  </si>
  <si>
    <t>671200</t>
  </si>
  <si>
    <t>671200 FINES AND PENALTIES</t>
  </si>
  <si>
    <t>671210</t>
  </si>
  <si>
    <t>NON-DEDUCTIBLE FINES AND PENALTIES</t>
  </si>
  <si>
    <t>762511</t>
  </si>
  <si>
    <t>Interest Income-Deposits</t>
  </si>
  <si>
    <t>604051.1</t>
  </si>
  <si>
    <t>GST Refund</t>
  </si>
  <si>
    <t>Amortisation of Deferred Rent</t>
  </si>
  <si>
    <t>704670.4</t>
  </si>
  <si>
    <t>704670.3</t>
  </si>
  <si>
    <t>Interest on Income tax refund</t>
  </si>
  <si>
    <t>704670</t>
  </si>
  <si>
    <t>Other Financial Income</t>
  </si>
  <si>
    <t>704670.5</t>
  </si>
  <si>
    <t>Advances/excess amounts from customer written back</t>
  </si>
  <si>
    <t>704670.6</t>
  </si>
  <si>
    <t>INCOME FROM ORDINARY ACTIVITIES</t>
  </si>
  <si>
    <t>Miscellaneous operating income (Interest on Security Deposit - IndAS)</t>
  </si>
  <si>
    <t>704670A</t>
  </si>
  <si>
    <t>Warranty Writeback - Adjustment (PL)</t>
  </si>
  <si>
    <t>704670B</t>
  </si>
  <si>
    <t>Amounts no longer payable w/back (PL)</t>
  </si>
  <si>
    <t>762510</t>
  </si>
  <si>
    <t>Int Income-Personal Loan</t>
  </si>
  <si>
    <t>761700 Interest income Credit Card business</t>
  </si>
  <si>
    <t>RELEASES FROM DEBTOR PROVISIONS</t>
  </si>
  <si>
    <t>699900.1</t>
  </si>
  <si>
    <t>Provision against deferred tax asset</t>
  </si>
  <si>
    <t>681501</t>
  </si>
  <si>
    <t>CHARGE TO PROV. L&amp;C - LOSSES TO COMPLETION</t>
  </si>
  <si>
    <t>641723</t>
  </si>
  <si>
    <t>Fringe Benefit Tax (FBT)</t>
  </si>
  <si>
    <t>695000</t>
  </si>
  <si>
    <t>CORPORATE INCOME TAX</t>
  </si>
  <si>
    <t>Income tax expenses</t>
  </si>
  <si>
    <t>695003</t>
  </si>
  <si>
    <t>695003 Income tax</t>
  </si>
  <si>
    <t>911004</t>
  </si>
  <si>
    <t>Short/(Excess) Prov-Taxs</t>
  </si>
  <si>
    <t>699900</t>
  </si>
  <si>
    <t>DEFERRED TAX INCOME</t>
  </si>
  <si>
    <t>Defferred tax expenses</t>
  </si>
  <si>
    <t>DEFERRED TAX CHARGES - OCI</t>
  </si>
  <si>
    <t>31st March 2024</t>
  </si>
  <si>
    <t>31st March 2023</t>
  </si>
  <si>
    <t>Total debt(represents lease liabilities)</t>
  </si>
  <si>
    <t>Earnings available for debt service</t>
  </si>
  <si>
    <t>EBIT</t>
  </si>
  <si>
    <t>Earning before Interest ,tax and Depreciation</t>
  </si>
  <si>
    <t>Debt service</t>
  </si>
  <si>
    <t>(Principal Repayment) + (Interest Payments) + (Lease Payments</t>
  </si>
  <si>
    <t>Note 28</t>
  </si>
  <si>
    <t>Repayment of Lease Liability + Payment of Interest</t>
  </si>
  <si>
    <t>Purchases of services and other expenses</t>
  </si>
  <si>
    <t>Technical consultant and other expenses</t>
  </si>
  <si>
    <t>Cost of Software packages+Technical Contract + Other expenses</t>
  </si>
  <si>
    <t>Current Assets-Current Liabilities</t>
  </si>
  <si>
    <t>Earning before interest and taxes</t>
  </si>
  <si>
    <t>Total Assets - current liabilities</t>
  </si>
  <si>
    <t>Liabilty trf to Syntel on account of emp'ee trf</t>
  </si>
  <si>
    <t>Provison for IT entry</t>
  </si>
  <si>
    <t>508200 Bank Deposit</t>
  </si>
  <si>
    <t>Differential entry passed to match Atuary report</t>
  </si>
  <si>
    <t>Reclass entry(insurance refund on damaged laptop)</t>
  </si>
  <si>
    <t>Reclass entry(laptop related repairs)</t>
  </si>
  <si>
    <t>Mar-22 Audit entry rectified</t>
  </si>
  <si>
    <t>Miscellaneous income(refer note 30)</t>
  </si>
  <si>
    <t>Reclass from payables(debit balance) to other receivables</t>
  </si>
  <si>
    <t>Reclassed to new GL</t>
  </si>
  <si>
    <t>FFS Accrual moved from retention to FFS</t>
  </si>
  <si>
    <t>Mar 25 FFS provision for leave encashment reversed based on actuary report</t>
  </si>
  <si>
    <t>Retention bonus form jan-25 to June-25 reversal</t>
  </si>
  <si>
    <t>H2 2024 Accrual shortage</t>
  </si>
  <si>
    <t>Abatement impact</t>
  </si>
  <si>
    <t>960141</t>
  </si>
  <si>
    <t>960710</t>
  </si>
  <si>
    <t>960A45</t>
  </si>
  <si>
    <t>960A47</t>
  </si>
  <si>
    <t>960642</t>
  </si>
  <si>
    <t>960A88</t>
  </si>
  <si>
    <t>Miscellaneous expenes</t>
  </si>
  <si>
    <t>Miscellaneous income</t>
  </si>
  <si>
    <t>960023</t>
  </si>
  <si>
    <t>960412</t>
  </si>
  <si>
    <t>960774</t>
  </si>
  <si>
    <t>S'Prayas Foundation</t>
  </si>
  <si>
    <t>Paladion Qatar WLL</t>
  </si>
  <si>
    <t>Ultimate holding company</t>
  </si>
  <si>
    <t>Atos Convergence Creators S.R.L.</t>
  </si>
  <si>
    <t>MSL Technology Sl</t>
  </si>
  <si>
    <t>Atos IT Services Private Limited</t>
  </si>
  <si>
    <t xml:space="preserve">Atos IT Services SARL </t>
  </si>
  <si>
    <t>Morocco</t>
  </si>
  <si>
    <t>Atos Poland R&amp;D Sp zoo</t>
  </si>
  <si>
    <t>SEC Consult Thailand</t>
  </si>
  <si>
    <t>SEC Consult Malaysia</t>
  </si>
  <si>
    <t>Malaysia</t>
  </si>
  <si>
    <t>Eviden Germany GMBH</t>
  </si>
  <si>
    <t>Syntel Canada Inc.</t>
  </si>
  <si>
    <t>Atos (Australia) Pty Ltd</t>
  </si>
  <si>
    <t>Australia</t>
  </si>
  <si>
    <t>Ultimate Holding</t>
  </si>
  <si>
    <t>Paladion Technologies Inc.</t>
  </si>
  <si>
    <t>SEC Consult (Thailand) Co.,Ltd</t>
  </si>
  <si>
    <t>SEC Consult Malaysia Sdn Bhd</t>
  </si>
  <si>
    <t xml:space="preserve">Atos Inc. </t>
  </si>
  <si>
    <t>Abatement</t>
  </si>
  <si>
    <t>451000 INTER-CO CURRENT ACCTS IN DEB - PRINC ATOS SCOPE</t>
  </si>
  <si>
    <t>Additional NM billing form 928 entity</t>
  </si>
  <si>
    <t>Penalty amounts reclassed to Exp GL</t>
  </si>
  <si>
    <t>Provision amt to be reversed as GRN received</t>
  </si>
  <si>
    <t>Deferred entry</t>
  </si>
  <si>
    <t>This amount pertains to the cost of subcontracted resource Nikita (from Innovation). So this should not be a part of software ourchase GL and be reclassed.</t>
  </si>
  <si>
    <t>Reversal of revenue  as the project has cancelled</t>
  </si>
  <si>
    <t>Reversal of deffered revnue as the project has cancelled</t>
  </si>
  <si>
    <t>Nucleus_ Entire revenue to be defrred as this pertains to FY 25-26</t>
  </si>
  <si>
    <t>Nomura additional Unbilled recorded based on auditor's observation</t>
  </si>
  <si>
    <t>Provision reversal done in different GLs and GRN booked in different GL, hence reclassed accordingly.</t>
  </si>
  <si>
    <t>GL Reclass from 437523 to GL 437000 for Health Insurance CD Balance</t>
  </si>
  <si>
    <t>GMC Basepolicy CD Balance Statement</t>
  </si>
  <si>
    <t>GTL CD Balance Statement</t>
  </si>
  <si>
    <t>GPA CD Balance Statement</t>
  </si>
  <si>
    <t>Parental &amp; VLI Insurance CD Balance Reclass from GL 468701 to 437000</t>
  </si>
  <si>
    <t>Parental Insurance CD Balance Reclass from GL 468701 to 437000</t>
  </si>
  <si>
    <t>VLI Insurance CD Balance Reclass from GL 468701 to 437000</t>
  </si>
  <si>
    <t>Parental CD Balance Statement</t>
  </si>
  <si>
    <t>Reversal of OREDOO PROJECT Bonus as it is no longer required.</t>
  </si>
  <si>
    <t>TAF reversal</t>
  </si>
  <si>
    <t>628400.1</t>
  </si>
  <si>
    <t>628400.2</t>
  </si>
  <si>
    <t>628400.3</t>
  </si>
  <si>
    <t xml:space="preserve">Legal and professional </t>
  </si>
  <si>
    <t xml:space="preserve">Travelling </t>
  </si>
  <si>
    <t>Communication</t>
  </si>
  <si>
    <t>Reclass from Technical contract to respective Exp</t>
  </si>
  <si>
    <t>Reclass to Technical contract charges</t>
  </si>
  <si>
    <t>Reclass to software</t>
  </si>
  <si>
    <t>Reclass to Advertising expenses(negative amount)</t>
  </si>
  <si>
    <t>CBOI transferred fund to GST Dept for GST Notice DRC-07</t>
  </si>
  <si>
    <t>Additional Unbilled recorded based on auditor's observation(SMFG)</t>
  </si>
  <si>
    <t>Revenue reversed as it was over-recognised(Siemens)</t>
  </si>
  <si>
    <t>This is the cost of software purchase and hence should reclassed to GL 607500</t>
  </si>
  <si>
    <t>Deposit brought back from exp(Sudheer Subramanian)</t>
  </si>
  <si>
    <t>Old Visa deposit to be written off</t>
  </si>
  <si>
    <t>Deposit Immigration registration wirtten off</t>
  </si>
  <si>
    <t>Saifzone online registraion deposit wirtten off</t>
  </si>
  <si>
    <t>Syntel excess provison reversed_BGV</t>
  </si>
  <si>
    <t>Eviden India Private limited</t>
  </si>
  <si>
    <t>Eviden Technologies S.R.L</t>
  </si>
  <si>
    <t xml:space="preserve">Provision reversal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</si>
</sst>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 #,##0_-;_-* &quot;-&quot;_-;_-@_-"/>
    <numFmt numFmtId="43" formatCode="_-* #,##0.00_-;\-* #,##0.00_-;_-* &quot;-&quot;??_-;_-@_-"/>
    <numFmt numFmtId="164" formatCode="_(* #,##0.00_);_(* \(#,##0.00\);_(* &quot;-&quot;??_);_(@_)"/>
    <numFmt numFmtId="165" formatCode="_ * #,##0_ ;_ * \-#,##0_ ;_ * &quot;-&quot;_ ;_ @_ "/>
    <numFmt numFmtId="166" formatCode="_ &quot;₹&quot;\ * #,##0.00_ ;_ &quot;₹&quot;\ * \-#,##0.00_ ;_ &quot;₹&quot;\ * &quot;-&quot;??_ ;_ @_ "/>
    <numFmt numFmtId="167" formatCode="_ * #,##0.00_ ;_ * \-#,##0.00_ ;_ * &quot;-&quot;??_ ;_ @_ "/>
    <numFmt numFmtId="168" formatCode="_(* #,##0_);_(* \(#,##0\);_(* &quot;-&quot;??_);_(@_)"/>
    <numFmt numFmtId="169" formatCode="_(* #,##0.0000_);_(* \(#,##0.0000\);_(* &quot;-&quot;??_);_(@_)"/>
    <numFmt numFmtId="170" formatCode="_(* #,##0.00000_);_(* \(#,##0.00000\);_(* &quot;-&quot;??_);_(@_)"/>
    <numFmt numFmtId="171" formatCode="_(* #,##0.000_);_(* \(#,##0.000\);_(* &quot;-&quot;??_);_(@_)"/>
    <numFmt numFmtId="172" formatCode="_-* #,##0_-;\-* #,##0_-;_-* &quot;-&quot;??_-;_-@_-"/>
    <numFmt numFmtId="173" formatCode="[$-409]d\-mmm\-yy;@"/>
    <numFmt numFmtId="174" formatCode="[$-F800]dddd\,\ mmmm\ dd\,\ yyyy"/>
    <numFmt numFmtId="175" formatCode="_ * #,##0_ ;_ * \-#,##0_ ;_ * &quot;-&quot;??_ ;_ @_ "/>
    <numFmt numFmtId="176" formatCode="dd\ mmmm\ yyyy"/>
    <numFmt numFmtId="177" formatCode="_(* #,##0.0_);_(* \(#,##0.0\);_(* &quot;-&quot;??_);_(@_)"/>
    <numFmt numFmtId="178" formatCode="_(* #,##0.000000_);_(* \(#,##0.000000\);_(* &quot;-&quot;??_);_(@_)"/>
    <numFmt numFmtId="179" formatCode="_(* #,##0.000000000000_);_(* \(#,##0.000000000000\);_(* &quot;-&quot;??_);_(@_)"/>
    <numFmt numFmtId="180" formatCode="_(* #,##0.0000000000000_);_(* \(#,##0.0000000000000\);_(* &quot;-&quot;??_);_(@_)"/>
  </numFmts>
  <fonts count="58" x14ac:knownFonts="1">
    <font>
      <sz val="11"/>
      <color theme="1"/>
      <name val="Calibri"/>
      <family val="2"/>
      <scheme val="minor"/>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10"/>
      <name val="Arial"/>
      <family val="2"/>
    </font>
    <font>
      <sz val="8"/>
      <color theme="1"/>
      <name val="Arial"/>
      <family val="2"/>
    </font>
    <font>
      <b/>
      <sz val="8"/>
      <name val="Arial"/>
      <family val="2"/>
    </font>
    <font>
      <b/>
      <sz val="10"/>
      <name val="Arial"/>
      <family val="2"/>
    </font>
    <font>
      <sz val="10"/>
      <color theme="1"/>
      <name val="Arial"/>
      <family val="2"/>
    </font>
    <font>
      <b/>
      <sz val="8"/>
      <color theme="1"/>
      <name val="Arial"/>
      <family val="2"/>
    </font>
    <font>
      <b/>
      <sz val="10"/>
      <color indexed="8"/>
      <name val="Arial"/>
      <family val="2"/>
    </font>
    <font>
      <b/>
      <sz val="9"/>
      <color theme="1"/>
      <name val="Arial"/>
      <family val="2"/>
    </font>
    <font>
      <b/>
      <sz val="9"/>
      <color rgb="FFFF0000"/>
      <name val="Accountant"/>
      <charset val="2"/>
    </font>
    <font>
      <b/>
      <sz val="9"/>
      <color theme="0"/>
      <name val="Arial"/>
      <family val="2"/>
    </font>
    <font>
      <b/>
      <sz val="9"/>
      <name val="Arial"/>
      <family val="2"/>
    </font>
    <font>
      <sz val="9"/>
      <name val="Arial"/>
      <family val="2"/>
    </font>
    <font>
      <b/>
      <i/>
      <u/>
      <sz val="9"/>
      <name val="Arial"/>
      <family val="2"/>
    </font>
    <font>
      <b/>
      <i/>
      <u val="singleAccounting"/>
      <sz val="9"/>
      <name val="Arial"/>
      <family val="2"/>
    </font>
    <font>
      <sz val="9"/>
      <color rgb="FFFF0000"/>
      <name val="Arial"/>
      <family val="2"/>
    </font>
    <font>
      <sz val="9"/>
      <color indexed="8"/>
      <name val="Arial"/>
      <family val="2"/>
    </font>
    <font>
      <b/>
      <u/>
      <sz val="9"/>
      <color theme="1"/>
      <name val="Arial"/>
      <family val="2"/>
    </font>
    <font>
      <sz val="8"/>
      <name val="Arial"/>
      <family val="2"/>
    </font>
    <font>
      <sz val="9"/>
      <color theme="0"/>
      <name val="Arial"/>
      <family val="2"/>
    </font>
    <font>
      <u/>
      <sz val="9"/>
      <color indexed="8"/>
      <name val="Arial"/>
      <family val="2"/>
    </font>
    <font>
      <b/>
      <sz val="9"/>
      <color rgb="FFFF0000"/>
      <name val="Arial"/>
      <family val="2"/>
    </font>
    <font>
      <i/>
      <sz val="9"/>
      <name val="Arial"/>
      <family val="2"/>
    </font>
    <font>
      <b/>
      <sz val="9"/>
      <color indexed="8"/>
      <name val="Arial"/>
      <family val="2"/>
    </font>
    <font>
      <vertAlign val="superscript"/>
      <sz val="9"/>
      <color theme="1"/>
      <name val="Arial"/>
      <family val="2"/>
    </font>
    <font>
      <b/>
      <vertAlign val="superscript"/>
      <sz val="9"/>
      <name val="Arial"/>
      <family val="2"/>
    </font>
    <font>
      <vertAlign val="superscript"/>
      <sz val="9"/>
      <name val="Arial"/>
      <family val="2"/>
    </font>
    <font>
      <b/>
      <i/>
      <sz val="9"/>
      <name val="Arial"/>
      <family val="2"/>
    </font>
    <font>
      <u/>
      <sz val="9"/>
      <name val="Arial"/>
      <family val="2"/>
    </font>
    <font>
      <b/>
      <u/>
      <sz val="9"/>
      <name val="Arial"/>
      <family val="2"/>
    </font>
    <font>
      <sz val="9"/>
      <color rgb="FF222222"/>
      <name val="Arial"/>
      <family val="2"/>
    </font>
    <font>
      <b/>
      <i/>
      <sz val="9"/>
      <color theme="1"/>
      <name val="Arial"/>
      <family val="2"/>
    </font>
    <font>
      <b/>
      <sz val="9"/>
      <color rgb="FF000000"/>
      <name val="Arial"/>
      <family val="2"/>
    </font>
    <font>
      <b/>
      <u/>
      <sz val="9"/>
      <color indexed="12"/>
      <name val="Arial"/>
      <family val="2"/>
    </font>
    <font>
      <sz val="9"/>
      <color indexed="12"/>
      <name val="Arial"/>
      <family val="2"/>
    </font>
    <font>
      <i/>
      <sz val="9"/>
      <color theme="1"/>
      <name val="Arial"/>
      <family val="2"/>
    </font>
    <font>
      <b/>
      <sz val="9"/>
      <color rgb="FFC00000"/>
      <name val="Arial"/>
      <family val="2"/>
    </font>
    <font>
      <sz val="9"/>
      <color indexed="63"/>
      <name val="Arial"/>
      <family val="2"/>
    </font>
    <font>
      <sz val="11"/>
      <color theme="1"/>
      <name val="Calibri"/>
      <family val="2"/>
      <scheme val="minor"/>
    </font>
    <font>
      <sz val="10"/>
      <name val="Times New Roman"/>
      <family val="1"/>
    </font>
    <font>
      <sz val="9"/>
      <color theme="1"/>
      <name val="Times New Roman"/>
      <family val="1"/>
    </font>
    <font>
      <b/>
      <sz val="9"/>
      <color theme="1"/>
      <name val="Times New Roman"/>
      <family val="1"/>
    </font>
    <font>
      <b/>
      <sz val="8"/>
      <color rgb="FF000000"/>
      <name val="Arial"/>
      <family val="2"/>
    </font>
    <font>
      <i/>
      <u/>
      <sz val="9"/>
      <name val="Arial"/>
      <family val="2"/>
    </font>
    <font>
      <sz val="9"/>
      <color rgb="FFC00000"/>
      <name val="Arial"/>
      <family val="2"/>
    </font>
    <font>
      <b/>
      <sz val="8"/>
      <color theme="1"/>
      <name val="Times New Roman"/>
      <family val="1"/>
    </font>
    <font>
      <sz val="8"/>
      <color theme="1"/>
      <name val="Times New Roman"/>
      <family val="1"/>
    </font>
    <font>
      <b/>
      <sz val="8"/>
      <name val="Times New Roman"/>
      <family val="1"/>
    </font>
    <font>
      <sz val="8"/>
      <color theme="0"/>
      <name val="Times New Roman"/>
      <family val="1"/>
    </font>
    <font>
      <sz val="8"/>
      <name val="Times New Roman"/>
      <family val="1"/>
    </font>
    <font>
      <sz val="8"/>
      <color rgb="FFFF0000"/>
      <name val="Times New Roman"/>
      <family val="1"/>
    </font>
    <font>
      <sz val="9"/>
      <color rgb="FFFFFF00"/>
      <name val="Arial"/>
      <family val="2"/>
    </font>
    <font>
      <sz val="9"/>
      <color rgb="FF7030A0"/>
      <name val="Times New Roman"/>
      <family val="1"/>
    </font>
  </fonts>
  <fills count="14">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0"/>
        <bgColor indexed="64"/>
      </patternFill>
    </fill>
    <fill>
      <patternFill patternType="solid">
        <fgColor rgb="FF7030A0"/>
        <bgColor indexed="64"/>
      </patternFill>
    </fill>
    <fill>
      <patternFill patternType="solid">
        <fgColor theme="9" tint="0.79998168889431442"/>
        <bgColor indexed="64"/>
      </patternFill>
    </fill>
    <fill>
      <patternFill patternType="solid">
        <fgColor rgb="FFFFC000"/>
        <bgColor indexed="64"/>
      </patternFill>
    </fill>
    <fill>
      <patternFill patternType="solid">
        <fgColor rgb="FFFF0000"/>
        <bgColor indexed="64"/>
      </patternFill>
    </fill>
    <fill>
      <patternFill patternType="solid">
        <fgColor theme="1" tint="0.14999847407452621"/>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F3FBCF"/>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auto="1"/>
      </top>
      <bottom style="thin">
        <color indexed="64"/>
      </bottom>
      <diagonal/>
    </border>
    <border>
      <left/>
      <right/>
      <top style="thin">
        <color indexed="64"/>
      </top>
      <bottom style="double">
        <color indexed="64"/>
      </bottom>
      <diagonal/>
    </border>
    <border>
      <left/>
      <right/>
      <top style="thin">
        <color indexed="64"/>
      </top>
      <bottom/>
      <diagonal/>
    </border>
    <border>
      <left/>
      <right/>
      <top/>
      <bottom style="thin">
        <color auto="1"/>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auto="1"/>
      </right>
      <top style="thin">
        <color auto="1"/>
      </top>
      <bottom/>
      <diagonal/>
    </border>
    <border>
      <left/>
      <right style="thin">
        <color indexed="64"/>
      </right>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s>
  <cellStyleXfs count="5">
    <xf numFmtId="0" fontId="0" fillId="0" borderId="0"/>
    <xf numFmtId="167" fontId="43" fillId="0" borderId="0" applyFont="0" applyFill="0" applyBorder="0" applyAlignment="0" applyProtection="0"/>
    <xf numFmtId="9" fontId="43" fillId="0" borderId="0" applyFont="0" applyFill="0" applyBorder="0" applyAlignment="0" applyProtection="0"/>
    <xf numFmtId="0" fontId="44" fillId="0" borderId="0"/>
    <xf numFmtId="166" fontId="43" fillId="0" borderId="0" applyFont="0" applyFill="0" applyBorder="0" applyAlignment="0" applyProtection="0"/>
  </cellStyleXfs>
  <cellXfs count="1234">
    <xf numFmtId="0" fontId="0" fillId="0" borderId="0" xfId="0"/>
    <xf numFmtId="168" fontId="7" fillId="2" borderId="0" xfId="0" applyNumberFormat="1" applyFont="1" applyFill="1"/>
    <xf numFmtId="0" fontId="13" fillId="0" borderId="0" xfId="0" applyFont="1" applyAlignment="1">
      <alignment vertical="top"/>
    </xf>
    <xf numFmtId="168" fontId="16" fillId="0" borderId="0" xfId="0" applyNumberFormat="1" applyFont="1"/>
    <xf numFmtId="0" fontId="21" fillId="0" borderId="0" xfId="0" applyFont="1" applyAlignment="1">
      <alignment vertical="top"/>
    </xf>
    <xf numFmtId="0" fontId="13" fillId="0" borderId="0" xfId="0" applyFont="1"/>
    <xf numFmtId="0" fontId="9" fillId="0" borderId="0" xfId="0" applyFont="1" applyAlignment="1">
      <alignment horizontal="left"/>
    </xf>
    <xf numFmtId="0" fontId="12" fillId="0" borderId="0" xfId="0" applyFont="1"/>
    <xf numFmtId="0" fontId="13" fillId="0" borderId="0" xfId="0" applyFont="1" applyAlignment="1">
      <alignment horizontal="right"/>
    </xf>
    <xf numFmtId="0" fontId="14" fillId="0" borderId="0" xfId="0" applyFont="1" applyAlignment="1">
      <alignment horizontal="right"/>
    </xf>
    <xf numFmtId="0" fontId="14" fillId="0" borderId="0" xfId="0" applyFont="1" applyAlignment="1">
      <alignment horizontal="center"/>
    </xf>
    <xf numFmtId="165" fontId="15" fillId="5" borderId="1" xfId="0" applyNumberFormat="1" applyFont="1" applyFill="1" applyBorder="1" applyAlignment="1">
      <alignment horizontal="center" vertical="center" wrapText="1"/>
    </xf>
    <xf numFmtId="49" fontId="15" fillId="5" borderId="1" xfId="0" applyNumberFormat="1" applyFont="1" applyFill="1" applyBorder="1" applyAlignment="1">
      <alignment horizontal="center" vertical="center" wrapText="1"/>
    </xf>
    <xf numFmtId="49" fontId="16" fillId="0" borderId="7" xfId="0" applyNumberFormat="1" applyFont="1" applyBorder="1"/>
    <xf numFmtId="49" fontId="14" fillId="0" borderId="0" xfId="0" applyNumberFormat="1" applyFont="1" applyAlignment="1">
      <alignment horizontal="left"/>
    </xf>
    <xf numFmtId="167" fontId="16" fillId="0" borderId="0" xfId="0" applyNumberFormat="1" applyFont="1"/>
    <xf numFmtId="49" fontId="17" fillId="0" borderId="7" xfId="0" applyNumberFormat="1" applyFont="1" applyBorder="1"/>
    <xf numFmtId="168" fontId="17" fillId="0" borderId="0" xfId="0" applyNumberFormat="1" applyFont="1"/>
    <xf numFmtId="49" fontId="17" fillId="0" borderId="0" xfId="0" applyNumberFormat="1" applyFont="1" applyAlignment="1">
      <alignment horizontal="left"/>
    </xf>
    <xf numFmtId="0" fontId="17" fillId="0" borderId="0" xfId="0" applyFont="1"/>
    <xf numFmtId="49" fontId="17" fillId="0" borderId="10" xfId="0" applyNumberFormat="1" applyFont="1" applyBorder="1"/>
    <xf numFmtId="168" fontId="17" fillId="0" borderId="6" xfId="0" applyNumberFormat="1" applyFont="1" applyBorder="1"/>
    <xf numFmtId="168" fontId="17" fillId="0" borderId="2" xfId="0" applyNumberFormat="1" applyFont="1" applyBorder="1"/>
    <xf numFmtId="49" fontId="18" fillId="0" borderId="7" xfId="0" applyNumberFormat="1" applyFont="1" applyBorder="1"/>
    <xf numFmtId="165" fontId="17" fillId="0" borderId="0" xfId="0" applyNumberFormat="1" applyFont="1"/>
    <xf numFmtId="165" fontId="17" fillId="0" borderId="9" xfId="0" applyNumberFormat="1" applyFont="1" applyBorder="1"/>
    <xf numFmtId="49" fontId="19" fillId="0" borderId="7" xfId="0" applyNumberFormat="1" applyFont="1" applyBorder="1"/>
    <xf numFmtId="167" fontId="17" fillId="0" borderId="0" xfId="0" applyNumberFormat="1" applyFont="1"/>
    <xf numFmtId="49" fontId="16" fillId="0" borderId="10" xfId="0" applyNumberFormat="1" applyFont="1" applyBorder="1"/>
    <xf numFmtId="168" fontId="16" fillId="0" borderId="6" xfId="0" applyNumberFormat="1" applyFont="1" applyBorder="1"/>
    <xf numFmtId="41" fontId="17" fillId="0" borderId="0" xfId="0" applyNumberFormat="1" applyFont="1"/>
    <xf numFmtId="168" fontId="6" fillId="0" borderId="0" xfId="0" applyNumberFormat="1" applyFont="1" applyAlignment="1">
      <alignment horizontal="right" vertical="top"/>
    </xf>
    <xf numFmtId="49" fontId="17" fillId="0" borderId="0" xfId="0" applyNumberFormat="1" applyFont="1"/>
    <xf numFmtId="49" fontId="16" fillId="0" borderId="0" xfId="0" applyNumberFormat="1" applyFont="1"/>
    <xf numFmtId="0" fontId="16" fillId="0" borderId="0" xfId="0" applyFont="1" applyAlignment="1">
      <alignment vertical="top"/>
    </xf>
    <xf numFmtId="167" fontId="16" fillId="0" borderId="0" xfId="0" applyNumberFormat="1" applyFont="1" applyAlignment="1">
      <alignment vertical="top"/>
    </xf>
    <xf numFmtId="168" fontId="17" fillId="0" borderId="0" xfId="0" applyNumberFormat="1" applyFont="1" applyAlignment="1">
      <alignment vertical="top"/>
    </xf>
    <xf numFmtId="168" fontId="25" fillId="0" borderId="0" xfId="0" applyNumberFormat="1" applyFont="1"/>
    <xf numFmtId="0" fontId="25" fillId="0" borderId="0" xfId="0" applyFont="1" applyAlignment="1">
      <alignment vertical="top"/>
    </xf>
    <xf numFmtId="0" fontId="16" fillId="0" borderId="0" xfId="0" applyFont="1"/>
    <xf numFmtId="0" fontId="16" fillId="0" borderId="0" xfId="0" applyFont="1" applyAlignment="1">
      <alignment horizontal="left" vertical="top"/>
    </xf>
    <xf numFmtId="0" fontId="16" fillId="4" borderId="0" xfId="0" applyFont="1" applyFill="1" applyAlignment="1">
      <alignment vertical="center"/>
    </xf>
    <xf numFmtId="168" fontId="16" fillId="4" borderId="0" xfId="0" applyNumberFormat="1" applyFont="1" applyFill="1" applyAlignment="1">
      <alignment horizontal="center" vertical="center"/>
    </xf>
    <xf numFmtId="168" fontId="17" fillId="2" borderId="0" xfId="0" applyNumberFormat="1" applyFont="1" applyFill="1"/>
    <xf numFmtId="0" fontId="16" fillId="4" borderId="0" xfId="0" applyFont="1" applyFill="1" applyAlignment="1">
      <alignment horizontal="center" vertical="center"/>
    </xf>
    <xf numFmtId="0" fontId="16" fillId="4" borderId="0" xfId="0" applyFont="1" applyFill="1" applyAlignment="1">
      <alignment horizontal="right" vertical="center"/>
    </xf>
    <xf numFmtId="168" fontId="17" fillId="2" borderId="0" xfId="0" applyNumberFormat="1" applyFont="1" applyFill="1" applyAlignment="1">
      <alignment horizontal="right"/>
    </xf>
    <xf numFmtId="168" fontId="16" fillId="4" borderId="0" xfId="0" quotePrefix="1" applyNumberFormat="1" applyFont="1" applyFill="1" applyAlignment="1">
      <alignment horizontal="right" vertical="center" shrinkToFit="1"/>
    </xf>
    <xf numFmtId="0" fontId="16" fillId="4" borderId="0" xfId="0" applyFont="1" applyFill="1" applyAlignment="1">
      <alignment vertical="top"/>
    </xf>
    <xf numFmtId="168" fontId="17" fillId="4" borderId="0" xfId="0" quotePrefix="1" applyNumberFormat="1" applyFont="1" applyFill="1" applyAlignment="1">
      <alignment horizontal="right" vertical="center" shrinkToFit="1"/>
    </xf>
    <xf numFmtId="0" fontId="17" fillId="4" borderId="0" xfId="0" applyFont="1" applyFill="1" applyAlignment="1">
      <alignment vertical="center"/>
    </xf>
    <xf numFmtId="167" fontId="17" fillId="4" borderId="0" xfId="0" quotePrefix="1" applyNumberFormat="1" applyFont="1" applyFill="1" applyAlignment="1">
      <alignment horizontal="right" vertical="center" shrinkToFit="1"/>
    </xf>
    <xf numFmtId="167" fontId="16" fillId="4" borderId="0" xfId="0" quotePrefix="1" applyNumberFormat="1" applyFont="1" applyFill="1" applyAlignment="1">
      <alignment horizontal="right" vertical="center"/>
    </xf>
    <xf numFmtId="0" fontId="16" fillId="0" borderId="0" xfId="0" applyFont="1" applyAlignment="1">
      <alignment vertical="center"/>
    </xf>
    <xf numFmtId="0" fontId="17" fillId="0" borderId="0" xfId="0" applyFont="1" applyAlignment="1">
      <alignment vertical="center"/>
    </xf>
    <xf numFmtId="168" fontId="16" fillId="0" borderId="0" xfId="0" quotePrefix="1" applyNumberFormat="1" applyFont="1" applyAlignment="1">
      <alignment vertical="center" shrinkToFit="1"/>
    </xf>
    <xf numFmtId="168" fontId="17" fillId="0" borderId="0" xfId="0" quotePrefix="1" applyNumberFormat="1" applyFont="1" applyAlignment="1">
      <alignment vertical="center" shrinkToFit="1"/>
    </xf>
    <xf numFmtId="168" fontId="17" fillId="0" borderId="0" xfId="0" quotePrefix="1" applyNumberFormat="1" applyFont="1" applyAlignment="1">
      <alignment horizontal="right" vertical="center" shrinkToFit="1"/>
    </xf>
    <xf numFmtId="0" fontId="16" fillId="4" borderId="0" xfId="0" quotePrefix="1" applyFont="1" applyFill="1" applyAlignment="1">
      <alignment vertical="top"/>
    </xf>
    <xf numFmtId="168" fontId="16" fillId="4" borderId="0" xfId="0" quotePrefix="1" applyNumberFormat="1" applyFont="1" applyFill="1" applyAlignment="1">
      <alignment horizontal="center" vertical="center" wrapText="1" shrinkToFit="1"/>
    </xf>
    <xf numFmtId="168" fontId="17" fillId="0" borderId="0" xfId="0" applyNumberFormat="1" applyFont="1" applyAlignment="1">
      <alignment vertical="center"/>
    </xf>
    <xf numFmtId="0" fontId="16" fillId="0" borderId="0" xfId="0" applyFont="1" applyAlignment="1">
      <alignment horizontal="left" vertical="center"/>
    </xf>
    <xf numFmtId="0" fontId="16" fillId="0" borderId="0" xfId="0" quotePrefix="1" applyFont="1" applyAlignment="1">
      <alignment vertical="center"/>
    </xf>
    <xf numFmtId="167" fontId="17" fillId="0" borderId="0" xfId="0" applyNumberFormat="1" applyFont="1" applyAlignment="1">
      <alignment horizontal="left" vertical="center" indent="1"/>
    </xf>
    <xf numFmtId="168" fontId="17" fillId="4" borderId="0" xfId="0" applyNumberFormat="1" applyFont="1" applyFill="1" applyAlignment="1">
      <alignment vertical="center"/>
    </xf>
    <xf numFmtId="167" fontId="16" fillId="0" borderId="0" xfId="0" applyNumberFormat="1" applyFont="1" applyAlignment="1">
      <alignment vertical="center"/>
    </xf>
    <xf numFmtId="167" fontId="16" fillId="4" borderId="5" xfId="0" applyNumberFormat="1" applyFont="1" applyFill="1" applyBorder="1" applyAlignment="1">
      <alignment horizontal="center" vertical="top" wrapText="1"/>
    </xf>
    <xf numFmtId="168" fontId="17" fillId="0" borderId="0" xfId="0" quotePrefix="1" applyNumberFormat="1" applyFont="1" applyAlignment="1">
      <alignment horizontal="right" vertical="top" shrinkToFit="1"/>
    </xf>
    <xf numFmtId="168" fontId="17" fillId="4" borderId="0" xfId="0" quotePrefix="1" applyNumberFormat="1" applyFont="1" applyFill="1" applyAlignment="1">
      <alignment horizontal="right" vertical="top" shrinkToFit="1"/>
    </xf>
    <xf numFmtId="168" fontId="17" fillId="4" borderId="0" xfId="0" applyNumberFormat="1" applyFont="1" applyFill="1" applyAlignment="1">
      <alignment vertical="top"/>
    </xf>
    <xf numFmtId="168" fontId="16" fillId="4" borderId="0" xfId="0" applyNumberFormat="1" applyFont="1" applyFill="1" applyAlignment="1">
      <alignment vertical="top"/>
    </xf>
    <xf numFmtId="167" fontId="16" fillId="0" borderId="5" xfId="0" applyNumberFormat="1" applyFont="1" applyBorder="1" applyAlignment="1">
      <alignment horizontal="center" vertical="top" wrapText="1"/>
    </xf>
    <xf numFmtId="0" fontId="16" fillId="0" borderId="0" xfId="0" applyFont="1" applyAlignment="1">
      <alignment horizontal="justify" vertical="center" wrapText="1"/>
    </xf>
    <xf numFmtId="0" fontId="16" fillId="0" borderId="5" xfId="0" applyFont="1" applyBorder="1" applyAlignment="1">
      <alignment vertical="center"/>
    </xf>
    <xf numFmtId="0" fontId="17" fillId="0" borderId="0" xfId="0" applyFont="1" applyAlignment="1">
      <alignment horizontal="right" vertical="center" wrapText="1"/>
    </xf>
    <xf numFmtId="167" fontId="16" fillId="0" borderId="0" xfId="0" quotePrefix="1" applyNumberFormat="1" applyFont="1" applyAlignment="1">
      <alignment horizontal="right" vertical="center" shrinkToFit="1"/>
    </xf>
    <xf numFmtId="0" fontId="27" fillId="0" borderId="0" xfId="0" applyFont="1" applyAlignment="1">
      <alignment horizontal="center" vertical="center"/>
    </xf>
    <xf numFmtId="168" fontId="16" fillId="0" borderId="0" xfId="0" quotePrefix="1" applyNumberFormat="1" applyFont="1" applyAlignment="1">
      <alignment horizontal="right" vertical="center" shrinkToFit="1"/>
    </xf>
    <xf numFmtId="168" fontId="17" fillId="0" borderId="0" xfId="0" applyNumberFormat="1" applyFont="1" applyAlignment="1">
      <alignment horizontal="right"/>
    </xf>
    <xf numFmtId="168" fontId="16" fillId="0" borderId="0" xfId="0" applyNumberFormat="1" applyFont="1" applyAlignment="1">
      <alignment vertical="center"/>
    </xf>
    <xf numFmtId="168" fontId="16" fillId="0" borderId="0" xfId="0" applyNumberFormat="1" applyFont="1" applyAlignment="1">
      <alignment horizontal="right" vertical="center"/>
    </xf>
    <xf numFmtId="0" fontId="16" fillId="0" borderId="0" xfId="0" applyFont="1" applyAlignment="1">
      <alignment horizontal="center" vertical="center"/>
    </xf>
    <xf numFmtId="0" fontId="17" fillId="0" borderId="0" xfId="0" applyFont="1" applyAlignment="1">
      <alignment horizontal="left" vertical="center"/>
    </xf>
    <xf numFmtId="0" fontId="17" fillId="0" borderId="0" xfId="0" applyFont="1" applyAlignment="1">
      <alignment horizontal="left" vertical="center" indent="1"/>
    </xf>
    <xf numFmtId="167" fontId="17" fillId="0" borderId="0" xfId="0" quotePrefix="1" applyNumberFormat="1" applyFont="1" applyAlignment="1">
      <alignment horizontal="right" vertical="center" shrinkToFit="1"/>
    </xf>
    <xf numFmtId="168" fontId="17" fillId="0" borderId="0" xfId="0" applyNumberFormat="1" applyFont="1" applyAlignment="1">
      <alignment horizontal="right" vertical="center"/>
    </xf>
    <xf numFmtId="168" fontId="16" fillId="0" borderId="6" xfId="0" quotePrefix="1" applyNumberFormat="1" applyFont="1" applyBorder="1" applyAlignment="1">
      <alignment horizontal="right" vertical="center" shrinkToFit="1"/>
    </xf>
    <xf numFmtId="168" fontId="16" fillId="0" borderId="5" xfId="0" quotePrefix="1" applyNumberFormat="1" applyFont="1" applyBorder="1" applyAlignment="1">
      <alignment horizontal="right" vertical="center" shrinkToFit="1"/>
    </xf>
    <xf numFmtId="0" fontId="16" fillId="0" borderId="0" xfId="0" applyFont="1" applyAlignment="1">
      <alignment horizontal="right" vertical="top"/>
    </xf>
    <xf numFmtId="168" fontId="16" fillId="0" borderId="0" xfId="0" quotePrefix="1" applyNumberFormat="1" applyFont="1" applyAlignment="1">
      <alignment horizontal="center" vertical="center" wrapText="1" shrinkToFit="1"/>
    </xf>
    <xf numFmtId="168" fontId="17" fillId="0" borderId="0" xfId="0" applyNumberFormat="1" applyFont="1" applyAlignment="1">
      <alignment horizontal="right" vertical="top"/>
    </xf>
    <xf numFmtId="168" fontId="16" fillId="0" borderId="0" xfId="0" applyNumberFormat="1" applyFont="1" applyAlignment="1">
      <alignment horizontal="right" vertical="top"/>
    </xf>
    <xf numFmtId="168" fontId="13" fillId="0" borderId="0" xfId="0" applyNumberFormat="1" applyFont="1" applyAlignment="1">
      <alignment horizontal="right" vertical="top"/>
    </xf>
    <xf numFmtId="168" fontId="16" fillId="0" borderId="5" xfId="0" quotePrefix="1" applyNumberFormat="1" applyFont="1" applyBorder="1" applyAlignment="1">
      <alignment horizontal="right" vertical="top" wrapText="1" shrinkToFit="1"/>
    </xf>
    <xf numFmtId="167" fontId="16" fillId="0" borderId="0" xfId="0" applyNumberFormat="1" applyFont="1" applyAlignment="1">
      <alignment horizontal="center" vertical="center"/>
    </xf>
    <xf numFmtId="167" fontId="16" fillId="0" borderId="0" xfId="0" applyNumberFormat="1" applyFont="1" applyAlignment="1">
      <alignment horizontal="right" vertical="center"/>
    </xf>
    <xf numFmtId="168" fontId="17" fillId="4" borderId="0" xfId="0" applyNumberFormat="1" applyFont="1" applyFill="1" applyAlignment="1">
      <alignment horizontal="right" vertical="center" shrinkToFit="1"/>
    </xf>
    <xf numFmtId="167" fontId="16" fillId="0" borderId="0" xfId="0" applyNumberFormat="1" applyFont="1" applyAlignment="1">
      <alignment horizontal="right"/>
    </xf>
    <xf numFmtId="167" fontId="17" fillId="4" borderId="0" xfId="0" quotePrefix="1" applyNumberFormat="1" applyFont="1" applyFill="1" applyAlignment="1">
      <alignment vertical="center" shrinkToFit="1"/>
    </xf>
    <xf numFmtId="168" fontId="17" fillId="4" borderId="0" xfId="0" quotePrefix="1" applyNumberFormat="1" applyFont="1" applyFill="1" applyAlignment="1">
      <alignment vertical="center" shrinkToFit="1"/>
    </xf>
    <xf numFmtId="0" fontId="27" fillId="0" borderId="0" xfId="0" applyFont="1" applyAlignment="1">
      <alignment vertical="center"/>
    </xf>
    <xf numFmtId="168" fontId="16" fillId="0" borderId="0" xfId="0" quotePrefix="1" applyNumberFormat="1" applyFont="1" applyAlignment="1">
      <alignment horizontal="center" vertical="top" wrapText="1" shrinkToFit="1"/>
    </xf>
    <xf numFmtId="167" fontId="16" fillId="0" borderId="0" xfId="0" quotePrefix="1" applyNumberFormat="1" applyFont="1" applyAlignment="1">
      <alignment horizontal="center" vertical="center" shrinkToFit="1"/>
    </xf>
    <xf numFmtId="0" fontId="30" fillId="0" borderId="0" xfId="0" quotePrefix="1" applyFont="1" applyAlignment="1">
      <alignment vertical="center"/>
    </xf>
    <xf numFmtId="0" fontId="17" fillId="0" borderId="0" xfId="0" applyFont="1" applyAlignment="1">
      <alignment horizontal="left" indent="1"/>
    </xf>
    <xf numFmtId="168" fontId="16" fillId="0" borderId="6" xfId="0" quotePrefix="1" applyNumberFormat="1" applyFont="1" applyBorder="1" applyAlignment="1">
      <alignment vertical="center" shrinkToFit="1"/>
    </xf>
    <xf numFmtId="167" fontId="17" fillId="0" borderId="0" xfId="0" quotePrefix="1" applyNumberFormat="1" applyFont="1" applyAlignment="1">
      <alignment vertical="center" shrinkToFit="1"/>
    </xf>
    <xf numFmtId="168" fontId="17" fillId="0" borderId="0" xfId="0" quotePrefix="1" applyNumberFormat="1" applyFont="1"/>
    <xf numFmtId="168" fontId="17" fillId="2" borderId="0" xfId="0" applyNumberFormat="1" applyFont="1" applyFill="1" applyAlignment="1">
      <alignment vertical="center"/>
    </xf>
    <xf numFmtId="172" fontId="17" fillId="4" borderId="0" xfId="0" applyNumberFormat="1" applyFont="1" applyFill="1" applyAlignment="1">
      <alignment horizontal="right"/>
    </xf>
    <xf numFmtId="0" fontId="17" fillId="0" borderId="0" xfId="0" applyFont="1" applyAlignment="1">
      <alignment vertical="top"/>
    </xf>
    <xf numFmtId="168" fontId="16" fillId="0" borderId="3" xfId="0" applyNumberFormat="1" applyFont="1" applyBorder="1" applyAlignment="1">
      <alignment horizontal="right"/>
    </xf>
    <xf numFmtId="168" fontId="13" fillId="0" borderId="3" xfId="0" applyNumberFormat="1" applyFont="1" applyBorder="1" applyAlignment="1">
      <alignment horizontal="right"/>
    </xf>
    <xf numFmtId="168" fontId="16" fillId="0" borderId="0" xfId="0" applyNumberFormat="1" applyFont="1" applyAlignment="1">
      <alignment horizontal="left" vertical="top"/>
    </xf>
    <xf numFmtId="168" fontId="16" fillId="0" borderId="0" xfId="0" quotePrefix="1" applyNumberFormat="1" applyFont="1" applyAlignment="1">
      <alignment horizontal="right" vertical="center" wrapText="1" shrinkToFit="1"/>
    </xf>
    <xf numFmtId="168" fontId="17" fillId="0" borderId="0" xfId="0" applyNumberFormat="1" applyFont="1" applyAlignment="1">
      <alignment horizontal="right" vertical="top" shrinkToFit="1"/>
    </xf>
    <xf numFmtId="175" fontId="17" fillId="0" borderId="0" xfId="0" applyNumberFormat="1" applyFont="1"/>
    <xf numFmtId="0" fontId="17" fillId="0" borderId="0" xfId="0" applyFont="1" applyAlignment="1">
      <alignment horizontal="left" vertical="top"/>
    </xf>
    <xf numFmtId="168" fontId="16" fillId="0" borderId="0" xfId="0" applyNumberFormat="1" applyFont="1" applyAlignment="1">
      <alignment horizontal="left" vertical="center"/>
    </xf>
    <xf numFmtId="168" fontId="16" fillId="0" borderId="0" xfId="0" quotePrefix="1" applyNumberFormat="1" applyFont="1" applyAlignment="1">
      <alignment horizontal="right" vertical="top" shrinkToFit="1"/>
    </xf>
    <xf numFmtId="167" fontId="16" fillId="0" borderId="0" xfId="0" quotePrefix="1" applyNumberFormat="1" applyFont="1" applyAlignment="1">
      <alignment horizontal="right" vertical="top" shrinkToFit="1"/>
    </xf>
    <xf numFmtId="167" fontId="17" fillId="0" borderId="0" xfId="0" quotePrefix="1" applyNumberFormat="1" applyFont="1" applyAlignment="1">
      <alignment horizontal="right" vertical="top" shrinkToFit="1"/>
    </xf>
    <xf numFmtId="0" fontId="17" fillId="0" borderId="0" xfId="0" applyFont="1" applyAlignment="1">
      <alignment horizontal="right"/>
    </xf>
    <xf numFmtId="172" fontId="16" fillId="0" borderId="0" xfId="0" applyNumberFormat="1" applyFont="1" applyAlignment="1">
      <alignment horizontal="right" vertical="top"/>
    </xf>
    <xf numFmtId="172" fontId="17" fillId="0" borderId="0" xfId="0" applyNumberFormat="1" applyFont="1" applyAlignment="1">
      <alignment horizontal="right" vertical="top"/>
    </xf>
    <xf numFmtId="167" fontId="17" fillId="0" borderId="0" xfId="0" applyNumberFormat="1" applyFont="1" applyAlignment="1">
      <alignment horizontal="right" vertical="center"/>
    </xf>
    <xf numFmtId="167" fontId="17" fillId="0" borderId="0" xfId="0" applyNumberFormat="1" applyFont="1" applyAlignment="1">
      <alignment vertical="center"/>
    </xf>
    <xf numFmtId="167" fontId="16" fillId="0" borderId="0" xfId="0" quotePrefix="1" applyNumberFormat="1" applyFont="1" applyAlignment="1">
      <alignment horizontal="center" vertical="center" wrapText="1" shrinkToFit="1"/>
    </xf>
    <xf numFmtId="167" fontId="16" fillId="0" borderId="0" xfId="0" quotePrefix="1" applyNumberFormat="1" applyFont="1" applyAlignment="1">
      <alignment horizontal="right" vertical="center" wrapText="1" shrinkToFit="1"/>
    </xf>
    <xf numFmtId="168" fontId="17" fillId="0" borderId="0" xfId="0" applyNumberFormat="1" applyFont="1" applyAlignment="1">
      <alignment horizontal="center" vertical="center"/>
    </xf>
    <xf numFmtId="168" fontId="27" fillId="0" borderId="0" xfId="0" applyNumberFormat="1" applyFont="1" applyAlignment="1">
      <alignment vertical="center"/>
    </xf>
    <xf numFmtId="9" fontId="17" fillId="0" borderId="0" xfId="0" applyNumberFormat="1" applyFont="1"/>
    <xf numFmtId="9" fontId="16" fillId="0" borderId="0" xfId="0" applyNumberFormat="1" applyFont="1" applyAlignment="1">
      <alignment vertical="center"/>
    </xf>
    <xf numFmtId="9" fontId="16" fillId="0" borderId="0" xfId="0" applyNumberFormat="1" applyFont="1" applyAlignment="1">
      <alignment horizontal="center" vertical="center"/>
    </xf>
    <xf numFmtId="168" fontId="16" fillId="0" borderId="0" xfId="0" applyNumberFormat="1" applyFont="1" applyAlignment="1">
      <alignment horizontal="center" vertical="center"/>
    </xf>
    <xf numFmtId="168" fontId="16" fillId="0" borderId="5" xfId="0" applyNumberFormat="1" applyFont="1" applyBorder="1" applyAlignment="1">
      <alignment horizontal="center" vertical="center" wrapText="1"/>
    </xf>
    <xf numFmtId="168" fontId="16" fillId="0" borderId="5" xfId="0" quotePrefix="1" applyNumberFormat="1" applyFont="1" applyBorder="1" applyAlignment="1">
      <alignment horizontal="center" vertical="center" wrapText="1"/>
    </xf>
    <xf numFmtId="9" fontId="17" fillId="0" borderId="0" xfId="0" applyNumberFormat="1" applyFont="1" applyAlignment="1">
      <alignment vertical="center"/>
    </xf>
    <xf numFmtId="168" fontId="16" fillId="0" borderId="0" xfId="0" applyNumberFormat="1" applyFont="1" applyAlignment="1">
      <alignment horizontal="center" vertical="center" wrapText="1"/>
    </xf>
    <xf numFmtId="168" fontId="16" fillId="0" borderId="0" xfId="0" quotePrefix="1" applyNumberFormat="1" applyFont="1" applyAlignment="1">
      <alignment horizontal="center" vertical="center" wrapText="1"/>
    </xf>
    <xf numFmtId="0" fontId="17" fillId="0" borderId="0" xfId="0" applyFont="1" applyAlignment="1">
      <alignment wrapText="1"/>
    </xf>
    <xf numFmtId="168" fontId="16" fillId="0" borderId="0" xfId="0" quotePrefix="1" applyNumberFormat="1" applyFont="1" applyAlignment="1">
      <alignment horizontal="right" shrinkToFit="1"/>
    </xf>
    <xf numFmtId="9" fontId="17" fillId="0" borderId="0" xfId="0" applyNumberFormat="1" applyFont="1" applyAlignment="1">
      <alignment wrapText="1"/>
    </xf>
    <xf numFmtId="9" fontId="16" fillId="0" borderId="0" xfId="0" applyNumberFormat="1" applyFont="1"/>
    <xf numFmtId="168" fontId="16" fillId="0" borderId="6" xfId="0" quotePrefix="1" applyNumberFormat="1" applyFont="1" applyBorder="1" applyAlignment="1">
      <alignment horizontal="center" vertical="center" wrapText="1" shrinkToFit="1"/>
    </xf>
    <xf numFmtId="168" fontId="16" fillId="0" borderId="6" xfId="0" applyNumberFormat="1" applyFont="1" applyBorder="1" applyAlignment="1">
      <alignment horizontal="center" vertical="center" wrapText="1"/>
    </xf>
    <xf numFmtId="168" fontId="17" fillId="0" borderId="0" xfId="0" quotePrefix="1" applyNumberFormat="1" applyFont="1" applyAlignment="1">
      <alignment horizontal="right" vertical="center" wrapText="1" shrinkToFit="1"/>
    </xf>
    <xf numFmtId="9" fontId="17" fillId="0" borderId="0" xfId="0" applyNumberFormat="1" applyFont="1" applyAlignment="1">
      <alignment horizontal="center" vertical="center" wrapText="1"/>
    </xf>
    <xf numFmtId="168" fontId="16" fillId="0" borderId="3" xfId="0" applyNumberFormat="1" applyFont="1" applyBorder="1" applyAlignment="1">
      <alignment horizontal="center" vertical="center"/>
    </xf>
    <xf numFmtId="9" fontId="16" fillId="0" borderId="3" xfId="0" applyNumberFormat="1" applyFont="1" applyBorder="1" applyAlignment="1">
      <alignment horizontal="center" vertical="center" wrapText="1"/>
    </xf>
    <xf numFmtId="168" fontId="16" fillId="0" borderId="3" xfId="0" applyNumberFormat="1" applyFont="1" applyBorder="1" applyAlignment="1">
      <alignment horizontal="right" vertical="center"/>
    </xf>
    <xf numFmtId="9" fontId="16" fillId="0" borderId="0" xfId="0" applyNumberFormat="1" applyFont="1" applyAlignment="1">
      <alignment horizontal="center" vertical="center" wrapText="1"/>
    </xf>
    <xf numFmtId="168" fontId="16" fillId="0" borderId="0" xfId="0" applyNumberFormat="1" applyFont="1" applyAlignment="1">
      <alignment horizontal="right" vertical="center" wrapText="1"/>
    </xf>
    <xf numFmtId="168" fontId="16" fillId="0" borderId="0" xfId="0" applyNumberFormat="1" applyFont="1" applyAlignment="1">
      <alignment vertical="top"/>
    </xf>
    <xf numFmtId="168" fontId="16" fillId="0" borderId="0" xfId="0" applyNumberFormat="1" applyFont="1" applyAlignment="1">
      <alignment horizontal="right"/>
    </xf>
    <xf numFmtId="167" fontId="17" fillId="0" borderId="0" xfId="0" applyNumberFormat="1" applyFont="1" applyAlignment="1">
      <alignment horizontal="center"/>
    </xf>
    <xf numFmtId="168" fontId="17" fillId="0" borderId="5" xfId="0" quotePrefix="1" applyNumberFormat="1" applyFont="1" applyBorder="1" applyAlignment="1">
      <alignment horizontal="right" vertical="center" shrinkToFit="1"/>
    </xf>
    <xf numFmtId="167" fontId="17" fillId="0" borderId="0" xfId="0" applyNumberFormat="1" applyFont="1" applyAlignment="1">
      <alignment horizontal="right"/>
    </xf>
    <xf numFmtId="168" fontId="16" fillId="0" borderId="0" xfId="0" applyNumberFormat="1" applyFont="1" applyAlignment="1">
      <alignment horizontal="center" vertical="top"/>
    </xf>
    <xf numFmtId="167" fontId="16" fillId="0" borderId="0" xfId="0" quotePrefix="1" applyNumberFormat="1" applyFont="1" applyAlignment="1">
      <alignment horizontal="right" vertical="top" wrapText="1" shrinkToFit="1"/>
    </xf>
    <xf numFmtId="167" fontId="17" fillId="0" borderId="0" xfId="0" quotePrefix="1" applyNumberFormat="1" applyFont="1" applyAlignment="1">
      <alignment vertical="center"/>
    </xf>
    <xf numFmtId="9" fontId="17" fillId="0" borderId="0" xfId="0" applyNumberFormat="1" applyFont="1" applyAlignment="1">
      <alignment horizontal="justify" vertical="center" wrapText="1"/>
    </xf>
    <xf numFmtId="167" fontId="17" fillId="0" borderId="0" xfId="0" applyNumberFormat="1" applyFont="1" applyAlignment="1">
      <alignment horizontal="justify" vertical="center" wrapText="1"/>
    </xf>
    <xf numFmtId="167" fontId="17" fillId="0" borderId="0" xfId="0" applyNumberFormat="1" applyFont="1" applyAlignment="1">
      <alignment horizontal="left" vertical="center" wrapText="1"/>
    </xf>
    <xf numFmtId="0" fontId="16" fillId="0" borderId="0" xfId="0" applyFont="1" applyAlignment="1">
      <alignment horizontal="left" vertical="center" wrapText="1"/>
    </xf>
    <xf numFmtId="168" fontId="16" fillId="0" borderId="3" xfId="0" quotePrefix="1" applyNumberFormat="1" applyFont="1" applyBorder="1" applyAlignment="1">
      <alignment horizontal="right" vertical="center" wrapText="1" shrinkToFit="1"/>
    </xf>
    <xf numFmtId="168" fontId="16" fillId="2" borderId="0" xfId="0" applyNumberFormat="1" applyFont="1" applyFill="1"/>
    <xf numFmtId="168" fontId="16" fillId="2" borderId="0" xfId="0" applyNumberFormat="1" applyFont="1" applyFill="1" applyAlignment="1">
      <alignment vertical="center"/>
    </xf>
    <xf numFmtId="168" fontId="16" fillId="0" borderId="0" xfId="0" quotePrefix="1" applyNumberFormat="1" applyFont="1" applyAlignment="1">
      <alignment horizontal="center" vertical="center" shrinkToFit="1"/>
    </xf>
    <xf numFmtId="0" fontId="16" fillId="2" borderId="0" xfId="0" applyFont="1" applyFill="1" applyAlignment="1">
      <alignment horizontal="left"/>
    </xf>
    <xf numFmtId="0" fontId="17" fillId="2" borderId="0" xfId="0" applyFont="1" applyFill="1" applyAlignment="1">
      <alignment vertical="top"/>
    </xf>
    <xf numFmtId="168" fontId="16" fillId="0" borderId="0" xfId="0" quotePrefix="1" applyNumberFormat="1" applyFont="1" applyAlignment="1">
      <alignment vertical="center"/>
    </xf>
    <xf numFmtId="168" fontId="17" fillId="0" borderId="0" xfId="0" quotePrefix="1" applyNumberFormat="1" applyFont="1" applyAlignment="1">
      <alignment vertical="top" shrinkToFit="1"/>
    </xf>
    <xf numFmtId="9" fontId="17" fillId="0" borderId="0" xfId="0" applyNumberFormat="1" applyFont="1" applyAlignment="1">
      <alignment vertical="top"/>
    </xf>
    <xf numFmtId="168" fontId="16" fillId="0" borderId="3" xfId="0" applyNumberFormat="1" applyFont="1" applyBorder="1" applyAlignment="1">
      <alignment vertical="center"/>
    </xf>
    <xf numFmtId="168" fontId="16" fillId="0" borderId="6" xfId="0" applyNumberFormat="1" applyFont="1" applyBorder="1" applyAlignment="1">
      <alignment horizontal="center" vertical="center"/>
    </xf>
    <xf numFmtId="168" fontId="17" fillId="0" borderId="0" xfId="0" applyNumberFormat="1" applyFont="1" applyAlignment="1">
      <alignment horizontal="left" vertical="top"/>
    </xf>
    <xf numFmtId="168" fontId="17" fillId="0" borderId="0" xfId="0" applyNumberFormat="1" applyFont="1" applyAlignment="1">
      <alignment vertical="top" wrapText="1"/>
    </xf>
    <xf numFmtId="168" fontId="16" fillId="0" borderId="0" xfId="0" quotePrefix="1" applyNumberFormat="1" applyFont="1" applyAlignment="1">
      <alignment vertical="top" shrinkToFit="1"/>
    </xf>
    <xf numFmtId="168" fontId="16" fillId="0" borderId="3" xfId="0" quotePrefix="1" applyNumberFormat="1" applyFont="1" applyBorder="1" applyAlignment="1">
      <alignment vertical="top" shrinkToFit="1"/>
    </xf>
    <xf numFmtId="168" fontId="16" fillId="0" borderId="3" xfId="0" quotePrefix="1" applyNumberFormat="1" applyFont="1" applyBorder="1" applyAlignment="1">
      <alignment horizontal="center" vertical="top" shrinkToFit="1"/>
    </xf>
    <xf numFmtId="171" fontId="17" fillId="0" borderId="0" xfId="0" applyNumberFormat="1" applyFont="1"/>
    <xf numFmtId="168" fontId="16" fillId="0" borderId="0" xfId="0" quotePrefix="1" applyNumberFormat="1" applyFont="1" applyAlignment="1">
      <alignment horizontal="center" vertical="top" shrinkToFit="1"/>
    </xf>
    <xf numFmtId="168" fontId="17" fillId="0" borderId="0" xfId="0" quotePrefix="1" applyNumberFormat="1" applyFont="1" applyAlignment="1">
      <alignment horizontal="center" vertical="top" shrinkToFit="1"/>
    </xf>
    <xf numFmtId="0" fontId="16" fillId="0" borderId="0" xfId="0" applyFont="1" applyAlignment="1">
      <alignment horizontal="justify" vertical="top"/>
    </xf>
    <xf numFmtId="167" fontId="17" fillId="0" borderId="0" xfId="0" applyNumberFormat="1" applyFont="1" applyAlignment="1">
      <alignment vertical="top"/>
    </xf>
    <xf numFmtId="167" fontId="17" fillId="0" borderId="0" xfId="0" applyNumberFormat="1" applyFont="1" applyAlignment="1">
      <alignment horizontal="center" vertical="top"/>
    </xf>
    <xf numFmtId="168" fontId="17" fillId="0" borderId="0" xfId="0" applyNumberFormat="1" applyFont="1" applyAlignment="1">
      <alignment horizontal="center" vertical="top"/>
    </xf>
    <xf numFmtId="168" fontId="17" fillId="0" borderId="0" xfId="0" quotePrefix="1" applyNumberFormat="1" applyFont="1" applyAlignment="1">
      <alignment horizontal="left" vertical="top" wrapText="1" indent="1"/>
    </xf>
    <xf numFmtId="170" fontId="17" fillId="0" borderId="0" xfId="0" quotePrefix="1" applyNumberFormat="1" applyFont="1"/>
    <xf numFmtId="168" fontId="16" fillId="0" borderId="3" xfId="0" applyNumberFormat="1" applyFont="1" applyBorder="1" applyAlignment="1">
      <alignment horizontal="center" vertical="top"/>
    </xf>
    <xf numFmtId="168" fontId="16" fillId="0" borderId="3" xfId="0" applyNumberFormat="1" applyFont="1" applyBorder="1" applyAlignment="1">
      <alignment vertical="top"/>
    </xf>
    <xf numFmtId="168" fontId="17" fillId="0" borderId="0" xfId="0" applyNumberFormat="1" applyFont="1" applyAlignment="1">
      <alignment wrapText="1"/>
    </xf>
    <xf numFmtId="168" fontId="17" fillId="0" borderId="0" xfId="0" applyNumberFormat="1" applyFont="1" applyAlignment="1">
      <alignment vertical="center" wrapText="1"/>
    </xf>
    <xf numFmtId="0" fontId="28" fillId="0" borderId="0" xfId="0" applyFont="1"/>
    <xf numFmtId="167" fontId="16" fillId="0" borderId="0" xfId="0" applyNumberFormat="1" applyFont="1" applyAlignment="1">
      <alignment horizontal="center" vertical="top" wrapText="1"/>
    </xf>
    <xf numFmtId="0" fontId="16" fillId="0" borderId="0" xfId="0" applyFont="1" applyAlignment="1">
      <alignment horizontal="left" vertical="center" indent="1"/>
    </xf>
    <xf numFmtId="168" fontId="16" fillId="0" borderId="4" xfId="0" applyNumberFormat="1" applyFont="1" applyBorder="1" applyAlignment="1">
      <alignment horizontal="right" vertical="center"/>
    </xf>
    <xf numFmtId="0" fontId="17" fillId="4" borderId="0" xfId="0" applyFont="1" applyFill="1" applyAlignment="1">
      <alignment horizontal="left" vertical="center" indent="1"/>
    </xf>
    <xf numFmtId="168" fontId="16" fillId="0" borderId="4" xfId="0" applyNumberFormat="1" applyFont="1" applyBorder="1" applyAlignment="1">
      <alignment vertical="center"/>
    </xf>
    <xf numFmtId="0" fontId="33" fillId="0" borderId="0" xfId="0" applyFont="1" applyAlignment="1">
      <alignment vertical="top"/>
    </xf>
    <xf numFmtId="0" fontId="26" fillId="0" borderId="0" xfId="0" applyFont="1" applyAlignment="1">
      <alignment vertical="top"/>
    </xf>
    <xf numFmtId="0" fontId="16" fillId="0" borderId="0" xfId="0" applyFont="1" applyAlignment="1">
      <alignment horizontal="center" vertical="top"/>
    </xf>
    <xf numFmtId="168" fontId="33" fillId="0" borderId="0" xfId="0" applyNumberFormat="1" applyFont="1" applyAlignment="1">
      <alignment vertical="top"/>
    </xf>
    <xf numFmtId="0" fontId="33" fillId="0" borderId="0" xfId="0" applyFont="1" applyAlignment="1">
      <alignment horizontal="center" vertical="top"/>
    </xf>
    <xf numFmtId="0" fontId="34" fillId="0" borderId="0" xfId="0" applyFont="1" applyAlignment="1">
      <alignment horizontal="center" vertical="top"/>
    </xf>
    <xf numFmtId="0" fontId="16" fillId="0" borderId="5" xfId="0" applyFont="1" applyBorder="1" applyAlignment="1">
      <alignment vertical="top"/>
    </xf>
    <xf numFmtId="0" fontId="17" fillId="0" borderId="5" xfId="0" applyFont="1" applyBorder="1" applyAlignment="1">
      <alignment horizontal="center" vertical="top"/>
    </xf>
    <xf numFmtId="0" fontId="34" fillId="0" borderId="5" xfId="0" applyFont="1" applyBorder="1" applyAlignment="1">
      <alignment horizontal="center" vertical="top"/>
    </xf>
    <xf numFmtId="0" fontId="34" fillId="0" borderId="0" xfId="0" applyFont="1" applyAlignment="1">
      <alignment vertical="top"/>
    </xf>
    <xf numFmtId="0" fontId="17" fillId="0" borderId="0" xfId="0" applyFont="1" applyAlignment="1">
      <alignment horizontal="center" vertical="top"/>
    </xf>
    <xf numFmtId="0" fontId="20" fillId="0" borderId="0" xfId="0" applyFont="1" applyAlignment="1">
      <alignment horizontal="left" vertical="top"/>
    </xf>
    <xf numFmtId="0" fontId="17" fillId="0" borderId="0" xfId="0" quotePrefix="1" applyFont="1" applyAlignment="1">
      <alignment horizontal="left" vertical="top" wrapText="1"/>
    </xf>
    <xf numFmtId="0" fontId="20" fillId="0" borderId="0" xfId="0" applyFont="1" applyAlignment="1">
      <alignment vertical="top"/>
    </xf>
    <xf numFmtId="0" fontId="16" fillId="0" borderId="0" xfId="0" quotePrefix="1" applyFont="1" applyAlignment="1">
      <alignment horizontal="left" vertical="top"/>
    </xf>
    <xf numFmtId="168" fontId="36" fillId="0" borderId="0" xfId="0" applyNumberFormat="1" applyFont="1" applyAlignment="1">
      <alignment vertical="top"/>
    </xf>
    <xf numFmtId="168" fontId="32" fillId="0" borderId="0" xfId="0" applyNumberFormat="1" applyFont="1" applyAlignment="1">
      <alignment vertical="top"/>
    </xf>
    <xf numFmtId="0" fontId="32" fillId="0" borderId="0" xfId="0" applyFont="1" applyAlignment="1">
      <alignment vertical="top"/>
    </xf>
    <xf numFmtId="0" fontId="37" fillId="0" borderId="0" xfId="0" applyFont="1" applyAlignment="1">
      <alignment horizontal="right" vertical="top"/>
    </xf>
    <xf numFmtId="0" fontId="37" fillId="0" borderId="0" xfId="0" applyFont="1" applyAlignment="1">
      <alignment horizontal="left" vertical="top"/>
    </xf>
    <xf numFmtId="0" fontId="37" fillId="0" borderId="0" xfId="0" applyFont="1" applyAlignment="1">
      <alignment horizontal="justify" vertical="top"/>
    </xf>
    <xf numFmtId="0" fontId="13" fillId="0" borderId="0" xfId="0" quotePrefix="1" applyFont="1" applyAlignment="1">
      <alignment horizontal="left" vertical="top"/>
    </xf>
    <xf numFmtId="0" fontId="16" fillId="0" borderId="5" xfId="0" applyFont="1" applyBorder="1" applyAlignment="1">
      <alignment horizontal="left" vertical="top"/>
    </xf>
    <xf numFmtId="0" fontId="16" fillId="0" borderId="5" xfId="0" applyFont="1" applyBorder="1" applyAlignment="1">
      <alignment horizontal="center" vertical="top" wrapText="1"/>
    </xf>
    <xf numFmtId="0" fontId="16" fillId="0" borderId="0" xfId="0" applyFont="1" applyAlignment="1">
      <alignment horizontal="right" vertical="top" wrapText="1"/>
    </xf>
    <xf numFmtId="0" fontId="13" fillId="0" borderId="0" xfId="0" applyFont="1" applyAlignment="1">
      <alignment horizontal="left" vertical="top" wrapText="1"/>
    </xf>
    <xf numFmtId="0" fontId="16" fillId="0" borderId="0" xfId="0" applyFont="1" applyAlignment="1">
      <alignment horizontal="center" vertical="top" wrapText="1"/>
    </xf>
    <xf numFmtId="0" fontId="16" fillId="0" borderId="0" xfId="0" quotePrefix="1" applyFont="1" applyAlignment="1">
      <alignment horizontal="center" vertical="top"/>
    </xf>
    <xf numFmtId="2" fontId="16" fillId="0" borderId="0" xfId="0" quotePrefix="1" applyNumberFormat="1" applyFont="1" applyAlignment="1">
      <alignment horizontal="center" vertical="top"/>
    </xf>
    <xf numFmtId="0" fontId="16" fillId="2" borderId="0" xfId="0" applyFont="1" applyFill="1" applyAlignment="1">
      <alignment horizontal="center" vertical="top"/>
    </xf>
    <xf numFmtId="0" fontId="16" fillId="2" borderId="0" xfId="0" applyFont="1" applyFill="1" applyAlignment="1">
      <alignment vertical="top"/>
    </xf>
    <xf numFmtId="0" fontId="27" fillId="0" borderId="0" xfId="0" applyFont="1"/>
    <xf numFmtId="168" fontId="16" fillId="0" borderId="3" xfId="0" applyNumberFormat="1" applyFont="1" applyBorder="1"/>
    <xf numFmtId="0" fontId="13" fillId="0" borderId="0" xfId="0" applyFont="1" applyAlignment="1">
      <alignment horizontal="left" vertical="top"/>
    </xf>
    <xf numFmtId="0" fontId="16" fillId="0" borderId="0" xfId="0" applyFont="1" applyAlignment="1">
      <alignment horizontal="right"/>
    </xf>
    <xf numFmtId="0" fontId="17" fillId="0" borderId="0" xfId="0" applyFont="1" applyAlignment="1">
      <alignment horizontal="right" indent="2"/>
    </xf>
    <xf numFmtId="0" fontId="17" fillId="0" borderId="0" xfId="0" applyFont="1" applyAlignment="1">
      <alignment horizontal="right" vertical="center"/>
    </xf>
    <xf numFmtId="168" fontId="20" fillId="0" borderId="0" xfId="0" applyNumberFormat="1" applyFont="1" applyAlignment="1">
      <alignment horizontal="center" vertical="top" shrinkToFit="1"/>
    </xf>
    <xf numFmtId="168" fontId="16" fillId="0" borderId="5" xfId="0" quotePrefix="1" applyNumberFormat="1" applyFont="1" applyBorder="1" applyAlignment="1">
      <alignment horizontal="center" vertical="top" shrinkToFit="1"/>
    </xf>
    <xf numFmtId="168" fontId="17" fillId="0" borderId="0" xfId="0" applyNumberFormat="1" applyFont="1" applyAlignment="1">
      <alignment horizontal="center" vertical="top" shrinkToFit="1"/>
    </xf>
    <xf numFmtId="168" fontId="16" fillId="0" borderId="0" xfId="0" applyNumberFormat="1" applyFont="1" applyAlignment="1">
      <alignment horizontal="center" vertical="top" shrinkToFit="1"/>
    </xf>
    <xf numFmtId="0" fontId="17" fillId="0" borderId="0" xfId="0" applyFont="1" applyAlignment="1">
      <alignment horizontal="center" vertical="center"/>
    </xf>
    <xf numFmtId="0" fontId="17" fillId="0" borderId="0" xfId="0" quotePrefix="1" applyFont="1" applyAlignment="1">
      <alignment horizontal="center" vertical="center"/>
    </xf>
    <xf numFmtId="168" fontId="16" fillId="0" borderId="4" xfId="0" applyNumberFormat="1" applyFont="1" applyBorder="1" applyAlignment="1">
      <alignment horizontal="center" vertical="top" shrinkToFit="1"/>
    </xf>
    <xf numFmtId="168" fontId="16" fillId="0" borderId="4" xfId="0" applyNumberFormat="1" applyFont="1" applyBorder="1" applyAlignment="1">
      <alignment horizontal="center" vertical="top"/>
    </xf>
    <xf numFmtId="0" fontId="17" fillId="0" borderId="0" xfId="0" quotePrefix="1" applyFont="1" applyAlignment="1">
      <alignment horizontal="left" vertical="top"/>
    </xf>
    <xf numFmtId="168" fontId="16" fillId="0" borderId="0" xfId="0" applyNumberFormat="1" applyFont="1" applyAlignment="1">
      <alignment vertical="top" wrapText="1"/>
    </xf>
    <xf numFmtId="168" fontId="16" fillId="0" borderId="4" xfId="0" applyNumberFormat="1" applyFont="1" applyBorder="1" applyAlignment="1">
      <alignment horizontal="right" vertical="top"/>
    </xf>
    <xf numFmtId="168" fontId="13" fillId="0" borderId="0" xfId="0" applyNumberFormat="1" applyFont="1" applyAlignment="1">
      <alignment vertical="top"/>
    </xf>
    <xf numFmtId="168" fontId="16" fillId="0" borderId="0" xfId="0" quotePrefix="1" applyNumberFormat="1" applyFont="1" applyAlignment="1">
      <alignment horizontal="left" vertical="top"/>
    </xf>
    <xf numFmtId="168" fontId="38" fillId="0" borderId="0" xfId="0" applyNumberFormat="1" applyFont="1" applyAlignment="1">
      <alignment horizontal="center" vertical="top"/>
    </xf>
    <xf numFmtId="168" fontId="33" fillId="0" borderId="0" xfId="0" applyNumberFormat="1" applyFont="1" applyAlignment="1">
      <alignment horizontal="right" vertical="top"/>
    </xf>
    <xf numFmtId="168" fontId="13" fillId="0" borderId="0" xfId="0" applyNumberFormat="1" applyFont="1" applyAlignment="1">
      <alignment horizontal="left" vertical="top"/>
    </xf>
    <xf numFmtId="168" fontId="13" fillId="0" borderId="0" xfId="0" applyNumberFormat="1" applyFont="1"/>
    <xf numFmtId="0" fontId="16" fillId="0" borderId="0" xfId="0" applyFont="1" applyAlignment="1">
      <alignment horizontal="right" indent="1"/>
    </xf>
    <xf numFmtId="0" fontId="17" fillId="0" borderId="0" xfId="0" applyFont="1" applyAlignment="1">
      <alignment horizontal="right" indent="1"/>
    </xf>
    <xf numFmtId="0" fontId="17" fillId="0" borderId="0" xfId="0" applyFont="1" applyAlignment="1">
      <alignment horizontal="right" vertical="center" indent="1"/>
    </xf>
    <xf numFmtId="1" fontId="16" fillId="0" borderId="0" xfId="0" applyNumberFormat="1" applyFont="1" applyAlignment="1">
      <alignment horizontal="center" vertical="top"/>
    </xf>
    <xf numFmtId="1" fontId="17" fillId="0" borderId="0" xfId="0" applyNumberFormat="1" applyFont="1" applyAlignment="1">
      <alignment horizontal="center" vertical="top"/>
    </xf>
    <xf numFmtId="1" fontId="17" fillId="4" borderId="0" xfId="0" applyNumberFormat="1" applyFont="1" applyFill="1" applyAlignment="1">
      <alignment horizontal="center" vertical="top"/>
    </xf>
    <xf numFmtId="168" fontId="16" fillId="0" borderId="6" xfId="0" applyNumberFormat="1" applyFont="1" applyBorder="1" applyAlignment="1">
      <alignment horizontal="right" vertical="top"/>
    </xf>
    <xf numFmtId="168" fontId="17" fillId="0" borderId="5" xfId="0" applyNumberFormat="1" applyFont="1" applyBorder="1" applyAlignment="1">
      <alignment horizontal="right" vertical="top"/>
    </xf>
    <xf numFmtId="168" fontId="17" fillId="0" borderId="4" xfId="0" applyNumberFormat="1" applyFont="1" applyBorder="1" applyAlignment="1">
      <alignment horizontal="right" vertical="top"/>
    </xf>
    <xf numFmtId="168" fontId="16" fillId="0" borderId="3" xfId="0" applyNumberFormat="1" applyFont="1" applyBorder="1" applyAlignment="1">
      <alignment horizontal="right" vertical="top"/>
    </xf>
    <xf numFmtId="167" fontId="16" fillId="0" borderId="0" xfId="0" applyNumberFormat="1" applyFont="1" applyAlignment="1">
      <alignment horizontal="right" vertical="top"/>
    </xf>
    <xf numFmtId="167" fontId="17" fillId="0" borderId="0" xfId="0" applyNumberFormat="1" applyFont="1" applyAlignment="1">
      <alignment horizontal="right" vertical="top"/>
    </xf>
    <xf numFmtId="1" fontId="17" fillId="0" borderId="0" xfId="0" quotePrefix="1" applyNumberFormat="1" applyFont="1" applyAlignment="1">
      <alignment horizontal="center" vertical="top"/>
    </xf>
    <xf numFmtId="1" fontId="17" fillId="0" borderId="0" xfId="0" applyNumberFormat="1" applyFont="1" applyAlignment="1">
      <alignment horizontal="right"/>
    </xf>
    <xf numFmtId="1" fontId="17" fillId="0" borderId="0" xfId="0" applyNumberFormat="1" applyFont="1" applyAlignment="1">
      <alignment horizontal="right" vertical="center"/>
    </xf>
    <xf numFmtId="1" fontId="39" fillId="0" borderId="0" xfId="0" applyNumberFormat="1" applyFont="1" applyAlignment="1">
      <alignment horizontal="center" vertical="center"/>
    </xf>
    <xf numFmtId="168" fontId="39" fillId="0" borderId="0" xfId="0" applyNumberFormat="1" applyFont="1" applyAlignment="1">
      <alignment horizontal="left" vertical="top"/>
    </xf>
    <xf numFmtId="1" fontId="39" fillId="0" borderId="0" xfId="0" applyNumberFormat="1" applyFont="1" applyAlignment="1">
      <alignment horizontal="center" vertical="top"/>
    </xf>
    <xf numFmtId="168" fontId="39" fillId="0" borderId="0" xfId="0" applyNumberFormat="1" applyFont="1" applyAlignment="1">
      <alignment horizontal="right" vertical="top"/>
    </xf>
    <xf numFmtId="168" fontId="39" fillId="0" borderId="0" xfId="0" applyNumberFormat="1" applyFont="1" applyAlignment="1">
      <alignment horizontal="center" vertical="top"/>
    </xf>
    <xf numFmtId="168" fontId="24" fillId="0" borderId="0" xfId="0" applyNumberFormat="1" applyFont="1" applyAlignment="1">
      <alignment horizontal="right" vertical="top"/>
    </xf>
    <xf numFmtId="175" fontId="17" fillId="4" borderId="0" xfId="0" applyNumberFormat="1" applyFont="1" applyFill="1" applyAlignment="1">
      <alignment vertical="top"/>
    </xf>
    <xf numFmtId="168" fontId="24" fillId="4" borderId="0" xfId="0" applyNumberFormat="1" applyFont="1" applyFill="1" applyAlignment="1">
      <alignment vertical="top"/>
    </xf>
    <xf numFmtId="0" fontId="39" fillId="0" borderId="0" xfId="0" applyFont="1" applyAlignment="1">
      <alignment horizontal="center" vertical="center"/>
    </xf>
    <xf numFmtId="168" fontId="28" fillId="0" borderId="0" xfId="0" applyNumberFormat="1" applyFont="1"/>
    <xf numFmtId="168" fontId="27" fillId="0" borderId="0" xfId="0" applyNumberFormat="1" applyFont="1"/>
    <xf numFmtId="0" fontId="17" fillId="0" borderId="4" xfId="0" applyFont="1" applyBorder="1" applyAlignment="1">
      <alignment horizontal="center" vertical="top"/>
    </xf>
    <xf numFmtId="168" fontId="17" fillId="0" borderId="4" xfId="0" applyNumberFormat="1" applyFont="1" applyBorder="1" applyAlignment="1">
      <alignment vertical="top"/>
    </xf>
    <xf numFmtId="49" fontId="28" fillId="0" borderId="0" xfId="0" applyNumberFormat="1" applyFont="1"/>
    <xf numFmtId="49" fontId="27" fillId="0" borderId="0" xfId="0" applyNumberFormat="1" applyFont="1"/>
    <xf numFmtId="49" fontId="16" fillId="0" borderId="0" xfId="0" applyNumberFormat="1" applyFont="1" applyAlignment="1">
      <alignment horizontal="left" vertical="center"/>
    </xf>
    <xf numFmtId="49" fontId="16" fillId="0" borderId="0" xfId="0" applyNumberFormat="1" applyFont="1" applyAlignment="1">
      <alignment horizontal="left" vertical="top"/>
    </xf>
    <xf numFmtId="49" fontId="17" fillId="0" borderId="0" xfId="0" applyNumberFormat="1" applyFont="1" applyAlignment="1">
      <alignment horizontal="left" vertical="top"/>
    </xf>
    <xf numFmtId="49" fontId="17" fillId="0" borderId="0" xfId="0" applyNumberFormat="1" applyFont="1" applyAlignment="1">
      <alignment vertical="top"/>
    </xf>
    <xf numFmtId="49" fontId="13" fillId="0" borderId="0" xfId="0" applyNumberFormat="1" applyFont="1" applyAlignment="1">
      <alignment vertical="top"/>
    </xf>
    <xf numFmtId="49" fontId="17" fillId="0" borderId="0" xfId="0" applyNumberFormat="1" applyFont="1" applyAlignment="1">
      <alignment horizontal="center" vertical="top"/>
    </xf>
    <xf numFmtId="49" fontId="17" fillId="0" borderId="0" xfId="0" quotePrefix="1" applyNumberFormat="1" applyFont="1" applyAlignment="1">
      <alignment horizontal="left" vertical="top"/>
    </xf>
    <xf numFmtId="49" fontId="17" fillId="0" borderId="4" xfId="0" applyNumberFormat="1" applyFont="1" applyBorder="1" applyAlignment="1">
      <alignment horizontal="left" vertical="top"/>
    </xf>
    <xf numFmtId="49" fontId="39" fillId="0" borderId="0" xfId="0" applyNumberFormat="1" applyFont="1" applyAlignment="1">
      <alignment horizontal="left" vertical="center"/>
    </xf>
    <xf numFmtId="0" fontId="13" fillId="0" borderId="5" xfId="0" applyFont="1" applyBorder="1" applyAlignment="1">
      <alignment vertical="center"/>
    </xf>
    <xf numFmtId="168" fontId="16" fillId="0" borderId="5" xfId="0" quotePrefix="1" applyNumberFormat="1" applyFont="1" applyBorder="1" applyAlignment="1">
      <alignment horizontal="right" vertical="center" wrapText="1" shrinkToFit="1"/>
    </xf>
    <xf numFmtId="168" fontId="33" fillId="0" borderId="0" xfId="0" applyNumberFormat="1" applyFont="1"/>
    <xf numFmtId="168" fontId="16" fillId="0" borderId="0" xfId="0" applyNumberFormat="1" applyFont="1" applyAlignment="1">
      <alignment horizontal="center" vertical="top" wrapText="1"/>
    </xf>
    <xf numFmtId="0" fontId="17" fillId="0" borderId="0" xfId="0" applyFont="1" applyAlignment="1">
      <alignment horizontal="left"/>
    </xf>
    <xf numFmtId="49" fontId="17" fillId="0" borderId="0" xfId="0" applyNumberFormat="1" applyFont="1" applyAlignment="1">
      <alignment vertical="center"/>
    </xf>
    <xf numFmtId="49" fontId="17" fillId="0" borderId="0" xfId="0" applyNumberFormat="1" applyFont="1" applyAlignment="1">
      <alignment horizontal="left" vertical="center" wrapText="1" indent="1"/>
    </xf>
    <xf numFmtId="49" fontId="16" fillId="0" borderId="0" xfId="0" applyNumberFormat="1" applyFont="1" applyAlignment="1">
      <alignment vertical="center"/>
    </xf>
    <xf numFmtId="49" fontId="16" fillId="0" borderId="0" xfId="0" applyNumberFormat="1" applyFont="1" applyAlignment="1">
      <alignment vertical="center" wrapText="1"/>
    </xf>
    <xf numFmtId="49" fontId="17" fillId="0" borderId="0" xfId="0" applyNumberFormat="1" applyFont="1" applyAlignment="1">
      <alignment horizontal="left" vertical="top" indent="1"/>
    </xf>
    <xf numFmtId="0" fontId="17" fillId="0" borderId="0" xfId="0" quotePrefix="1" applyFont="1" applyAlignment="1">
      <alignment horizontal="justify" vertical="top" wrapText="1"/>
    </xf>
    <xf numFmtId="0" fontId="35" fillId="0" borderId="0" xfId="0" applyFont="1" applyAlignment="1">
      <alignment horizontal="justify" vertical="top" wrapText="1"/>
    </xf>
    <xf numFmtId="0" fontId="16" fillId="0" borderId="0" xfId="0" quotePrefix="1" applyFont="1" applyAlignment="1">
      <alignment horizontal="justify" vertical="top" wrapText="1"/>
    </xf>
    <xf numFmtId="0" fontId="17" fillId="0" borderId="0" xfId="0" applyFont="1" applyAlignment="1">
      <alignment horizontal="justify" vertical="top" wrapText="1"/>
    </xf>
    <xf numFmtId="0" fontId="16" fillId="0" borderId="0" xfId="0" applyFont="1" applyAlignment="1">
      <alignment horizontal="justify" vertical="top" wrapText="1"/>
    </xf>
    <xf numFmtId="0" fontId="17" fillId="0" borderId="0" xfId="0" applyFont="1" applyAlignment="1">
      <alignment vertical="top" wrapText="1"/>
    </xf>
    <xf numFmtId="0" fontId="16" fillId="0" borderId="0" xfId="0" applyFont="1" applyAlignment="1">
      <alignment horizontal="left" vertical="top" wrapText="1"/>
    </xf>
    <xf numFmtId="0" fontId="17" fillId="0" borderId="0" xfId="0" applyFont="1" applyAlignment="1">
      <alignment horizontal="left" vertical="top" wrapText="1"/>
    </xf>
    <xf numFmtId="0" fontId="17" fillId="0" borderId="0" xfId="0" applyFont="1" applyAlignment="1">
      <alignment horizontal="justify" vertical="top"/>
    </xf>
    <xf numFmtId="0" fontId="17" fillId="2" borderId="0" xfId="0" applyFont="1" applyFill="1" applyAlignment="1">
      <alignment horizontal="justify" vertical="top"/>
    </xf>
    <xf numFmtId="168" fontId="16" fillId="0" borderId="0" xfId="0" applyNumberFormat="1" applyFont="1" applyAlignment="1">
      <alignment horizontal="center"/>
    </xf>
    <xf numFmtId="168" fontId="16" fillId="0" borderId="5" xfId="0" quotePrefix="1" applyNumberFormat="1" applyFont="1" applyBorder="1" applyAlignment="1">
      <alignment horizontal="center" vertical="center" wrapText="1" shrinkToFit="1"/>
    </xf>
    <xf numFmtId="0" fontId="17" fillId="0" borderId="0" xfId="0" applyFont="1" applyAlignment="1">
      <alignment horizontal="left" vertical="center" wrapText="1"/>
    </xf>
    <xf numFmtId="167" fontId="16" fillId="0" borderId="0" xfId="0" quotePrefix="1" applyNumberFormat="1" applyFont="1" applyAlignment="1">
      <alignment horizontal="right" vertical="center"/>
    </xf>
    <xf numFmtId="168" fontId="16" fillId="4" borderId="0" xfId="0" quotePrefix="1" applyNumberFormat="1" applyFont="1" applyFill="1" applyAlignment="1">
      <alignment horizontal="right" vertical="center"/>
    </xf>
    <xf numFmtId="49" fontId="17" fillId="0" borderId="0" xfId="0" quotePrefix="1" applyNumberFormat="1" applyFont="1" applyAlignment="1">
      <alignment horizontal="left" vertical="top" indent="1"/>
    </xf>
    <xf numFmtId="49" fontId="27" fillId="0" borderId="0" xfId="0" applyNumberFormat="1" applyFont="1" applyAlignment="1">
      <alignment vertical="center"/>
    </xf>
    <xf numFmtId="0" fontId="16" fillId="2" borderId="0" xfId="0" applyFont="1" applyFill="1" applyAlignment="1">
      <alignment horizontal="left" vertical="center"/>
    </xf>
    <xf numFmtId="168" fontId="16" fillId="2" borderId="0" xfId="0" quotePrefix="1" applyNumberFormat="1" applyFont="1" applyFill="1" applyAlignment="1">
      <alignment horizontal="right" vertical="center" shrinkToFit="1"/>
    </xf>
    <xf numFmtId="0" fontId="5" fillId="0" borderId="0" xfId="0" applyFont="1"/>
    <xf numFmtId="168" fontId="16" fillId="4" borderId="5" xfId="0" quotePrefix="1" applyNumberFormat="1" applyFont="1" applyFill="1" applyBorder="1" applyAlignment="1">
      <alignment horizontal="right" vertical="center" wrapText="1" shrinkToFit="1"/>
    </xf>
    <xf numFmtId="167" fontId="16" fillId="4" borderId="5" xfId="0" quotePrefix="1" applyNumberFormat="1" applyFont="1" applyFill="1" applyBorder="1" applyAlignment="1">
      <alignment horizontal="right" vertical="center" wrapText="1" shrinkToFit="1"/>
    </xf>
    <xf numFmtId="168" fontId="16" fillId="4" borderId="0" xfId="0" applyNumberFormat="1" applyFont="1" applyFill="1" applyAlignment="1">
      <alignment horizontal="right" vertical="center"/>
    </xf>
    <xf numFmtId="167" fontId="16" fillId="4" borderId="0" xfId="0" quotePrefix="1" applyNumberFormat="1" applyFont="1" applyFill="1" applyAlignment="1">
      <alignment horizontal="right" vertical="center" shrinkToFit="1"/>
    </xf>
    <xf numFmtId="168" fontId="16" fillId="0" borderId="6" xfId="0" applyNumberFormat="1" applyFont="1" applyBorder="1" applyAlignment="1">
      <alignment horizontal="right" vertical="center"/>
    </xf>
    <xf numFmtId="168" fontId="17" fillId="4" borderId="0" xfId="0" applyNumberFormat="1" applyFont="1" applyFill="1" applyAlignment="1">
      <alignment horizontal="right" vertical="top"/>
    </xf>
    <xf numFmtId="168" fontId="16" fillId="4" borderId="0" xfId="0" applyNumberFormat="1" applyFont="1" applyFill="1" applyAlignment="1">
      <alignment horizontal="right" vertical="top"/>
    </xf>
    <xf numFmtId="0" fontId="16" fillId="0" borderId="0" xfId="0" applyFont="1" applyAlignment="1">
      <alignment horizontal="right" vertical="center" wrapText="1"/>
    </xf>
    <xf numFmtId="168" fontId="17" fillId="0" borderId="0" xfId="0" applyNumberFormat="1" applyFont="1" applyAlignment="1">
      <alignment horizontal="right" vertical="center" wrapText="1"/>
    </xf>
    <xf numFmtId="168" fontId="27" fillId="0" borderId="0" xfId="0" applyNumberFormat="1" applyFont="1" applyAlignment="1">
      <alignment horizontal="right" vertical="center"/>
    </xf>
    <xf numFmtId="49" fontId="16" fillId="0" borderId="0" xfId="0" applyNumberFormat="1" applyFont="1" applyAlignment="1">
      <alignment wrapText="1"/>
    </xf>
    <xf numFmtId="49" fontId="16" fillId="4" borderId="0" xfId="0" applyNumberFormat="1" applyFont="1" applyFill="1" applyAlignment="1">
      <alignment vertical="center" wrapText="1"/>
    </xf>
    <xf numFmtId="49" fontId="16" fillId="4" borderId="0" xfId="0" applyNumberFormat="1" applyFont="1" applyFill="1" applyAlignment="1">
      <alignment horizontal="center" vertical="center" wrapText="1"/>
    </xf>
    <xf numFmtId="49" fontId="16" fillId="4" borderId="0" xfId="0" applyNumberFormat="1" applyFont="1" applyFill="1" applyAlignment="1">
      <alignment horizontal="right" vertical="center" wrapText="1"/>
    </xf>
    <xf numFmtId="49" fontId="16" fillId="4" borderId="0" xfId="0" applyNumberFormat="1" applyFont="1" applyFill="1" applyAlignment="1">
      <alignment vertical="top" wrapText="1"/>
    </xf>
    <xf numFmtId="49" fontId="17" fillId="4" borderId="0" xfId="0" applyNumberFormat="1" applyFont="1" applyFill="1" applyAlignment="1">
      <alignment vertical="center" wrapText="1"/>
    </xf>
    <xf numFmtId="49" fontId="16" fillId="4" borderId="0" xfId="0" quotePrefix="1" applyNumberFormat="1" applyFont="1" applyFill="1" applyAlignment="1">
      <alignment vertical="top" wrapText="1"/>
    </xf>
    <xf numFmtId="49" fontId="17" fillId="0" borderId="0" xfId="0" applyNumberFormat="1" applyFont="1" applyAlignment="1">
      <alignment wrapText="1"/>
    </xf>
    <xf numFmtId="49" fontId="16" fillId="0" borderId="0" xfId="0" quotePrefix="1" applyNumberFormat="1" applyFont="1" applyAlignment="1">
      <alignment vertical="center" wrapText="1"/>
    </xf>
    <xf numFmtId="49" fontId="17" fillId="0" borderId="0" xfId="0" applyNumberFormat="1" applyFont="1" applyAlignment="1">
      <alignment horizontal="left" vertical="center" wrapText="1"/>
    </xf>
    <xf numFmtId="49" fontId="16" fillId="0" borderId="0" xfId="0" applyNumberFormat="1" applyFont="1" applyAlignment="1">
      <alignment horizontal="justify" vertical="center" wrapText="1"/>
    </xf>
    <xf numFmtId="49" fontId="16" fillId="0" borderId="5" xfId="0" applyNumberFormat="1" applyFont="1" applyBorder="1" applyAlignment="1">
      <alignment vertical="center" wrapText="1"/>
    </xf>
    <xf numFmtId="49" fontId="27" fillId="0" borderId="0" xfId="0" applyNumberFormat="1" applyFont="1" applyAlignment="1">
      <alignment horizontal="center" vertical="center" wrapText="1"/>
    </xf>
    <xf numFmtId="49" fontId="17" fillId="0" borderId="0" xfId="0" applyNumberFormat="1" applyFont="1" applyAlignment="1">
      <alignment horizontal="justify" vertical="center" wrapText="1"/>
    </xf>
    <xf numFmtId="49" fontId="17" fillId="0" borderId="0" xfId="0" applyNumberFormat="1" applyFont="1" applyAlignment="1">
      <alignment vertical="center" wrapText="1"/>
    </xf>
    <xf numFmtId="49" fontId="16" fillId="4" borderId="0" xfId="0" applyNumberFormat="1" applyFont="1" applyFill="1" applyAlignment="1">
      <alignment vertical="center"/>
    </xf>
    <xf numFmtId="0" fontId="16" fillId="0" borderId="0" xfId="0" quotePrefix="1" applyFont="1" applyAlignment="1">
      <alignment vertical="top" wrapText="1"/>
    </xf>
    <xf numFmtId="174" fontId="16" fillId="0" borderId="0" xfId="0" quotePrefix="1" applyNumberFormat="1" applyFont="1" applyAlignment="1">
      <alignment horizontal="right" vertical="center" wrapText="1" shrinkToFit="1"/>
    </xf>
    <xf numFmtId="168" fontId="17" fillId="0" borderId="4" xfId="0" quotePrefix="1" applyNumberFormat="1" applyFont="1" applyBorder="1" applyAlignment="1">
      <alignment horizontal="right" vertical="center" shrinkToFit="1"/>
    </xf>
    <xf numFmtId="10" fontId="17" fillId="0" borderId="0" xfId="0" quotePrefix="1" applyNumberFormat="1" applyFont="1" applyAlignment="1">
      <alignment horizontal="right" vertical="center" shrinkToFit="1"/>
    </xf>
    <xf numFmtId="0" fontId="16" fillId="0" borderId="0" xfId="0" applyFont="1" applyAlignment="1">
      <alignment vertical="top" wrapText="1"/>
    </xf>
    <xf numFmtId="168" fontId="16" fillId="0" borderId="0" xfId="0" quotePrefix="1" applyNumberFormat="1" applyFont="1" applyAlignment="1">
      <alignment horizontal="center" vertical="center"/>
    </xf>
    <xf numFmtId="174" fontId="16" fillId="0" borderId="0" xfId="0" quotePrefix="1" applyNumberFormat="1" applyFont="1" applyAlignment="1">
      <alignment horizontal="right" vertical="center" shrinkToFit="1"/>
    </xf>
    <xf numFmtId="174" fontId="16" fillId="0" borderId="5" xfId="0" quotePrefix="1" applyNumberFormat="1" applyFont="1" applyBorder="1" applyAlignment="1">
      <alignment horizontal="right" vertical="center" wrapText="1" shrinkToFit="1"/>
    </xf>
    <xf numFmtId="168" fontId="17" fillId="0" borderId="5" xfId="0" applyNumberFormat="1" applyFont="1" applyBorder="1"/>
    <xf numFmtId="0" fontId="16" fillId="4" borderId="0" xfId="0" applyFont="1" applyFill="1" applyAlignment="1">
      <alignment horizontal="left" vertical="center"/>
    </xf>
    <xf numFmtId="168" fontId="16" fillId="4" borderId="0" xfId="0" applyNumberFormat="1" applyFont="1" applyFill="1" applyAlignment="1">
      <alignment vertical="center"/>
    </xf>
    <xf numFmtId="168" fontId="16" fillId="4" borderId="0" xfId="0" applyNumberFormat="1" applyFont="1" applyFill="1"/>
    <xf numFmtId="168" fontId="17" fillId="4" borderId="0" xfId="0" applyNumberFormat="1" applyFont="1" applyFill="1"/>
    <xf numFmtId="0" fontId="17" fillId="4" borderId="0" xfId="0" applyFont="1" applyFill="1" applyAlignment="1">
      <alignment horizontal="left" vertical="center"/>
    </xf>
    <xf numFmtId="168" fontId="17" fillId="4" borderId="0" xfId="0" applyNumberFormat="1" applyFont="1" applyFill="1" applyAlignment="1">
      <alignment horizontal="left" vertical="center"/>
    </xf>
    <xf numFmtId="0" fontId="16" fillId="4" borderId="0" xfId="0" applyFont="1" applyFill="1"/>
    <xf numFmtId="168" fontId="17" fillId="4" borderId="0" xfId="0" applyNumberFormat="1" applyFont="1" applyFill="1" applyAlignment="1">
      <alignment horizontal="center" vertical="center"/>
    </xf>
    <xf numFmtId="10" fontId="17" fillId="0" borderId="0" xfId="0" quotePrefix="1" applyNumberFormat="1" applyFont="1" applyAlignment="1">
      <alignment horizontal="center" vertical="center" shrinkToFit="1"/>
    </xf>
    <xf numFmtId="10" fontId="17" fillId="0" borderId="0" xfId="0" quotePrefix="1" applyNumberFormat="1" applyFont="1" applyAlignment="1">
      <alignment horizontal="right" vertical="center" wrapText="1" shrinkToFit="1"/>
    </xf>
    <xf numFmtId="10" fontId="17" fillId="4" borderId="0" xfId="0" quotePrefix="1" applyNumberFormat="1" applyFont="1" applyFill="1" applyAlignment="1">
      <alignment horizontal="right" vertical="center" shrinkToFit="1"/>
    </xf>
    <xf numFmtId="168" fontId="17" fillId="4" borderId="0" xfId="0" applyNumberFormat="1" applyFont="1" applyFill="1" applyAlignment="1">
      <alignment horizontal="center"/>
    </xf>
    <xf numFmtId="168" fontId="17" fillId="0" borderId="0" xfId="0" applyNumberFormat="1" applyFont="1" applyAlignment="1">
      <alignment horizontal="center"/>
    </xf>
    <xf numFmtId="168" fontId="20" fillId="0" borderId="0" xfId="0" applyNumberFormat="1" applyFont="1" applyAlignment="1">
      <alignment horizontal="center"/>
    </xf>
    <xf numFmtId="168" fontId="26" fillId="4" borderId="0" xfId="0" applyNumberFormat="1" applyFont="1" applyFill="1" applyAlignment="1">
      <alignment horizontal="center" vertical="center"/>
    </xf>
    <xf numFmtId="168" fontId="20" fillId="4" borderId="0" xfId="0" quotePrefix="1" applyNumberFormat="1" applyFont="1" applyFill="1" applyAlignment="1">
      <alignment horizontal="center" vertical="center" wrapText="1" shrinkToFit="1"/>
    </xf>
    <xf numFmtId="168" fontId="17" fillId="4" borderId="0" xfId="0" quotePrefix="1" applyNumberFormat="1" applyFont="1" applyFill="1" applyAlignment="1">
      <alignment horizontal="center" vertical="center"/>
    </xf>
    <xf numFmtId="168" fontId="17" fillId="0" borderId="0" xfId="0" quotePrefix="1" applyNumberFormat="1" applyFont="1" applyAlignment="1">
      <alignment horizontal="center" vertical="center"/>
    </xf>
    <xf numFmtId="0" fontId="13" fillId="4" borderId="0" xfId="0" applyFont="1" applyFill="1"/>
    <xf numFmtId="168" fontId="17" fillId="4" borderId="0" xfId="0" applyNumberFormat="1" applyFont="1" applyFill="1" applyAlignment="1">
      <alignment horizontal="justify" vertical="center" wrapText="1"/>
    </xf>
    <xf numFmtId="168" fontId="17" fillId="4" borderId="0" xfId="0" applyNumberFormat="1" applyFont="1" applyFill="1" applyAlignment="1">
      <alignment horizontal="left" vertical="center" wrapText="1"/>
    </xf>
    <xf numFmtId="174" fontId="16" fillId="4" borderId="5" xfId="0" quotePrefix="1" applyNumberFormat="1" applyFont="1" applyFill="1" applyBorder="1" applyAlignment="1">
      <alignment horizontal="right" vertical="center" wrapText="1" shrinkToFit="1"/>
    </xf>
    <xf numFmtId="168" fontId="17" fillId="4" borderId="0" xfId="0" applyNumberFormat="1" applyFont="1" applyFill="1" applyAlignment="1">
      <alignment vertical="center" wrapText="1"/>
    </xf>
    <xf numFmtId="168" fontId="17" fillId="4" borderId="0" xfId="0" applyNumberFormat="1" applyFont="1" applyFill="1" applyAlignment="1">
      <alignment horizontal="center" vertical="center" wrapText="1"/>
    </xf>
    <xf numFmtId="0" fontId="27" fillId="0" borderId="0" xfId="0" applyFont="1" applyAlignment="1">
      <alignment horizontal="left" vertical="center"/>
    </xf>
    <xf numFmtId="49" fontId="27" fillId="0" borderId="0" xfId="0" applyNumberFormat="1" applyFont="1" applyAlignment="1">
      <alignment horizontal="left" vertical="top"/>
    </xf>
    <xf numFmtId="0" fontId="13" fillId="4" borderId="0" xfId="0" applyFont="1" applyFill="1" applyAlignment="1">
      <alignment vertical="center"/>
    </xf>
    <xf numFmtId="168" fontId="13" fillId="0" borderId="0" xfId="0" applyNumberFormat="1" applyFont="1" applyAlignment="1">
      <alignment horizontal="center"/>
    </xf>
    <xf numFmtId="168" fontId="22" fillId="0" borderId="0" xfId="0" applyNumberFormat="1" applyFont="1"/>
    <xf numFmtId="168" fontId="13" fillId="0" borderId="0" xfId="0" applyNumberFormat="1" applyFont="1" applyAlignment="1">
      <alignment horizontal="center" wrapText="1"/>
    </xf>
    <xf numFmtId="49" fontId="13" fillId="0" borderId="0" xfId="0" applyNumberFormat="1" applyFont="1" applyAlignment="1">
      <alignment horizontal="left" vertical="top"/>
    </xf>
    <xf numFmtId="168" fontId="13" fillId="0" borderId="6" xfId="0" applyNumberFormat="1" applyFont="1" applyBorder="1" applyAlignment="1">
      <alignment horizontal="center" vertical="center" wrapText="1"/>
    </xf>
    <xf numFmtId="0" fontId="17" fillId="2" borderId="0" xfId="0" applyFont="1" applyFill="1"/>
    <xf numFmtId="0" fontId="17" fillId="4" borderId="0" xfId="0" applyFont="1" applyFill="1"/>
    <xf numFmtId="0" fontId="16" fillId="2" borderId="0" xfId="0" applyFont="1" applyFill="1"/>
    <xf numFmtId="0" fontId="17" fillId="4" borderId="0" xfId="0" applyFont="1" applyFill="1" applyAlignment="1">
      <alignment horizontal="justify"/>
    </xf>
    <xf numFmtId="0" fontId="16" fillId="4" borderId="0" xfId="0" applyFont="1" applyFill="1" applyAlignment="1">
      <alignment horizontal="justify" vertical="center"/>
    </xf>
    <xf numFmtId="0" fontId="17" fillId="6" borderId="0" xfId="0" applyFont="1" applyFill="1"/>
    <xf numFmtId="0" fontId="17" fillId="0" borderId="0" xfId="0" applyFont="1" applyAlignment="1">
      <alignment horizontal="justify"/>
    </xf>
    <xf numFmtId="0" fontId="16" fillId="0" borderId="0" xfId="0" applyFont="1" applyAlignment="1">
      <alignment horizontal="justify" vertical="center"/>
    </xf>
    <xf numFmtId="0" fontId="17" fillId="2" borderId="0" xfId="0" applyFont="1" applyFill="1" applyAlignment="1">
      <alignment vertical="top" wrapText="1"/>
    </xf>
    <xf numFmtId="0" fontId="17" fillId="2" borderId="0" xfId="0" applyFont="1" applyFill="1" applyAlignment="1">
      <alignment wrapText="1"/>
    </xf>
    <xf numFmtId="0" fontId="17" fillId="4" borderId="0" xfId="0" applyFont="1" applyFill="1" applyAlignment="1">
      <alignment horizontal="left" vertical="top"/>
    </xf>
    <xf numFmtId="168" fontId="17" fillId="4" borderId="0" xfId="0" applyNumberFormat="1" applyFont="1" applyFill="1" applyAlignment="1">
      <alignment horizontal="left" vertical="top"/>
    </xf>
    <xf numFmtId="0" fontId="16" fillId="4" borderId="0" xfId="0" applyFont="1" applyFill="1" applyAlignment="1">
      <alignment horizontal="center" vertical="top"/>
    </xf>
    <xf numFmtId="168" fontId="16" fillId="4" borderId="0" xfId="0" applyNumberFormat="1" applyFont="1" applyFill="1" applyAlignment="1">
      <alignment horizontal="center" vertical="top"/>
    </xf>
    <xf numFmtId="168" fontId="16" fillId="4" borderId="0" xfId="0" applyNumberFormat="1" applyFont="1" applyFill="1" applyAlignment="1">
      <alignment horizontal="left" vertical="top"/>
    </xf>
    <xf numFmtId="0" fontId="17" fillId="4" borderId="0" xfId="0" applyFont="1" applyFill="1" applyAlignment="1">
      <alignment vertical="top"/>
    </xf>
    <xf numFmtId="168" fontId="26" fillId="0" borderId="0" xfId="0" applyNumberFormat="1" applyFont="1"/>
    <xf numFmtId="0" fontId="13" fillId="0" borderId="0" xfId="0" applyFont="1" applyAlignment="1">
      <alignment horizontal="left" vertical="center"/>
    </xf>
    <xf numFmtId="168" fontId="17" fillId="0" borderId="5" xfId="0" applyNumberFormat="1" applyFont="1" applyBorder="1" applyAlignment="1">
      <alignment vertical="top"/>
    </xf>
    <xf numFmtId="173" fontId="16" fillId="0" borderId="4" xfId="0" applyNumberFormat="1" applyFont="1" applyBorder="1" applyAlignment="1">
      <alignment horizontal="center" vertical="top" wrapText="1"/>
    </xf>
    <xf numFmtId="173" fontId="16" fillId="0" borderId="0" xfId="0" applyNumberFormat="1" applyFont="1" applyAlignment="1">
      <alignment horizontal="center" vertical="top" wrapText="1"/>
    </xf>
    <xf numFmtId="4" fontId="16" fillId="0" borderId="5" xfId="0" applyNumberFormat="1" applyFont="1" applyBorder="1" applyAlignment="1">
      <alignment horizontal="right" vertical="top" wrapText="1"/>
    </xf>
    <xf numFmtId="168" fontId="16" fillId="0" borderId="5" xfId="0" quotePrefix="1" applyNumberFormat="1" applyFont="1" applyBorder="1" applyAlignment="1">
      <alignment horizontal="right" vertical="top"/>
    </xf>
    <xf numFmtId="168" fontId="16" fillId="0" borderId="0" xfId="0" quotePrefix="1" applyNumberFormat="1" applyFont="1" applyAlignment="1">
      <alignment horizontal="center" vertical="top"/>
    </xf>
    <xf numFmtId="0" fontId="17" fillId="0" borderId="0" xfId="0" quotePrefix="1" applyFont="1" applyAlignment="1">
      <alignment vertical="top"/>
    </xf>
    <xf numFmtId="3" fontId="17" fillId="0" borderId="0" xfId="0" applyNumberFormat="1" applyFont="1" applyAlignment="1">
      <alignment horizontal="left" vertical="top"/>
    </xf>
    <xf numFmtId="165" fontId="17" fillId="0" borderId="0" xfId="0" applyNumberFormat="1" applyFont="1" applyAlignment="1">
      <alignment horizontal="right" vertical="top"/>
    </xf>
    <xf numFmtId="165" fontId="17" fillId="0" borderId="0" xfId="0" applyNumberFormat="1" applyFont="1" applyAlignment="1">
      <alignment horizontal="right" vertical="center"/>
    </xf>
    <xf numFmtId="165" fontId="17" fillId="0" borderId="0" xfId="0" applyNumberFormat="1" applyFont="1" applyAlignment="1">
      <alignment vertical="top"/>
    </xf>
    <xf numFmtId="165" fontId="17" fillId="0" borderId="0" xfId="0" quotePrefix="1" applyNumberFormat="1" applyFont="1" applyAlignment="1">
      <alignment vertical="top"/>
    </xf>
    <xf numFmtId="0" fontId="17" fillId="8" borderId="0" xfId="0" applyFont="1" applyFill="1" applyAlignment="1">
      <alignment vertical="top"/>
    </xf>
    <xf numFmtId="175" fontId="17" fillId="0" borderId="0" xfId="0" applyNumberFormat="1" applyFont="1" applyAlignment="1">
      <alignment vertical="top"/>
    </xf>
    <xf numFmtId="167" fontId="16" fillId="0" borderId="0" xfId="0" applyNumberFormat="1" applyFont="1" applyAlignment="1">
      <alignment horizontal="center" vertical="center" wrapText="1"/>
    </xf>
    <xf numFmtId="167" fontId="16" fillId="0" borderId="5" xfId="0" applyNumberFormat="1" applyFont="1" applyBorder="1" applyAlignment="1">
      <alignment horizontal="center" vertical="center" wrapText="1"/>
    </xf>
    <xf numFmtId="49" fontId="16" fillId="0" borderId="0" xfId="0" applyNumberFormat="1" applyFont="1" applyAlignment="1">
      <alignment vertical="top" wrapText="1"/>
    </xf>
    <xf numFmtId="0" fontId="16" fillId="0" borderId="0" xfId="0" quotePrefix="1" applyFont="1" applyAlignment="1">
      <alignment horizontal="center" vertical="center"/>
    </xf>
    <xf numFmtId="0" fontId="17" fillId="7" borderId="0" xfId="0" applyFont="1" applyFill="1" applyAlignment="1">
      <alignment vertical="center"/>
    </xf>
    <xf numFmtId="37" fontId="16" fillId="7" borderId="0" xfId="0" applyNumberFormat="1" applyFont="1" applyFill="1" applyAlignment="1">
      <alignment horizontal="right" vertical="center"/>
    </xf>
    <xf numFmtId="49" fontId="17" fillId="0" borderId="0" xfId="0" applyNumberFormat="1" applyFont="1" applyAlignment="1" applyProtection="1">
      <alignment horizontal="left" vertical="top"/>
      <protection locked="0"/>
    </xf>
    <xf numFmtId="0" fontId="16" fillId="0" borderId="0" xfId="0" applyFont="1" applyAlignment="1" applyProtection="1">
      <alignment vertical="top"/>
      <protection locked="0"/>
    </xf>
    <xf numFmtId="49" fontId="13" fillId="0" borderId="0" xfId="0" applyNumberFormat="1" applyFont="1" applyAlignment="1">
      <alignment horizontal="right" vertical="top"/>
    </xf>
    <xf numFmtId="49" fontId="40" fillId="0" borderId="0" xfId="0" applyNumberFormat="1" applyFont="1" applyAlignment="1">
      <alignment horizontal="left" vertical="top"/>
    </xf>
    <xf numFmtId="0" fontId="17" fillId="0" borderId="0" xfId="0" applyFont="1" applyAlignment="1" applyProtection="1">
      <alignment vertical="top"/>
      <protection locked="0"/>
    </xf>
    <xf numFmtId="0" fontId="16" fillId="0" borderId="0" xfId="0" applyFont="1" applyAlignment="1" applyProtection="1">
      <alignment horizontal="right" vertical="top"/>
      <protection locked="0"/>
    </xf>
    <xf numFmtId="49" fontId="17" fillId="0" borderId="0" xfId="0" applyNumberFormat="1" applyFont="1" applyAlignment="1">
      <alignment horizontal="right"/>
    </xf>
    <xf numFmtId="168" fontId="17" fillId="2" borderId="0" xfId="0" applyNumberFormat="1" applyFont="1" applyFill="1" applyAlignment="1">
      <alignment horizontal="center"/>
    </xf>
    <xf numFmtId="168" fontId="26" fillId="0" borderId="0" xfId="0" quotePrefix="1" applyNumberFormat="1" applyFont="1" applyAlignment="1">
      <alignment horizontal="right" vertical="center" shrinkToFit="1"/>
    </xf>
    <xf numFmtId="168" fontId="26" fillId="2" borderId="0" xfId="0" quotePrefix="1" applyNumberFormat="1" applyFont="1" applyFill="1" applyAlignment="1">
      <alignment horizontal="right" vertical="center" shrinkToFit="1"/>
    </xf>
    <xf numFmtId="168" fontId="16" fillId="0" borderId="4" xfId="0" quotePrefix="1" applyNumberFormat="1" applyFont="1" applyBorder="1" applyAlignment="1">
      <alignment horizontal="right" vertical="top" shrinkToFit="1"/>
    </xf>
    <xf numFmtId="49" fontId="16" fillId="0" borderId="0" xfId="0" applyNumberFormat="1" applyFont="1" applyAlignment="1">
      <alignment horizontal="right"/>
    </xf>
    <xf numFmtId="49" fontId="16" fillId="0" borderId="0" xfId="0" quotePrefix="1" applyNumberFormat="1" applyFont="1" applyAlignment="1">
      <alignment vertical="top"/>
    </xf>
    <xf numFmtId="0" fontId="16" fillId="0" borderId="0" xfId="0" quotePrefix="1" applyFont="1" applyAlignment="1">
      <alignment vertical="top"/>
    </xf>
    <xf numFmtId="10" fontId="17" fillId="0" borderId="0" xfId="0" applyNumberFormat="1" applyFont="1" applyAlignment="1">
      <alignment horizontal="right"/>
    </xf>
    <xf numFmtId="0" fontId="13" fillId="0" borderId="0" xfId="0" applyFont="1" applyAlignment="1">
      <alignment horizontal="right" vertical="top"/>
    </xf>
    <xf numFmtId="168" fontId="4" fillId="0" borderId="0" xfId="0" applyNumberFormat="1" applyFont="1"/>
    <xf numFmtId="0" fontId="4" fillId="0" borderId="0" xfId="0" applyFont="1" applyAlignment="1">
      <alignment vertical="center"/>
    </xf>
    <xf numFmtId="0" fontId="4" fillId="0" borderId="0" xfId="0" applyFont="1"/>
    <xf numFmtId="168" fontId="4" fillId="0" borderId="0" xfId="0" applyNumberFormat="1" applyFont="1" applyAlignment="1">
      <alignment vertical="top"/>
    </xf>
    <xf numFmtId="168" fontId="4" fillId="0" borderId="0" xfId="0" applyNumberFormat="1" applyFont="1" applyAlignment="1">
      <alignment horizontal="center" vertical="center"/>
    </xf>
    <xf numFmtId="0" fontId="4" fillId="0" borderId="0" xfId="0" applyFont="1" applyAlignment="1">
      <alignment horizontal="center" vertical="center"/>
    </xf>
    <xf numFmtId="1" fontId="4" fillId="0" borderId="0" xfId="0" applyNumberFormat="1" applyFont="1" applyAlignment="1">
      <alignment horizontal="center" vertical="top"/>
    </xf>
    <xf numFmtId="0" fontId="13" fillId="0" borderId="5" xfId="0" applyFont="1" applyBorder="1"/>
    <xf numFmtId="0" fontId="13" fillId="0" borderId="5" xfId="0" applyFont="1" applyBorder="1" applyAlignment="1">
      <alignment horizontal="center"/>
    </xf>
    <xf numFmtId="172" fontId="17" fillId="0" borderId="0" xfId="0" applyNumberFormat="1" applyFont="1" applyAlignment="1">
      <alignment horizontal="right" vertical="center"/>
    </xf>
    <xf numFmtId="0" fontId="27" fillId="4" borderId="0" xfId="0" applyFont="1" applyFill="1"/>
    <xf numFmtId="0" fontId="13" fillId="0" borderId="0" xfId="0" applyFont="1" applyAlignment="1">
      <alignment vertical="center"/>
    </xf>
    <xf numFmtId="49" fontId="17" fillId="0" borderId="0" xfId="0" applyNumberFormat="1" applyFont="1" applyAlignment="1">
      <alignment horizontal="left" wrapText="1"/>
    </xf>
    <xf numFmtId="168" fontId="17" fillId="0" borderId="0" xfId="0" quotePrefix="1" applyNumberFormat="1" applyFont="1" applyAlignment="1">
      <alignment horizontal="right" shrinkToFit="1"/>
    </xf>
    <xf numFmtId="168" fontId="17" fillId="4" borderId="0" xfId="0" quotePrefix="1" applyNumberFormat="1" applyFont="1" applyFill="1" applyAlignment="1">
      <alignment horizontal="right" shrinkToFit="1"/>
    </xf>
    <xf numFmtId="168" fontId="17" fillId="4" borderId="0" xfId="0" applyNumberFormat="1" applyFont="1" applyFill="1" applyAlignment="1">
      <alignment horizontal="right"/>
    </xf>
    <xf numFmtId="0" fontId="17" fillId="0" borderId="0" xfId="0" applyFont="1" applyAlignment="1">
      <alignment horizontal="left" vertical="top" indent="1"/>
    </xf>
    <xf numFmtId="0" fontId="17" fillId="4" borderId="0" xfId="0" applyFont="1" applyFill="1" applyAlignment="1">
      <alignment vertical="top" wrapText="1"/>
    </xf>
    <xf numFmtId="0" fontId="17" fillId="4" borderId="0" xfId="0" quotePrefix="1" applyFont="1" applyFill="1" applyAlignment="1">
      <alignment horizontal="left" vertical="top" indent="1"/>
    </xf>
    <xf numFmtId="175" fontId="16" fillId="0" borderId="3" xfId="0" applyNumberFormat="1" applyFont="1" applyBorder="1"/>
    <xf numFmtId="168" fontId="16" fillId="0" borderId="0" xfId="0" applyNumberFormat="1" applyFont="1" applyAlignment="1">
      <alignment horizontal="right" vertical="center" shrinkToFit="1"/>
    </xf>
    <xf numFmtId="168" fontId="17" fillId="2" borderId="0" xfId="0" applyNumberFormat="1" applyFont="1" applyFill="1" applyAlignment="1">
      <alignment vertical="top"/>
    </xf>
    <xf numFmtId="168" fontId="34" fillId="4" borderId="0" xfId="0" applyNumberFormat="1" applyFont="1" applyFill="1" applyAlignment="1">
      <alignment horizontal="center" vertical="top"/>
    </xf>
    <xf numFmtId="168" fontId="16" fillId="2" borderId="0" xfId="0" applyNumberFormat="1" applyFont="1" applyFill="1" applyAlignment="1">
      <alignment horizontal="left" vertical="top"/>
    </xf>
    <xf numFmtId="168" fontId="17" fillId="2" borderId="0" xfId="0" applyNumberFormat="1" applyFont="1" applyFill="1" applyAlignment="1">
      <alignment horizontal="left" vertical="top"/>
    </xf>
    <xf numFmtId="41" fontId="17" fillId="0" borderId="0" xfId="0" applyNumberFormat="1" applyFont="1" applyAlignment="1">
      <alignment vertical="top"/>
    </xf>
    <xf numFmtId="1" fontId="17" fillId="0" borderId="0" xfId="0" applyNumberFormat="1" applyFont="1" applyAlignment="1">
      <alignment vertical="top"/>
    </xf>
    <xf numFmtId="0" fontId="17" fillId="0" borderId="0" xfId="0" applyFont="1" applyAlignment="1">
      <alignment horizontal="right" vertical="top"/>
    </xf>
    <xf numFmtId="0" fontId="16" fillId="0" borderId="5" xfId="0" applyFont="1" applyBorder="1" applyAlignment="1">
      <alignment horizontal="right" vertical="top"/>
    </xf>
    <xf numFmtId="41" fontId="17" fillId="0" borderId="0" xfId="0" applyNumberFormat="1" applyFont="1" applyAlignment="1">
      <alignment horizontal="justify" vertical="top" wrapText="1"/>
    </xf>
    <xf numFmtId="41" fontId="16" fillId="0" borderId="0" xfId="0" applyNumberFormat="1" applyFont="1" applyAlignment="1">
      <alignment vertical="top"/>
    </xf>
    <xf numFmtId="41" fontId="17" fillId="0" borderId="0" xfId="0" quotePrefix="1" applyNumberFormat="1" applyFont="1" applyAlignment="1">
      <alignment vertical="top"/>
    </xf>
    <xf numFmtId="168" fontId="17" fillId="0" borderId="0" xfId="0" applyNumberFormat="1" applyFont="1" applyAlignment="1">
      <alignment horizontal="justify" vertical="top" wrapText="1"/>
    </xf>
    <xf numFmtId="168" fontId="16" fillId="0" borderId="0" xfId="0" applyNumberFormat="1" applyFont="1" applyAlignment="1">
      <alignment horizontal="justify" vertical="top" wrapText="1"/>
    </xf>
    <xf numFmtId="172" fontId="16" fillId="4" borderId="0" xfId="0" applyNumberFormat="1" applyFont="1" applyFill="1"/>
    <xf numFmtId="0" fontId="16" fillId="4" borderId="0" xfId="0" applyFont="1" applyFill="1" applyAlignment="1">
      <alignment horizontal="right" vertical="top"/>
    </xf>
    <xf numFmtId="172" fontId="17" fillId="4" borderId="0" xfId="0" applyNumberFormat="1" applyFont="1" applyFill="1"/>
    <xf numFmtId="0" fontId="17" fillId="4" borderId="0" xfId="0" applyFont="1" applyFill="1" applyAlignment="1">
      <alignment horizontal="right" vertical="top"/>
    </xf>
    <xf numFmtId="168" fontId="16" fillId="4" borderId="3" xfId="0" applyNumberFormat="1" applyFont="1" applyFill="1" applyBorder="1"/>
    <xf numFmtId="167" fontId="16" fillId="4" borderId="0" xfId="0" applyNumberFormat="1" applyFont="1" applyFill="1" applyAlignment="1">
      <alignment vertical="top"/>
    </xf>
    <xf numFmtId="0" fontId="17" fillId="4" borderId="0" xfId="0" applyFont="1" applyFill="1" applyAlignment="1">
      <alignment horizontal="right" vertical="center"/>
    </xf>
    <xf numFmtId="0" fontId="17" fillId="4" borderId="0" xfId="0" applyFont="1" applyFill="1" applyAlignment="1">
      <alignment horizontal="left" vertical="top" wrapText="1"/>
    </xf>
    <xf numFmtId="168" fontId="17" fillId="4" borderId="0" xfId="0" applyNumberFormat="1" applyFont="1" applyFill="1" applyAlignment="1">
      <alignment horizontal="left" vertical="top" wrapText="1"/>
    </xf>
    <xf numFmtId="0" fontId="3" fillId="0" borderId="0" xfId="0" applyFont="1"/>
    <xf numFmtId="165" fontId="3" fillId="0" borderId="0" xfId="0" applyNumberFormat="1" applyFont="1"/>
    <xf numFmtId="0" fontId="3" fillId="0" borderId="0" xfId="0" applyFont="1" applyAlignment="1">
      <alignment horizontal="left" vertical="center"/>
    </xf>
    <xf numFmtId="0" fontId="16" fillId="0" borderId="0" xfId="0" applyFont="1" applyAlignment="1">
      <alignment horizontal="left"/>
    </xf>
    <xf numFmtId="49" fontId="16" fillId="0" borderId="0" xfId="0" applyNumberFormat="1" applyFont="1" applyAlignment="1">
      <alignment horizontal="left"/>
    </xf>
    <xf numFmtId="0" fontId="17" fillId="0" borderId="0" xfId="0" applyFont="1" applyAlignment="1">
      <alignment horizontal="center"/>
    </xf>
    <xf numFmtId="172" fontId="16" fillId="0" borderId="0" xfId="0" quotePrefix="1" applyNumberFormat="1" applyFont="1" applyAlignment="1">
      <alignment horizontal="center" wrapText="1"/>
    </xf>
    <xf numFmtId="169" fontId="28" fillId="0" borderId="0" xfId="0" applyNumberFormat="1" applyFont="1"/>
    <xf numFmtId="0" fontId="21" fillId="0" borderId="0" xfId="0" applyFont="1"/>
    <xf numFmtId="167" fontId="28" fillId="0" borderId="0" xfId="0" applyNumberFormat="1" applyFont="1"/>
    <xf numFmtId="177" fontId="16" fillId="0" borderId="0" xfId="0" applyNumberFormat="1" applyFont="1" applyAlignment="1">
      <alignment vertical="top"/>
    </xf>
    <xf numFmtId="0" fontId="21" fillId="0" borderId="0" xfId="0" applyFont="1" applyAlignment="1">
      <alignment horizontal="left" indent="1"/>
    </xf>
    <xf numFmtId="0" fontId="21" fillId="0" borderId="0" xfId="0" applyFont="1" applyAlignment="1">
      <alignment horizontal="left" wrapText="1" indent="1"/>
    </xf>
    <xf numFmtId="171" fontId="17" fillId="0" borderId="0" xfId="0" applyNumberFormat="1" applyFont="1" applyAlignment="1">
      <alignment vertical="top"/>
    </xf>
    <xf numFmtId="0" fontId="21" fillId="0" borderId="0" xfId="0" quotePrefix="1" applyFont="1" applyAlignment="1">
      <alignment horizontal="left" indent="2"/>
    </xf>
    <xf numFmtId="169" fontId="17" fillId="0" borderId="0" xfId="0" applyNumberFormat="1" applyFont="1" applyAlignment="1">
      <alignment vertical="top"/>
    </xf>
    <xf numFmtId="170" fontId="17" fillId="0" borderId="0" xfId="0" applyNumberFormat="1" applyFont="1" applyAlignment="1">
      <alignment vertical="top"/>
    </xf>
    <xf numFmtId="0" fontId="42" fillId="0" borderId="0" xfId="0" applyFont="1" applyAlignment="1">
      <alignment vertical="top"/>
    </xf>
    <xf numFmtId="49" fontId="27" fillId="0" borderId="0" xfId="0" applyNumberFormat="1" applyFont="1" applyAlignment="1">
      <alignment horizontal="left"/>
    </xf>
    <xf numFmtId="168" fontId="13" fillId="0" borderId="3" xfId="0" applyNumberFormat="1" applyFont="1" applyBorder="1"/>
    <xf numFmtId="0" fontId="21" fillId="0" borderId="0" xfId="0" applyFont="1" applyAlignment="1">
      <alignment vertical="top" wrapText="1"/>
    </xf>
    <xf numFmtId="0" fontId="21" fillId="0" borderId="0" xfId="0" applyFont="1" applyAlignment="1">
      <alignment horizontal="left" vertical="top" wrapText="1"/>
    </xf>
    <xf numFmtId="0" fontId="16" fillId="0" borderId="6" xfId="0" applyFont="1" applyBorder="1" applyAlignment="1">
      <alignment vertical="center" wrapText="1"/>
    </xf>
    <xf numFmtId="0" fontId="16" fillId="0" borderId="6" xfId="0" applyFont="1" applyBorder="1" applyAlignment="1">
      <alignment horizontal="left" vertical="center" wrapText="1"/>
    </xf>
    <xf numFmtId="0" fontId="17" fillId="0" borderId="5" xfId="0" applyFont="1" applyBorder="1" applyAlignment="1">
      <alignment vertical="top" wrapText="1"/>
    </xf>
    <xf numFmtId="165" fontId="17" fillId="0" borderId="5" xfId="0" applyNumberFormat="1" applyFont="1" applyBorder="1" applyAlignment="1">
      <alignment vertical="top"/>
    </xf>
    <xf numFmtId="49" fontId="17" fillId="0" borderId="0" xfId="0" quotePrefix="1" applyNumberFormat="1" applyFont="1" applyAlignment="1">
      <alignment vertical="top"/>
    </xf>
    <xf numFmtId="168" fontId="17" fillId="0" borderId="4" xfId="0" applyNumberFormat="1" applyFont="1" applyBorder="1" applyAlignment="1">
      <alignment horizontal="right" vertical="top" wrapText="1"/>
    </xf>
    <xf numFmtId="168" fontId="17" fillId="0" borderId="0" xfId="0" applyNumberFormat="1" applyFont="1" applyAlignment="1">
      <alignment horizontal="right" vertical="top" wrapText="1"/>
    </xf>
    <xf numFmtId="0" fontId="16" fillId="0" borderId="4" xfId="0" applyFont="1" applyBorder="1" applyAlignment="1">
      <alignment horizontal="left" vertical="center" wrapText="1"/>
    </xf>
    <xf numFmtId="49" fontId="17" fillId="0" borderId="4" xfId="0" applyNumberFormat="1" applyFont="1" applyBorder="1" applyAlignment="1">
      <alignment vertical="top" wrapText="1"/>
    </xf>
    <xf numFmtId="49" fontId="17" fillId="0" borderId="0" xfId="0" applyNumberFormat="1" applyFont="1" applyAlignment="1">
      <alignment horizontal="justify" vertical="top" wrapText="1"/>
    </xf>
    <xf numFmtId="0" fontId="17" fillId="0" borderId="5" xfId="0" applyFont="1" applyBorder="1" applyAlignment="1">
      <alignment horizontal="justify" vertical="top" wrapText="1"/>
    </xf>
    <xf numFmtId="49" fontId="17" fillId="0" borderId="0" xfId="0" applyNumberFormat="1" applyFont="1" applyAlignment="1">
      <alignment vertical="top" wrapText="1"/>
    </xf>
    <xf numFmtId="49" fontId="17" fillId="0" borderId="4" xfId="0" applyNumberFormat="1" applyFont="1" applyBorder="1" applyAlignment="1">
      <alignment vertical="top"/>
    </xf>
    <xf numFmtId="0" fontId="16" fillId="0" borderId="6" xfId="0" applyFont="1" applyBorder="1" applyAlignment="1">
      <alignment vertical="top" wrapText="1"/>
    </xf>
    <xf numFmtId="9" fontId="17" fillId="0" borderId="0" xfId="0" applyNumberFormat="1" applyFont="1" applyAlignment="1">
      <alignment horizontal="left" vertical="top"/>
    </xf>
    <xf numFmtId="49" fontId="16" fillId="0" borderId="0" xfId="0" applyNumberFormat="1" applyFont="1" applyAlignment="1">
      <alignment vertical="top"/>
    </xf>
    <xf numFmtId="49" fontId="17" fillId="0" borderId="6" xfId="0" applyNumberFormat="1" applyFont="1" applyBorder="1" applyAlignment="1">
      <alignment vertical="top"/>
    </xf>
    <xf numFmtId="49" fontId="16" fillId="0" borderId="0" xfId="0" applyNumberFormat="1" applyFont="1" applyAlignment="1">
      <alignment horizontal="left" vertical="top" wrapText="1"/>
    </xf>
    <xf numFmtId="49" fontId="17" fillId="0" borderId="5" xfId="0" applyNumberFormat="1" applyFont="1" applyBorder="1" applyAlignment="1">
      <alignment vertical="top"/>
    </xf>
    <xf numFmtId="49" fontId="16" fillId="0" borderId="0" xfId="0" applyNumberFormat="1" applyFont="1" applyAlignment="1">
      <alignment horizontal="left" vertical="center" wrapText="1"/>
    </xf>
    <xf numFmtId="49" fontId="16" fillId="0" borderId="0" xfId="0" quotePrefix="1" applyNumberFormat="1" applyFont="1" applyAlignment="1">
      <alignment horizontal="left" vertical="center" wrapText="1"/>
    </xf>
    <xf numFmtId="0" fontId="16" fillId="0" borderId="0" xfId="0" quotePrefix="1" applyFont="1" applyAlignment="1">
      <alignment horizontal="left" vertical="center"/>
    </xf>
    <xf numFmtId="0" fontId="16" fillId="0" borderId="5" xfId="0" applyFont="1" applyBorder="1" applyAlignment="1">
      <alignment vertical="top" wrapText="1"/>
    </xf>
    <xf numFmtId="49" fontId="16" fillId="0" borderId="5" xfId="0" applyNumberFormat="1" applyFont="1" applyBorder="1" applyAlignment="1">
      <alignment vertical="top"/>
    </xf>
    <xf numFmtId="168" fontId="13" fillId="0" borderId="0" xfId="0" applyNumberFormat="1" applyFont="1" applyAlignment="1">
      <alignment horizontal="justify" vertical="top" wrapText="1"/>
    </xf>
    <xf numFmtId="168" fontId="27" fillId="0" borderId="0" xfId="0" applyNumberFormat="1" applyFont="1" applyAlignment="1">
      <alignment horizontal="left" vertical="top"/>
    </xf>
    <xf numFmtId="0" fontId="16" fillId="0" borderId="4" xfId="0" applyFont="1" applyBorder="1" applyAlignment="1">
      <alignment horizontal="center" vertical="top" wrapText="1"/>
    </xf>
    <xf numFmtId="0" fontId="17" fillId="0" borderId="4" xfId="0" applyFont="1" applyBorder="1" applyAlignment="1">
      <alignment horizontal="left" vertical="top" wrapText="1"/>
    </xf>
    <xf numFmtId="0" fontId="17" fillId="0" borderId="5" xfId="0" applyFont="1" applyBorder="1" applyAlignment="1">
      <alignment horizontal="left" vertical="top" wrapText="1"/>
    </xf>
    <xf numFmtId="0" fontId="16" fillId="0" borderId="5" xfId="0" applyFont="1" applyBorder="1" applyAlignment="1">
      <alignment horizontal="center" vertical="center" wrapText="1"/>
    </xf>
    <xf numFmtId="168" fontId="13" fillId="0" borderId="0" xfId="0" applyNumberFormat="1" applyFont="1" applyAlignment="1">
      <alignment horizontal="left" vertical="center"/>
    </xf>
    <xf numFmtId="0" fontId="17" fillId="0" borderId="0" xfId="0" applyFont="1" applyAlignment="1">
      <alignment horizontal="left" vertical="top" wrapText="1" indent="1"/>
    </xf>
    <xf numFmtId="168" fontId="16" fillId="0" borderId="3" xfId="0" applyNumberFormat="1" applyFont="1" applyBorder="1" applyAlignment="1">
      <alignment vertical="top" wrapText="1"/>
    </xf>
    <xf numFmtId="37" fontId="17" fillId="0" borderId="0" xfId="0" applyNumberFormat="1" applyFont="1" applyAlignment="1">
      <alignment horizontal="justify" vertical="top" wrapText="1"/>
    </xf>
    <xf numFmtId="37" fontId="17" fillId="0" borderId="0" xfId="0" applyNumberFormat="1" applyFont="1" applyAlignment="1">
      <alignment vertical="top" wrapText="1"/>
    </xf>
    <xf numFmtId="37" fontId="16" fillId="0" borderId="0" xfId="0" applyNumberFormat="1" applyFont="1" applyAlignment="1">
      <alignment horizontal="justify" vertical="top" wrapText="1"/>
    </xf>
    <xf numFmtId="168" fontId="16" fillId="0" borderId="3" xfId="0" quotePrefix="1" applyNumberFormat="1" applyFont="1" applyBorder="1" applyAlignment="1">
      <alignment horizontal="right" vertical="top" shrinkToFit="1"/>
    </xf>
    <xf numFmtId="168" fontId="16" fillId="0" borderId="3" xfId="0" quotePrefix="1" applyNumberFormat="1" applyFont="1" applyBorder="1" applyAlignment="1">
      <alignment horizontal="right" vertical="center" shrinkToFit="1"/>
    </xf>
    <xf numFmtId="168" fontId="13" fillId="0" borderId="3" xfId="0" applyNumberFormat="1" applyFont="1" applyBorder="1" applyAlignment="1">
      <alignment horizontal="right" vertical="top"/>
    </xf>
    <xf numFmtId="168" fontId="16" fillId="0" borderId="3" xfId="0" applyNumberFormat="1" applyFont="1" applyBorder="1" applyAlignment="1">
      <alignment horizontal="right" vertical="center" shrinkToFit="1"/>
    </xf>
    <xf numFmtId="168" fontId="16" fillId="4" borderId="3" xfId="0" applyNumberFormat="1" applyFont="1" applyFill="1" applyBorder="1" applyAlignment="1">
      <alignment horizontal="right" vertical="center" shrinkToFit="1"/>
    </xf>
    <xf numFmtId="1" fontId="16" fillId="0" borderId="5" xfId="0" applyNumberFormat="1" applyFont="1" applyBorder="1" applyAlignment="1">
      <alignment horizontal="center" vertical="center"/>
    </xf>
    <xf numFmtId="49" fontId="13" fillId="0" borderId="5" xfId="0" applyNumberFormat="1" applyFont="1" applyBorder="1" applyAlignment="1">
      <alignment vertical="center"/>
    </xf>
    <xf numFmtId="165" fontId="16" fillId="0" borderId="5" xfId="0" applyNumberFormat="1" applyFont="1" applyBorder="1" applyAlignment="1">
      <alignment horizontal="left" vertical="center" wrapText="1"/>
    </xf>
    <xf numFmtId="49" fontId="17" fillId="0" borderId="0" xfId="0" applyNumberFormat="1" applyFont="1" applyAlignment="1" applyProtection="1">
      <alignment horizontal="right" vertical="top"/>
      <protection locked="0"/>
    </xf>
    <xf numFmtId="1" fontId="16" fillId="0" borderId="0" xfId="0" applyNumberFormat="1" applyFont="1" applyAlignment="1">
      <alignment horizontal="right"/>
    </xf>
    <xf numFmtId="168" fontId="16" fillId="4" borderId="3" xfId="0" quotePrefix="1" applyNumberFormat="1" applyFont="1" applyFill="1" applyBorder="1" applyAlignment="1">
      <alignment horizontal="right" vertical="center" shrinkToFit="1"/>
    </xf>
    <xf numFmtId="168" fontId="17" fillId="0" borderId="6" xfId="0" quotePrefix="1" applyNumberFormat="1" applyFont="1" applyBorder="1" applyAlignment="1">
      <alignment horizontal="right" vertical="center" shrinkToFit="1"/>
    </xf>
    <xf numFmtId="168" fontId="17" fillId="0" borderId="4" xfId="0" quotePrefix="1" applyNumberFormat="1" applyFont="1" applyBorder="1" applyAlignment="1">
      <alignment horizontal="center" vertical="top" shrinkToFit="1"/>
    </xf>
    <xf numFmtId="168" fontId="17" fillId="0" borderId="4" xfId="0" quotePrefix="1" applyNumberFormat="1" applyFont="1" applyBorder="1" applyAlignment="1">
      <alignment horizontal="right" vertical="top" shrinkToFit="1"/>
    </xf>
    <xf numFmtId="168" fontId="16" fillId="0" borderId="3" xfId="0" quotePrefix="1" applyNumberFormat="1" applyFont="1" applyBorder="1" applyAlignment="1">
      <alignment horizontal="center" vertical="center" shrinkToFit="1"/>
    </xf>
    <xf numFmtId="168" fontId="16" fillId="4" borderId="3" xfId="0" quotePrefix="1" applyNumberFormat="1" applyFont="1" applyFill="1" applyBorder="1" applyAlignment="1">
      <alignment horizontal="right" vertical="top" shrinkToFit="1"/>
    </xf>
    <xf numFmtId="168" fontId="13" fillId="4" borderId="6" xfId="0" applyNumberFormat="1" applyFont="1" applyFill="1" applyBorder="1" applyAlignment="1">
      <alignment horizontal="center" vertical="center"/>
    </xf>
    <xf numFmtId="168" fontId="16" fillId="4" borderId="6" xfId="0" applyNumberFormat="1" applyFont="1" applyFill="1" applyBorder="1" applyAlignment="1">
      <alignment horizontal="left" vertical="center"/>
    </xf>
    <xf numFmtId="0" fontId="16" fillId="0" borderId="0" xfId="0" applyFont="1" applyAlignment="1">
      <alignment horizontal="right" vertical="center" indent="1"/>
    </xf>
    <xf numFmtId="168" fontId="17" fillId="0" borderId="0" xfId="0" quotePrefix="1" applyNumberFormat="1" applyFont="1" applyAlignment="1">
      <alignment vertical="top"/>
    </xf>
    <xf numFmtId="168" fontId="17" fillId="0" borderId="5" xfId="0" applyNumberFormat="1" applyFont="1" applyBorder="1" applyAlignment="1">
      <alignment horizontal="right"/>
    </xf>
    <xf numFmtId="168" fontId="17" fillId="0" borderId="4" xfId="1" applyNumberFormat="1" applyFont="1" applyFill="1" applyBorder="1" applyAlignment="1">
      <alignment vertical="top"/>
    </xf>
    <xf numFmtId="168" fontId="17" fillId="0" borderId="0" xfId="1" applyNumberFormat="1" applyFont="1" applyFill="1" applyBorder="1" applyAlignment="1">
      <alignment vertical="top"/>
    </xf>
    <xf numFmtId="168" fontId="17" fillId="0" borderId="0" xfId="1" applyNumberFormat="1" applyFont="1" applyFill="1" applyBorder="1" applyAlignment="1">
      <alignment horizontal="right" vertical="top"/>
    </xf>
    <xf numFmtId="168" fontId="17" fillId="0" borderId="5" xfId="1" applyNumberFormat="1" applyFont="1" applyFill="1" applyBorder="1" applyAlignment="1">
      <alignment horizontal="right" vertical="top"/>
    </xf>
    <xf numFmtId="168" fontId="17" fillId="0" borderId="4" xfId="1" applyNumberFormat="1" applyFont="1" applyFill="1" applyBorder="1" applyAlignment="1">
      <alignment vertical="top" wrapText="1"/>
    </xf>
    <xf numFmtId="168" fontId="17" fillId="0" borderId="5" xfId="1" applyNumberFormat="1" applyFont="1" applyFill="1" applyBorder="1" applyAlignment="1">
      <alignment vertical="top" wrapText="1"/>
    </xf>
    <xf numFmtId="168" fontId="17" fillId="0" borderId="0" xfId="1" applyNumberFormat="1" applyFont="1" applyFill="1" applyBorder="1" applyAlignment="1">
      <alignment vertical="top" wrapText="1"/>
    </xf>
    <xf numFmtId="168" fontId="17" fillId="0" borderId="0" xfId="1" applyNumberFormat="1" applyFont="1" applyFill="1" applyAlignment="1">
      <alignment vertical="top"/>
    </xf>
    <xf numFmtId="168" fontId="16" fillId="0" borderId="0" xfId="1" applyNumberFormat="1" applyFont="1" applyBorder="1" applyAlignment="1">
      <alignment horizontal="right"/>
    </xf>
    <xf numFmtId="168" fontId="41" fillId="0" borderId="0" xfId="1" applyNumberFormat="1" applyFont="1" applyBorder="1" applyAlignment="1">
      <alignment horizontal="right"/>
    </xf>
    <xf numFmtId="168" fontId="17" fillId="0" borderId="0" xfId="1" applyNumberFormat="1" applyFont="1" applyBorder="1" applyAlignment="1">
      <alignment horizontal="center"/>
    </xf>
    <xf numFmtId="168" fontId="28" fillId="0" borderId="0" xfId="1" applyNumberFormat="1" applyFont="1" applyBorder="1"/>
    <xf numFmtId="168" fontId="17" fillId="0" borderId="0" xfId="1" applyNumberFormat="1" applyFont="1" applyFill="1" applyBorder="1"/>
    <xf numFmtId="168" fontId="28" fillId="0" borderId="6" xfId="1" applyNumberFormat="1" applyFont="1" applyFill="1" applyBorder="1"/>
    <xf numFmtId="168" fontId="28" fillId="0" borderId="0" xfId="1" applyNumberFormat="1" applyFont="1" applyFill="1" applyBorder="1"/>
    <xf numFmtId="168" fontId="21" fillId="0" borderId="0" xfId="1" applyNumberFormat="1" applyFont="1" applyFill="1" applyBorder="1"/>
    <xf numFmtId="168" fontId="17" fillId="0" borderId="0" xfId="1" applyNumberFormat="1" applyFont="1" applyFill="1" applyBorder="1" applyAlignment="1">
      <alignment horizontal="right"/>
    </xf>
    <xf numFmtId="168" fontId="28" fillId="0" borderId="4" xfId="1" applyNumberFormat="1" applyFont="1" applyFill="1" applyBorder="1"/>
    <xf numFmtId="168" fontId="16" fillId="0" borderId="0" xfId="1" applyNumberFormat="1" applyFont="1" applyFill="1" applyBorder="1"/>
    <xf numFmtId="168" fontId="17" fillId="0" borderId="0" xfId="1" quotePrefix="1" applyNumberFormat="1" applyFont="1" applyFill="1" applyBorder="1"/>
    <xf numFmtId="168" fontId="16" fillId="0" borderId="6" xfId="1" applyNumberFormat="1" applyFont="1" applyFill="1" applyBorder="1"/>
    <xf numFmtId="168" fontId="16" fillId="0" borderId="3" xfId="1" applyNumberFormat="1" applyFont="1" applyFill="1" applyBorder="1"/>
    <xf numFmtId="168" fontId="17" fillId="0" borderId="0" xfId="1" applyNumberFormat="1" applyFont="1" applyBorder="1"/>
    <xf numFmtId="168" fontId="17" fillId="0" borderId="0" xfId="1" applyNumberFormat="1" applyFont="1" applyAlignment="1">
      <alignment vertical="top"/>
    </xf>
    <xf numFmtId="168" fontId="13" fillId="0" borderId="0" xfId="1" applyNumberFormat="1" applyFont="1" applyAlignment="1">
      <alignment horizontal="right" vertical="top"/>
    </xf>
    <xf numFmtId="168" fontId="17" fillId="0" borderId="0" xfId="1" applyNumberFormat="1" applyFont="1" applyAlignment="1" applyProtection="1">
      <alignment vertical="top"/>
      <protection locked="0"/>
    </xf>
    <xf numFmtId="168" fontId="16" fillId="0" borderId="0" xfId="1" applyNumberFormat="1" applyFont="1" applyAlignment="1" applyProtection="1">
      <alignment horizontal="right" vertical="top"/>
      <protection locked="0"/>
    </xf>
    <xf numFmtId="168" fontId="17" fillId="0" borderId="0" xfId="1" applyNumberFormat="1" applyFont="1" applyAlignment="1" applyProtection="1">
      <alignment horizontal="right" vertical="top"/>
      <protection locked="0"/>
    </xf>
    <xf numFmtId="168" fontId="17" fillId="0" borderId="0" xfId="1" applyNumberFormat="1" applyFont="1"/>
    <xf numFmtId="168" fontId="17" fillId="0" borderId="0" xfId="1" applyNumberFormat="1" applyFont="1" applyBorder="1" applyAlignment="1">
      <alignment vertical="top"/>
    </xf>
    <xf numFmtId="168" fontId="16" fillId="0" borderId="5" xfId="1" applyNumberFormat="1" applyFont="1" applyFill="1" applyBorder="1" applyAlignment="1">
      <alignment horizontal="right" vertical="center" wrapText="1"/>
    </xf>
    <xf numFmtId="168" fontId="17" fillId="4" borderId="0" xfId="0" applyNumberFormat="1" applyFont="1" applyFill="1" applyAlignment="1">
      <alignment horizontal="right" vertical="center"/>
    </xf>
    <xf numFmtId="173" fontId="16" fillId="0" borderId="0" xfId="0" applyNumberFormat="1" applyFont="1" applyAlignment="1">
      <alignment horizontal="left" vertical="center" wrapText="1"/>
    </xf>
    <xf numFmtId="172" fontId="16" fillId="4" borderId="5" xfId="0" quotePrefix="1" applyNumberFormat="1" applyFont="1" applyFill="1" applyBorder="1" applyAlignment="1">
      <alignment horizontal="right" vertical="top" wrapText="1"/>
    </xf>
    <xf numFmtId="173" fontId="16" fillId="0" borderId="5" xfId="0" applyNumberFormat="1" applyFont="1" applyBorder="1" applyAlignment="1">
      <alignment horizontal="right" vertical="top" wrapText="1"/>
    </xf>
    <xf numFmtId="49" fontId="17" fillId="0" borderId="0" xfId="0" applyNumberFormat="1" applyFont="1" applyAlignment="1">
      <alignment horizontal="center" vertical="center"/>
    </xf>
    <xf numFmtId="49" fontId="16" fillId="0" borderId="0" xfId="0" applyNumberFormat="1" applyFont="1" applyAlignment="1">
      <alignment horizontal="center" vertical="center" wrapText="1"/>
    </xf>
    <xf numFmtId="49" fontId="16" fillId="0" borderId="0" xfId="0" applyNumberFormat="1" applyFont="1" applyAlignment="1">
      <alignment horizontal="center" vertical="center"/>
    </xf>
    <xf numFmtId="165" fontId="17" fillId="0" borderId="4" xfId="0" applyNumberFormat="1" applyFont="1" applyBorder="1" applyAlignment="1">
      <alignment horizontal="right" vertical="top"/>
    </xf>
    <xf numFmtId="165" fontId="17" fillId="0" borderId="5" xfId="0" applyNumberFormat="1" applyFont="1" applyBorder="1" applyAlignment="1">
      <alignment horizontal="right" vertical="top"/>
    </xf>
    <xf numFmtId="49" fontId="27" fillId="0" borderId="0" xfId="0" applyNumberFormat="1" applyFont="1" applyAlignment="1">
      <alignment horizontal="left" vertical="center"/>
    </xf>
    <xf numFmtId="49" fontId="16" fillId="0" borderId="6" xfId="0" applyNumberFormat="1" applyFont="1" applyBorder="1" applyAlignment="1">
      <alignment horizontal="right" vertical="center" wrapText="1"/>
    </xf>
    <xf numFmtId="0" fontId="16" fillId="0" borderId="6" xfId="0" applyFont="1" applyBorder="1" applyAlignment="1">
      <alignment horizontal="right" vertical="center" wrapText="1"/>
    </xf>
    <xf numFmtId="175" fontId="17" fillId="0" borderId="0" xfId="0" applyNumberFormat="1" applyFont="1" applyAlignment="1">
      <alignment horizontal="right" vertical="top"/>
    </xf>
    <xf numFmtId="167" fontId="16" fillId="0" borderId="5" xfId="0" quotePrefix="1" applyNumberFormat="1" applyFont="1" applyBorder="1" applyAlignment="1">
      <alignment horizontal="right" vertical="center" wrapText="1" shrinkToFit="1"/>
    </xf>
    <xf numFmtId="168" fontId="16" fillId="0" borderId="5" xfId="0" applyNumberFormat="1" applyFont="1" applyBorder="1" applyAlignment="1">
      <alignment horizontal="right" vertical="center" wrapText="1" shrinkToFit="1"/>
    </xf>
    <xf numFmtId="172" fontId="16" fillId="0" borderId="5" xfId="0" quotePrefix="1" applyNumberFormat="1" applyFont="1" applyBorder="1" applyAlignment="1">
      <alignment horizontal="right" vertical="center" wrapText="1" shrinkToFit="1"/>
    </xf>
    <xf numFmtId="168" fontId="17" fillId="0" borderId="0" xfId="1" applyNumberFormat="1" applyFont="1" applyAlignment="1">
      <alignment horizontal="right" vertical="center" wrapText="1"/>
    </xf>
    <xf numFmtId="0" fontId="26" fillId="0" borderId="5" xfId="0" applyFont="1" applyBorder="1" applyAlignment="1">
      <alignment vertical="top" wrapText="1"/>
    </xf>
    <xf numFmtId="168" fontId="25" fillId="0" borderId="0" xfId="0" applyNumberFormat="1" applyFont="1" applyAlignment="1">
      <alignment horizontal="center" vertical="center"/>
    </xf>
    <xf numFmtId="172" fontId="16" fillId="0" borderId="5" xfId="0" quotePrefix="1" applyNumberFormat="1" applyFont="1" applyBorder="1" applyAlignment="1">
      <alignment horizontal="right" vertical="center" wrapText="1"/>
    </xf>
    <xf numFmtId="0" fontId="16" fillId="0" borderId="0" xfId="0" applyFont="1" applyAlignment="1">
      <alignment vertical="center" wrapText="1"/>
    </xf>
    <xf numFmtId="0" fontId="21" fillId="0" borderId="0" xfId="0" applyFont="1" applyAlignment="1">
      <alignment horizontal="left" vertical="top"/>
    </xf>
    <xf numFmtId="0" fontId="16" fillId="0" borderId="6" xfId="0" applyFont="1" applyBorder="1" applyAlignment="1">
      <alignment horizontal="left" vertical="top"/>
    </xf>
    <xf numFmtId="49" fontId="16" fillId="0" borderId="6" xfId="0" applyNumberFormat="1" applyFont="1" applyBorder="1" applyAlignment="1">
      <alignment horizontal="left" vertical="center" wrapText="1"/>
    </xf>
    <xf numFmtId="49" fontId="17" fillId="0" borderId="0" xfId="0" applyNumberFormat="1" applyFont="1" applyAlignment="1">
      <alignment horizontal="left" vertical="top" wrapText="1"/>
    </xf>
    <xf numFmtId="0" fontId="32" fillId="0" borderId="0" xfId="0" applyFont="1" applyAlignment="1">
      <alignment horizontal="center" vertical="top"/>
    </xf>
    <xf numFmtId="176" fontId="16" fillId="0" borderId="0" xfId="0" applyNumberFormat="1" applyFont="1" applyAlignment="1">
      <alignment horizontal="center" vertical="center"/>
    </xf>
    <xf numFmtId="0" fontId="16" fillId="0" borderId="4" xfId="0" applyFont="1" applyBorder="1" applyAlignment="1">
      <alignment horizontal="left" vertical="top" wrapText="1"/>
    </xf>
    <xf numFmtId="0" fontId="17" fillId="0" borderId="4" xfId="0" applyFont="1" applyBorder="1" applyAlignment="1">
      <alignment vertical="top" wrapText="1"/>
    </xf>
    <xf numFmtId="9" fontId="16" fillId="0" borderId="6" xfId="0" applyNumberFormat="1" applyFont="1" applyBorder="1" applyAlignment="1">
      <alignment horizontal="center" vertical="center" wrapText="1"/>
    </xf>
    <xf numFmtId="9" fontId="16" fillId="0" borderId="6" xfId="0" applyNumberFormat="1" applyFont="1" applyBorder="1" applyAlignment="1">
      <alignment horizontal="center"/>
    </xf>
    <xf numFmtId="168" fontId="16" fillId="0" borderId="6" xfId="0" quotePrefix="1" applyNumberFormat="1" applyFont="1" applyBorder="1" applyAlignment="1">
      <alignment horizontal="right" vertical="center" wrapText="1" shrinkToFit="1"/>
    </xf>
    <xf numFmtId="175" fontId="17" fillId="0" borderId="4" xfId="0" applyNumberFormat="1" applyFont="1" applyBorder="1" applyAlignment="1">
      <alignment horizontal="right" vertical="top"/>
    </xf>
    <xf numFmtId="168" fontId="16" fillId="0" borderId="6" xfId="0" applyNumberFormat="1" applyFont="1" applyBorder="1" applyAlignment="1">
      <alignment horizontal="justify" vertical="top" wrapText="1"/>
    </xf>
    <xf numFmtId="41" fontId="16" fillId="0" borderId="6" xfId="0" applyNumberFormat="1" applyFont="1" applyBorder="1" applyAlignment="1">
      <alignment vertical="top"/>
    </xf>
    <xf numFmtId="41" fontId="16" fillId="0" borderId="6" xfId="0" applyNumberFormat="1" applyFont="1" applyBorder="1" applyAlignment="1">
      <alignment horizontal="justify" vertical="top" wrapText="1"/>
    </xf>
    <xf numFmtId="168" fontId="16" fillId="4" borderId="0" xfId="0" applyNumberFormat="1" applyFont="1" applyFill="1" applyAlignment="1">
      <alignment horizontal="right" vertical="top" wrapText="1"/>
    </xf>
    <xf numFmtId="3" fontId="17" fillId="0" borderId="0" xfId="0" applyNumberFormat="1" applyFont="1" applyAlignment="1">
      <alignment horizontal="right" vertical="top"/>
    </xf>
    <xf numFmtId="0" fontId="17" fillId="0" borderId="6" xfId="0" applyFont="1" applyBorder="1" applyAlignment="1">
      <alignment horizontal="right" vertical="top"/>
    </xf>
    <xf numFmtId="0" fontId="17" fillId="0" borderId="0" xfId="0" applyFont="1" applyAlignment="1">
      <alignment horizontal="right" vertical="top" wrapText="1"/>
    </xf>
    <xf numFmtId="175" fontId="17" fillId="0" borderId="5" xfId="0" applyNumberFormat="1" applyFont="1" applyBorder="1" applyAlignment="1">
      <alignment horizontal="right" vertical="top"/>
    </xf>
    <xf numFmtId="0" fontId="17" fillId="0" borderId="5" xfId="0" applyFont="1" applyBorder="1" applyAlignment="1">
      <alignment horizontal="right" vertical="top"/>
    </xf>
    <xf numFmtId="49" fontId="16" fillId="0" borderId="0" xfId="0" applyNumberFormat="1" applyFont="1" applyAlignment="1">
      <alignment horizontal="right" vertical="top" wrapText="1"/>
    </xf>
    <xf numFmtId="176" fontId="16" fillId="0" borderId="0" xfId="0" applyNumberFormat="1" applyFont="1" applyAlignment="1">
      <alignment horizontal="right" vertical="center"/>
    </xf>
    <xf numFmtId="167" fontId="16" fillId="0" borderId="0" xfId="0" applyNumberFormat="1" applyFont="1" applyAlignment="1">
      <alignment horizontal="right" vertical="center" wrapText="1"/>
    </xf>
    <xf numFmtId="0" fontId="32" fillId="0" borderId="0" xfId="0" applyFont="1" applyAlignment="1">
      <alignment horizontal="right" vertical="top"/>
    </xf>
    <xf numFmtId="0" fontId="21" fillId="0" borderId="0" xfId="0" applyFont="1" applyAlignment="1">
      <alignment horizontal="left"/>
    </xf>
    <xf numFmtId="0" fontId="21" fillId="0" borderId="0" xfId="0" applyFont="1" applyAlignment="1">
      <alignment horizontal="left" wrapText="1"/>
    </xf>
    <xf numFmtId="0" fontId="21" fillId="0" borderId="0" xfId="0" quotePrefix="1" applyFont="1" applyAlignment="1">
      <alignment horizontal="left" indent="1"/>
    </xf>
    <xf numFmtId="0" fontId="16" fillId="4" borderId="0" xfId="0" applyFont="1" applyFill="1" applyAlignment="1">
      <alignment vertical="center" wrapText="1"/>
    </xf>
    <xf numFmtId="49" fontId="17" fillId="0" borderId="5" xfId="0" applyNumberFormat="1" applyFont="1" applyBorder="1" applyAlignment="1">
      <alignment horizontal="left" vertical="top"/>
    </xf>
    <xf numFmtId="49" fontId="17" fillId="0" borderId="4" xfId="0" applyNumberFormat="1" applyFont="1" applyBorder="1" applyAlignment="1">
      <alignment horizontal="left" vertical="top" wrapText="1"/>
    </xf>
    <xf numFmtId="49" fontId="17" fillId="0" borderId="5" xfId="0" applyNumberFormat="1" applyFont="1" applyBorder="1" applyAlignment="1">
      <alignment horizontal="left" vertical="top" wrapText="1"/>
    </xf>
    <xf numFmtId="165" fontId="17" fillId="0" borderId="4" xfId="0" applyNumberFormat="1" applyFont="1" applyBorder="1" applyAlignment="1">
      <alignment vertical="top"/>
    </xf>
    <xf numFmtId="165" fontId="17" fillId="0" borderId="0" xfId="0" applyNumberFormat="1" applyFont="1" applyAlignment="1">
      <alignment horizontal="left" vertical="top"/>
    </xf>
    <xf numFmtId="168" fontId="7" fillId="0" borderId="0" xfId="0" applyNumberFormat="1" applyFont="1"/>
    <xf numFmtId="167" fontId="17" fillId="0" borderId="0" xfId="1" applyFont="1" applyAlignment="1">
      <alignment horizontal="right" vertical="top"/>
    </xf>
    <xf numFmtId="168" fontId="16" fillId="0" borderId="4" xfId="1" applyNumberFormat="1" applyFont="1" applyBorder="1" applyAlignment="1">
      <alignment vertical="center"/>
    </xf>
    <xf numFmtId="0" fontId="2" fillId="0" borderId="0" xfId="0" applyFont="1"/>
    <xf numFmtId="167" fontId="17" fillId="0" borderId="0" xfId="1" applyFont="1"/>
    <xf numFmtId="167" fontId="17" fillId="0" borderId="0" xfId="1" applyFont="1" applyAlignment="1">
      <alignment horizontal="justify" vertical="top" wrapText="1"/>
    </xf>
    <xf numFmtId="167" fontId="17" fillId="0" borderId="0" xfId="0" applyNumberFormat="1" applyFont="1" applyAlignment="1">
      <alignment horizontal="justify" vertical="top" wrapText="1"/>
    </xf>
    <xf numFmtId="168" fontId="17" fillId="0" borderId="0" xfId="1" applyNumberFormat="1" applyFont="1" applyAlignment="1">
      <alignment horizontal="right" vertical="center"/>
    </xf>
    <xf numFmtId="168" fontId="32" fillId="0" borderId="0" xfId="0" quotePrefix="1" applyNumberFormat="1" applyFont="1" applyAlignment="1">
      <alignment horizontal="center" vertical="center" shrinkToFit="1"/>
    </xf>
    <xf numFmtId="168" fontId="16" fillId="0" borderId="0" xfId="0" quotePrefix="1" applyNumberFormat="1" applyFont="1" applyAlignment="1">
      <alignment horizontal="center" wrapText="1" shrinkToFit="1"/>
    </xf>
    <xf numFmtId="168" fontId="23" fillId="0" borderId="0" xfId="0" applyNumberFormat="1" applyFont="1"/>
    <xf numFmtId="180" fontId="17" fillId="0" borderId="0" xfId="0" applyNumberFormat="1" applyFont="1" applyAlignment="1">
      <alignment vertical="top"/>
    </xf>
    <xf numFmtId="168" fontId="2" fillId="0" borderId="0" xfId="0" applyNumberFormat="1" applyFont="1"/>
    <xf numFmtId="43" fontId="7" fillId="0" borderId="0" xfId="0" applyNumberFormat="1" applyFont="1"/>
    <xf numFmtId="0" fontId="7" fillId="0" borderId="0" xfId="0" applyFont="1"/>
    <xf numFmtId="167" fontId="7" fillId="0" borderId="0" xfId="0" applyNumberFormat="1" applyFont="1"/>
    <xf numFmtId="165" fontId="8" fillId="0" borderId="0" xfId="0" applyNumberFormat="1" applyFont="1" applyAlignment="1">
      <alignment horizontal="center" vertical="center"/>
    </xf>
    <xf numFmtId="37" fontId="8" fillId="0" borderId="3" xfId="0" applyNumberFormat="1" applyFont="1" applyBorder="1" applyAlignment="1">
      <alignment horizontal="center"/>
    </xf>
    <xf numFmtId="167" fontId="8" fillId="0" borderId="3" xfId="0" applyNumberFormat="1" applyFont="1" applyBorder="1" applyAlignment="1">
      <alignment horizontal="center"/>
    </xf>
    <xf numFmtId="168" fontId="8" fillId="0" borderId="3" xfId="0" applyNumberFormat="1" applyFont="1" applyBorder="1" applyAlignment="1">
      <alignment horizontal="center"/>
    </xf>
    <xf numFmtId="168" fontId="8" fillId="0" borderId="4" xfId="0" applyNumberFormat="1" applyFont="1" applyBorder="1" applyAlignment="1">
      <alignment horizontal="center"/>
    </xf>
    <xf numFmtId="49" fontId="7" fillId="0" borderId="0" xfId="0" applyNumberFormat="1" applyFont="1"/>
    <xf numFmtId="49" fontId="10" fillId="0" borderId="0" xfId="0" quotePrefix="1" applyNumberFormat="1" applyFont="1"/>
    <xf numFmtId="0" fontId="10" fillId="0" borderId="0" xfId="0" applyFont="1"/>
    <xf numFmtId="49" fontId="11" fillId="0" borderId="0" xfId="0" applyNumberFormat="1" applyFont="1"/>
    <xf numFmtId="10" fontId="7" fillId="0" borderId="0" xfId="0" applyNumberFormat="1" applyFont="1"/>
    <xf numFmtId="0" fontId="7" fillId="0" borderId="0" xfId="0" quotePrefix="1" applyFont="1"/>
    <xf numFmtId="49" fontId="8" fillId="0" borderId="0" xfId="0" applyNumberFormat="1" applyFont="1"/>
    <xf numFmtId="175" fontId="8" fillId="0" borderId="0" xfId="0" applyNumberFormat="1" applyFont="1"/>
    <xf numFmtId="168" fontId="8" fillId="0" borderId="0" xfId="0" applyNumberFormat="1" applyFont="1" applyAlignment="1">
      <alignment vertical="center"/>
    </xf>
    <xf numFmtId="17" fontId="8" fillId="0" borderId="16" xfId="0" applyNumberFormat="1" applyFont="1" applyBorder="1" applyAlignment="1">
      <alignment horizontal="center"/>
    </xf>
    <xf numFmtId="168" fontId="8" fillId="0" borderId="13" xfId="0" applyNumberFormat="1" applyFont="1" applyBorder="1" applyAlignment="1">
      <alignment horizontal="center"/>
    </xf>
    <xf numFmtId="168" fontId="7" fillId="0" borderId="7" xfId="0" applyNumberFormat="1" applyFont="1" applyBorder="1"/>
    <xf numFmtId="168" fontId="7" fillId="0" borderId="9" xfId="0" applyNumberFormat="1" applyFont="1" applyBorder="1"/>
    <xf numFmtId="17" fontId="8" fillId="0" borderId="18" xfId="0" applyNumberFormat="1" applyFont="1" applyBorder="1" applyAlignment="1">
      <alignment horizontal="center"/>
    </xf>
    <xf numFmtId="168" fontId="8" fillId="0" borderId="18" xfId="0" applyNumberFormat="1" applyFont="1" applyBorder="1" applyAlignment="1">
      <alignment horizontal="center"/>
    </xf>
    <xf numFmtId="168" fontId="8" fillId="0" borderId="12" xfId="0" applyNumberFormat="1" applyFont="1" applyBorder="1" applyAlignment="1">
      <alignment horizontal="center"/>
    </xf>
    <xf numFmtId="168" fontId="23" fillId="0" borderId="8" xfId="0" applyNumberFormat="1" applyFont="1" applyBorder="1"/>
    <xf numFmtId="168" fontId="7" fillId="0" borderId="1" xfId="0" applyNumberFormat="1" applyFont="1" applyBorder="1"/>
    <xf numFmtId="167" fontId="7" fillId="0" borderId="1" xfId="0" applyNumberFormat="1" applyFont="1" applyBorder="1"/>
    <xf numFmtId="168" fontId="23" fillId="0" borderId="1" xfId="0" applyNumberFormat="1" applyFont="1" applyBorder="1" applyAlignment="1">
      <alignment vertical="center"/>
    </xf>
    <xf numFmtId="168" fontId="11" fillId="0" borderId="0" xfId="0" applyNumberFormat="1" applyFont="1"/>
    <xf numFmtId="167" fontId="11" fillId="0" borderId="0" xfId="0" applyNumberFormat="1" applyFont="1"/>
    <xf numFmtId="168" fontId="8" fillId="0" borderId="0" xfId="0" applyNumberFormat="1" applyFont="1" applyAlignment="1">
      <alignment horizontal="center"/>
    </xf>
    <xf numFmtId="0" fontId="45" fillId="0" borderId="0" xfId="0" applyFont="1"/>
    <xf numFmtId="168" fontId="45" fillId="0" borderId="0" xfId="1" applyNumberFormat="1" applyFont="1"/>
    <xf numFmtId="168" fontId="45" fillId="0" borderId="0" xfId="0" applyNumberFormat="1" applyFont="1"/>
    <xf numFmtId="167" fontId="45" fillId="0" borderId="0" xfId="1" applyFont="1"/>
    <xf numFmtId="167" fontId="45" fillId="0" borderId="0" xfId="0" applyNumberFormat="1" applyFont="1"/>
    <xf numFmtId="0" fontId="46" fillId="0" borderId="2" xfId="0" applyFont="1" applyBorder="1"/>
    <xf numFmtId="0" fontId="45" fillId="0" borderId="8" xfId="0" applyFont="1" applyBorder="1" applyAlignment="1">
      <alignment horizontal="left"/>
    </xf>
    <xf numFmtId="0" fontId="45" fillId="0" borderId="8" xfId="0" applyFont="1" applyBorder="1"/>
    <xf numFmtId="167" fontId="45" fillId="0" borderId="8" xfId="0" applyNumberFormat="1" applyFont="1" applyBorder="1"/>
    <xf numFmtId="49" fontId="45" fillId="0" borderId="8" xfId="0" applyNumberFormat="1" applyFont="1" applyBorder="1" applyAlignment="1">
      <alignment horizontal="left"/>
    </xf>
    <xf numFmtId="0" fontId="46" fillId="0" borderId="8" xfId="0" applyFont="1" applyBorder="1" applyAlignment="1">
      <alignment horizontal="left"/>
    </xf>
    <xf numFmtId="168" fontId="45" fillId="0" borderId="8" xfId="1" applyNumberFormat="1" applyFont="1" applyBorder="1"/>
    <xf numFmtId="168" fontId="45" fillId="0" borderId="8" xfId="0" applyNumberFormat="1" applyFont="1" applyBorder="1"/>
    <xf numFmtId="167" fontId="45" fillId="0" borderId="8" xfId="1" applyFont="1" applyBorder="1"/>
    <xf numFmtId="0" fontId="46" fillId="0" borderId="1" xfId="0" applyFont="1" applyBorder="1"/>
    <xf numFmtId="0" fontId="46" fillId="0" borderId="1" xfId="0" applyFont="1" applyBorder="1" applyAlignment="1">
      <alignment horizontal="left"/>
    </xf>
    <xf numFmtId="167" fontId="7" fillId="0" borderId="0" xfId="1" applyFont="1" applyFill="1"/>
    <xf numFmtId="168" fontId="7" fillId="0" borderId="0" xfId="1" applyNumberFormat="1" applyFont="1" applyFill="1"/>
    <xf numFmtId="168" fontId="16" fillId="0" borderId="0" xfId="0" quotePrefix="1" applyNumberFormat="1" applyFont="1" applyAlignment="1">
      <alignment vertical="center" wrapText="1"/>
    </xf>
    <xf numFmtId="49" fontId="16" fillId="0" borderId="0" xfId="0" quotePrefix="1" applyNumberFormat="1" applyFont="1" applyAlignment="1">
      <alignment vertical="center"/>
    </xf>
    <xf numFmtId="167" fontId="16" fillId="0" borderId="0" xfId="0" quotePrefix="1" applyNumberFormat="1" applyFont="1" applyAlignment="1">
      <alignment vertical="center"/>
    </xf>
    <xf numFmtId="167" fontId="16" fillId="0" borderId="0" xfId="0" applyNumberFormat="1" applyFont="1" applyAlignment="1">
      <alignment horizontal="left" vertical="top" wrapText="1"/>
    </xf>
    <xf numFmtId="49" fontId="17" fillId="0" borderId="0" xfId="0" applyNumberFormat="1" applyFont="1" applyAlignment="1">
      <alignment horizontal="left" vertical="center"/>
    </xf>
    <xf numFmtId="168" fontId="16" fillId="0" borderId="5" xfId="0" quotePrefix="1" applyNumberFormat="1" applyFont="1" applyBorder="1" applyAlignment="1">
      <alignment horizontal="center" vertical="top" wrapText="1" shrinkToFit="1"/>
    </xf>
    <xf numFmtId="0" fontId="45" fillId="0" borderId="8" xfId="0" applyFont="1" applyBorder="1" applyAlignment="1">
      <alignment horizontal="right"/>
    </xf>
    <xf numFmtId="168" fontId="2" fillId="0" borderId="0" xfId="0" applyNumberFormat="1" applyFont="1" applyAlignment="1">
      <alignment vertical="top"/>
    </xf>
    <xf numFmtId="49" fontId="17" fillId="0" borderId="0" xfId="0" quotePrefix="1" applyNumberFormat="1" applyFont="1" applyAlignment="1">
      <alignment horizontal="left" vertical="center"/>
    </xf>
    <xf numFmtId="0" fontId="17" fillId="0" borderId="0" xfId="4" applyNumberFormat="1" applyFont="1" applyAlignment="1">
      <alignment horizontal="left" vertical="top"/>
    </xf>
    <xf numFmtId="168" fontId="16" fillId="0" borderId="9" xfId="0" applyNumberFormat="1" applyFont="1" applyBorder="1"/>
    <xf numFmtId="168" fontId="16" fillId="0" borderId="9" xfId="1" applyNumberFormat="1" applyFont="1" applyFill="1" applyBorder="1"/>
    <xf numFmtId="167" fontId="45" fillId="0" borderId="8" xfId="1" applyFont="1" applyFill="1" applyBorder="1"/>
    <xf numFmtId="167" fontId="17" fillId="0" borderId="0" xfId="1" applyFont="1" applyAlignment="1">
      <alignment horizontal="left" vertical="top"/>
    </xf>
    <xf numFmtId="168" fontId="17" fillId="0" borderId="0" xfId="1" applyNumberFormat="1" applyFont="1" applyAlignment="1">
      <alignment horizontal="justify" vertical="top" wrapText="1"/>
    </xf>
    <xf numFmtId="0" fontId="45" fillId="0" borderId="8" xfId="0" quotePrefix="1" applyFont="1" applyBorder="1" applyAlignment="1">
      <alignment horizontal="left"/>
    </xf>
    <xf numFmtId="171" fontId="17" fillId="2" borderId="0" xfId="0" applyNumberFormat="1" applyFont="1" applyFill="1"/>
    <xf numFmtId="49" fontId="17" fillId="8" borderId="0" xfId="0" applyNumberFormat="1" applyFont="1" applyFill="1" applyAlignment="1">
      <alignment horizontal="left" vertical="top"/>
    </xf>
    <xf numFmtId="49" fontId="17" fillId="2" borderId="0" xfId="0" quotePrefix="1" applyNumberFormat="1" applyFont="1" applyFill="1" applyAlignment="1">
      <alignment vertical="top"/>
    </xf>
    <xf numFmtId="0" fontId="17" fillId="0" borderId="5" xfId="0" applyFont="1" applyBorder="1" applyAlignment="1">
      <alignment horizontal="left" vertical="top"/>
    </xf>
    <xf numFmtId="167" fontId="17" fillId="0" borderId="0" xfId="1" applyFont="1" applyAlignment="1">
      <alignment vertical="top"/>
    </xf>
    <xf numFmtId="0" fontId="17" fillId="0" borderId="0" xfId="0" applyFont="1" applyAlignment="1">
      <alignment vertical="center" wrapText="1"/>
    </xf>
    <xf numFmtId="168" fontId="45" fillId="0" borderId="8" xfId="1" applyNumberFormat="1" applyFont="1" applyFill="1" applyBorder="1"/>
    <xf numFmtId="168" fontId="8" fillId="0" borderId="0" xfId="1" applyNumberFormat="1" applyFont="1" applyFill="1" applyBorder="1" applyAlignment="1">
      <alignment vertical="center"/>
    </xf>
    <xf numFmtId="175" fontId="45" fillId="0" borderId="8" xfId="1" applyNumberFormat="1" applyFont="1" applyBorder="1"/>
    <xf numFmtId="0" fontId="16" fillId="0" borderId="6" xfId="0" applyFont="1" applyBorder="1" applyAlignment="1">
      <alignment horizontal="center" vertical="top" wrapText="1"/>
    </xf>
    <xf numFmtId="9" fontId="17" fillId="4" borderId="0" xfId="2" applyFont="1" applyFill="1"/>
    <xf numFmtId="9" fontId="17" fillId="2" borderId="0" xfId="2" applyFont="1" applyFill="1"/>
    <xf numFmtId="167" fontId="17" fillId="0" borderId="0" xfId="1" quotePrefix="1" applyFont="1" applyFill="1" applyAlignment="1">
      <alignment horizontal="right" vertical="center" shrinkToFit="1"/>
    </xf>
    <xf numFmtId="0" fontId="16" fillId="0" borderId="0" xfId="0" applyFont="1" applyAlignment="1" applyProtection="1">
      <alignment horizontal="left" vertical="top"/>
      <protection locked="0"/>
    </xf>
    <xf numFmtId="0" fontId="17" fillId="0" borderId="0" xfId="0" applyFont="1" applyAlignment="1" applyProtection="1">
      <alignment horizontal="left" vertical="top"/>
      <protection locked="0"/>
    </xf>
    <xf numFmtId="0" fontId="2" fillId="0" borderId="0" xfId="0" applyFont="1" applyAlignment="1">
      <alignment vertical="center"/>
    </xf>
    <xf numFmtId="49" fontId="2" fillId="0" borderId="0" xfId="0" applyNumberFormat="1" applyFont="1"/>
    <xf numFmtId="165" fontId="16" fillId="0" borderId="0" xfId="0" applyNumberFormat="1" applyFont="1" applyAlignment="1">
      <alignment vertical="top"/>
    </xf>
    <xf numFmtId="165" fontId="16" fillId="0" borderId="0" xfId="0" applyNumberFormat="1" applyFont="1" applyAlignment="1">
      <alignment vertical="center"/>
    </xf>
    <xf numFmtId="0" fontId="47" fillId="0" borderId="0" xfId="0" applyFont="1" applyAlignment="1">
      <alignment vertical="center"/>
    </xf>
    <xf numFmtId="0" fontId="47" fillId="0" borderId="0" xfId="0" applyFont="1"/>
    <xf numFmtId="49" fontId="48" fillId="0" borderId="7" xfId="0" applyNumberFormat="1" applyFont="1" applyBorder="1"/>
    <xf numFmtId="168" fontId="16" fillId="0" borderId="6" xfId="1" applyNumberFormat="1" applyFont="1" applyBorder="1"/>
    <xf numFmtId="3" fontId="17" fillId="0" borderId="0" xfId="0" quotePrefix="1" applyNumberFormat="1" applyFont="1" applyAlignment="1">
      <alignment horizontal="left" vertical="top"/>
    </xf>
    <xf numFmtId="0" fontId="16" fillId="0" borderId="0" xfId="0" applyFont="1" applyAlignment="1">
      <alignment wrapText="1"/>
    </xf>
    <xf numFmtId="0" fontId="17" fillId="0" borderId="4" xfId="0" applyFont="1" applyBorder="1"/>
    <xf numFmtId="168" fontId="16" fillId="0" borderId="0" xfId="1" applyNumberFormat="1" applyFont="1" applyAlignment="1">
      <alignment vertical="center"/>
    </xf>
    <xf numFmtId="167" fontId="17" fillId="0" borderId="0" xfId="1" applyFont="1" applyAlignment="1">
      <alignment horizontal="right" vertical="center"/>
    </xf>
    <xf numFmtId="10" fontId="17" fillId="0" borderId="0" xfId="0" applyNumberFormat="1" applyFont="1" applyAlignment="1">
      <alignment horizontal="center" vertical="center" wrapText="1"/>
    </xf>
    <xf numFmtId="9" fontId="16" fillId="0" borderId="0" xfId="0" applyNumberFormat="1" applyFont="1" applyAlignment="1">
      <alignment horizontal="center"/>
    </xf>
    <xf numFmtId="168" fontId="16" fillId="0" borderId="0" xfId="0" applyNumberFormat="1" applyFont="1" applyAlignment="1">
      <alignment wrapText="1"/>
    </xf>
    <xf numFmtId="10" fontId="17" fillId="0" borderId="0" xfId="2" applyNumberFormat="1" applyFont="1" applyAlignment="1">
      <alignment horizontal="center" vertical="center" wrapText="1"/>
    </xf>
    <xf numFmtId="10" fontId="16" fillId="0" borderId="6" xfId="0" applyNumberFormat="1" applyFont="1" applyBorder="1" applyAlignment="1">
      <alignment horizontal="center" vertical="center" wrapText="1"/>
    </xf>
    <xf numFmtId="167" fontId="27" fillId="0" borderId="0" xfId="1" applyFont="1" applyAlignment="1">
      <alignment horizontal="left"/>
    </xf>
    <xf numFmtId="0" fontId="16" fillId="0" borderId="0" xfId="0" applyFont="1" applyAlignment="1" applyProtection="1">
      <alignment horizontal="left"/>
      <protection locked="0"/>
    </xf>
    <xf numFmtId="168" fontId="17" fillId="0" borderId="0" xfId="1" applyNumberFormat="1" applyFont="1" applyAlignment="1">
      <alignment horizontal="left" vertical="top"/>
    </xf>
    <xf numFmtId="168" fontId="16" fillId="0" borderId="0" xfId="1" applyNumberFormat="1" applyFont="1" applyAlignment="1">
      <alignment horizontal="left" vertical="top"/>
    </xf>
    <xf numFmtId="168" fontId="16" fillId="0" borderId="0" xfId="0" quotePrefix="1" applyNumberFormat="1" applyFont="1" applyAlignment="1">
      <alignment vertical="center" wrapText="1" shrinkToFit="1"/>
    </xf>
    <xf numFmtId="168" fontId="17" fillId="0" borderId="0" xfId="1" applyNumberFormat="1" applyFont="1" applyFill="1" applyBorder="1" applyAlignment="1">
      <alignment horizontal="right" vertical="top" wrapText="1"/>
    </xf>
    <xf numFmtId="168" fontId="13" fillId="0" borderId="5" xfId="0" applyNumberFormat="1" applyFont="1" applyBorder="1" applyAlignment="1">
      <alignment horizontal="right" wrapText="1"/>
    </xf>
    <xf numFmtId="168" fontId="13" fillId="0" borderId="0" xfId="0" applyNumberFormat="1" applyFont="1" applyAlignment="1">
      <alignment horizontal="right"/>
    </xf>
    <xf numFmtId="0" fontId="17" fillId="0" borderId="0" xfId="0" applyFont="1" applyAlignment="1">
      <alignment horizontal="justify" vertical="center" wrapText="1"/>
    </xf>
    <xf numFmtId="0" fontId="17" fillId="2" borderId="0" xfId="0" applyFont="1" applyFill="1" applyAlignment="1">
      <alignment horizontal="left" wrapText="1"/>
    </xf>
    <xf numFmtId="167" fontId="16" fillId="0" borderId="6" xfId="0" applyNumberFormat="1" applyFont="1" applyBorder="1" applyAlignment="1">
      <alignment horizontal="right" vertical="center" wrapText="1"/>
    </xf>
    <xf numFmtId="167" fontId="16" fillId="0" borderId="0" xfId="1" applyFont="1" applyAlignment="1">
      <alignment vertical="center"/>
    </xf>
    <xf numFmtId="9" fontId="17" fillId="0" borderId="0" xfId="2" applyFont="1"/>
    <xf numFmtId="9" fontId="17" fillId="0" borderId="0" xfId="2" quotePrefix="1" applyFont="1" applyBorder="1" applyAlignment="1">
      <alignment horizontal="right" vertical="center" shrinkToFit="1"/>
    </xf>
    <xf numFmtId="9" fontId="17" fillId="0" borderId="0" xfId="2" applyFont="1" applyBorder="1" applyAlignment="1">
      <alignment horizontal="right" vertical="center" shrinkToFit="1"/>
    </xf>
    <xf numFmtId="9" fontId="16" fillId="0" borderId="3" xfId="2" quotePrefix="1" applyFont="1" applyBorder="1" applyAlignment="1">
      <alignment horizontal="right" vertical="center" shrinkToFit="1"/>
    </xf>
    <xf numFmtId="167" fontId="13" fillId="0" borderId="0" xfId="1" applyFont="1" applyBorder="1"/>
    <xf numFmtId="168" fontId="13" fillId="0" borderId="0" xfId="1" applyNumberFormat="1" applyFont="1" applyAlignment="1">
      <alignment horizontal="right" wrapText="1"/>
    </xf>
    <xf numFmtId="167" fontId="13" fillId="0" borderId="0" xfId="1" applyFont="1" applyBorder="1" applyAlignment="1">
      <alignment horizontal="right" wrapText="1"/>
    </xf>
    <xf numFmtId="168" fontId="13" fillId="0" borderId="0" xfId="1" applyNumberFormat="1" applyFont="1"/>
    <xf numFmtId="168" fontId="16" fillId="0" borderId="0" xfId="0" quotePrefix="1" applyNumberFormat="1" applyFont="1" applyAlignment="1">
      <alignment horizontal="right" vertical="top" wrapText="1" shrinkToFit="1"/>
    </xf>
    <xf numFmtId="175" fontId="16" fillId="0" borderId="0" xfId="0" applyNumberFormat="1" applyFont="1"/>
    <xf numFmtId="168" fontId="16" fillId="0" borderId="6" xfId="0" applyNumberFormat="1" applyFont="1" applyBorder="1" applyAlignment="1">
      <alignment vertical="center"/>
    </xf>
    <xf numFmtId="49" fontId="13" fillId="0" borderId="6" xfId="0" applyNumberFormat="1" applyFont="1" applyBorder="1" applyAlignment="1">
      <alignment horizontal="left" vertical="center"/>
    </xf>
    <xf numFmtId="0" fontId="16" fillId="0" borderId="6" xfId="0" applyFont="1" applyBorder="1" applyAlignment="1">
      <alignment horizontal="center" vertical="center" wrapText="1"/>
    </xf>
    <xf numFmtId="0" fontId="13" fillId="0" borderId="6" xfId="0" applyFont="1" applyBorder="1" applyAlignment="1">
      <alignment horizontal="center" vertical="center" wrapText="1"/>
    </xf>
    <xf numFmtId="168" fontId="13" fillId="0" borderId="6" xfId="1" applyNumberFormat="1" applyFont="1" applyFill="1" applyBorder="1" applyAlignment="1">
      <alignment horizontal="center" vertical="center" wrapText="1"/>
    </xf>
    <xf numFmtId="167" fontId="13" fillId="0" borderId="6" xfId="1" applyFont="1" applyFill="1" applyBorder="1" applyAlignment="1">
      <alignment horizontal="center" vertical="center" wrapText="1"/>
    </xf>
    <xf numFmtId="0" fontId="13" fillId="0" borderId="0" xfId="0" applyFont="1" applyAlignment="1">
      <alignment horizontal="right" wrapText="1"/>
    </xf>
    <xf numFmtId="0" fontId="17" fillId="0" borderId="6" xfId="0" applyFont="1" applyBorder="1" applyAlignment="1">
      <alignment vertical="center" wrapText="1"/>
    </xf>
    <xf numFmtId="165" fontId="17" fillId="0" borderId="6" xfId="0" applyNumberFormat="1" applyFont="1" applyBorder="1" applyAlignment="1">
      <alignment vertical="top"/>
    </xf>
    <xf numFmtId="165" fontId="17" fillId="0" borderId="6" xfId="0" applyNumberFormat="1" applyFont="1" applyBorder="1" applyAlignment="1">
      <alignment horizontal="right" vertical="top"/>
    </xf>
    <xf numFmtId="0" fontId="17" fillId="0" borderId="6" xfId="0" applyFont="1" applyBorder="1" applyAlignment="1">
      <alignment vertical="top" wrapText="1"/>
    </xf>
    <xf numFmtId="2" fontId="27" fillId="0" borderId="0" xfId="0" applyNumberFormat="1" applyFont="1"/>
    <xf numFmtId="49" fontId="27" fillId="0" borderId="0" xfId="1" applyNumberFormat="1" applyFont="1"/>
    <xf numFmtId="49" fontId="16" fillId="0" borderId="0" xfId="0" applyNumberFormat="1" applyFont="1" applyAlignment="1" applyProtection="1">
      <alignment vertical="top"/>
      <protection locked="0"/>
    </xf>
    <xf numFmtId="49" fontId="17" fillId="0" borderId="0" xfId="1" applyNumberFormat="1" applyFont="1" applyFill="1" applyBorder="1" applyAlignment="1">
      <alignment horizontal="left" vertical="top"/>
    </xf>
    <xf numFmtId="49" fontId="17" fillId="0" borderId="0" xfId="1" applyNumberFormat="1" applyFont="1" applyFill="1" applyAlignment="1">
      <alignment horizontal="left" vertical="top"/>
    </xf>
    <xf numFmtId="49" fontId="16" fillId="0" borderId="0" xfId="1" applyNumberFormat="1" applyFont="1" applyAlignment="1" applyProtection="1">
      <alignment horizontal="left" vertical="top"/>
      <protection locked="0"/>
    </xf>
    <xf numFmtId="49" fontId="1" fillId="0" borderId="0" xfId="0" applyNumberFormat="1" applyFont="1" applyAlignment="1">
      <alignment horizontal="left"/>
    </xf>
    <xf numFmtId="0" fontId="1" fillId="0" borderId="0" xfId="0" applyFont="1" applyAlignment="1">
      <alignment vertical="top"/>
    </xf>
    <xf numFmtId="2" fontId="17" fillId="0" borderId="0" xfId="0" applyNumberFormat="1" applyFont="1" applyAlignment="1">
      <alignment vertical="center" wrapText="1"/>
    </xf>
    <xf numFmtId="168" fontId="16" fillId="0" borderId="6" xfId="0" applyNumberFormat="1" applyFont="1" applyBorder="1" applyAlignment="1">
      <alignment horizontal="right" vertical="center" wrapText="1"/>
    </xf>
    <xf numFmtId="49" fontId="17" fillId="0" borderId="6" xfId="0" applyNumberFormat="1" applyFont="1" applyBorder="1" applyAlignment="1">
      <alignment horizontal="left" vertical="top"/>
    </xf>
    <xf numFmtId="0" fontId="40" fillId="0" borderId="0" xfId="0" applyFont="1" applyAlignment="1">
      <alignment horizontal="left" vertical="top"/>
    </xf>
    <xf numFmtId="0" fontId="1" fillId="0" borderId="0" xfId="0" quotePrefix="1" applyFont="1" applyAlignment="1">
      <alignment horizontal="justify" vertical="top" wrapText="1"/>
    </xf>
    <xf numFmtId="9" fontId="17" fillId="0" borderId="0" xfId="0" applyNumberFormat="1" applyFont="1" applyAlignment="1">
      <alignment horizontal="center" vertical="center"/>
    </xf>
    <xf numFmtId="167" fontId="16" fillId="0" borderId="0" xfId="1" applyFont="1" applyAlignment="1">
      <alignment vertical="center" wrapText="1"/>
    </xf>
    <xf numFmtId="49" fontId="17" fillId="0" borderId="0" xfId="1" applyNumberFormat="1" applyFont="1" applyAlignment="1">
      <alignment horizontal="justify" vertical="center" wrapText="1"/>
    </xf>
    <xf numFmtId="168" fontId="17" fillId="0" borderId="6" xfId="0" applyNumberFormat="1" applyFont="1" applyBorder="1" applyAlignment="1">
      <alignment vertical="center"/>
    </xf>
    <xf numFmtId="49" fontId="16" fillId="0" borderId="6" xfId="0" applyNumberFormat="1" applyFont="1" applyBorder="1" applyAlignment="1">
      <alignment horizontal="center" vertical="center" wrapText="1"/>
    </xf>
    <xf numFmtId="165" fontId="17" fillId="0" borderId="5" xfId="0" applyNumberFormat="1" applyFont="1" applyBorder="1" applyAlignment="1">
      <alignment vertical="top" wrapText="1"/>
    </xf>
    <xf numFmtId="49" fontId="17" fillId="0" borderId="6" xfId="0" applyNumberFormat="1" applyFont="1" applyBorder="1" applyAlignment="1">
      <alignment vertical="top" wrapText="1"/>
    </xf>
    <xf numFmtId="49" fontId="17" fillId="0" borderId="5" xfId="0" applyNumberFormat="1" applyFont="1" applyBorder="1" applyAlignment="1">
      <alignment vertical="top" wrapText="1"/>
    </xf>
    <xf numFmtId="0" fontId="16" fillId="0" borderId="6" xfId="0" applyFont="1" applyBorder="1" applyAlignment="1">
      <alignment horizontal="left" vertical="top" wrapText="1"/>
    </xf>
    <xf numFmtId="49" fontId="16" fillId="0" borderId="6" xfId="0" applyNumberFormat="1" applyFont="1" applyBorder="1" applyAlignment="1">
      <alignment horizontal="left" vertical="top" wrapText="1"/>
    </xf>
    <xf numFmtId="0" fontId="16" fillId="0" borderId="5" xfId="0" applyFont="1" applyBorder="1" applyAlignment="1">
      <alignment vertical="center" wrapText="1"/>
    </xf>
    <xf numFmtId="0" fontId="16" fillId="0" borderId="5" xfId="0" applyFont="1" applyBorder="1" applyAlignment="1">
      <alignment horizontal="justify" vertical="center"/>
    </xf>
    <xf numFmtId="168" fontId="17" fillId="0" borderId="0" xfId="1" quotePrefix="1" applyNumberFormat="1" applyFont="1" applyAlignment="1">
      <alignment vertical="top" shrinkToFit="1"/>
    </xf>
    <xf numFmtId="168" fontId="32" fillId="0" borderId="0" xfId="0" applyNumberFormat="1" applyFont="1" applyAlignment="1">
      <alignment horizontal="center"/>
    </xf>
    <xf numFmtId="168" fontId="13" fillId="0" borderId="3" xfId="1" applyNumberFormat="1" applyFont="1" applyBorder="1"/>
    <xf numFmtId="0" fontId="1" fillId="0" borderId="0" xfId="0" applyFont="1" applyAlignment="1">
      <alignment horizontal="left" indent="1"/>
    </xf>
    <xf numFmtId="0" fontId="1" fillId="0" borderId="0" xfId="0" applyFont="1" applyAlignment="1">
      <alignment horizontal="left"/>
    </xf>
    <xf numFmtId="49" fontId="16" fillId="0" borderId="6" xfId="1" applyNumberFormat="1" applyFont="1" applyFill="1" applyBorder="1" applyAlignment="1">
      <alignment vertical="center" wrapText="1"/>
    </xf>
    <xf numFmtId="17" fontId="8" fillId="10" borderId="3" xfId="0" applyNumberFormat="1" applyFont="1" applyFill="1" applyBorder="1" applyAlignment="1">
      <alignment horizontal="center"/>
    </xf>
    <xf numFmtId="17" fontId="8" fillId="10" borderId="17" xfId="0" applyNumberFormat="1" applyFont="1" applyFill="1" applyBorder="1" applyAlignment="1">
      <alignment horizontal="center"/>
    </xf>
    <xf numFmtId="168" fontId="8" fillId="10" borderId="4" xfId="0" applyNumberFormat="1" applyFont="1" applyFill="1" applyBorder="1" applyAlignment="1">
      <alignment horizontal="center"/>
    </xf>
    <xf numFmtId="168" fontId="8" fillId="10" borderId="14" xfId="0" applyNumberFormat="1" applyFont="1" applyFill="1" applyBorder="1" applyAlignment="1">
      <alignment horizontal="center"/>
    </xf>
    <xf numFmtId="17" fontId="8" fillId="3" borderId="17" xfId="0" applyNumberFormat="1" applyFont="1" applyFill="1" applyBorder="1" applyAlignment="1">
      <alignment horizontal="center"/>
    </xf>
    <xf numFmtId="168" fontId="8" fillId="3" borderId="4" xfId="0" applyNumberFormat="1" applyFont="1" applyFill="1" applyBorder="1" applyAlignment="1">
      <alignment horizontal="center"/>
    </xf>
    <xf numFmtId="49" fontId="23" fillId="0" borderId="0" xfId="0" applyNumberFormat="1" applyFont="1"/>
    <xf numFmtId="167" fontId="7" fillId="0" borderId="1" xfId="1" applyFont="1" applyBorder="1"/>
    <xf numFmtId="167" fontId="23" fillId="0" borderId="1" xfId="1" applyFont="1" applyBorder="1" applyAlignment="1">
      <alignment vertical="center"/>
    </xf>
    <xf numFmtId="168" fontId="1" fillId="0" borderId="0" xfId="0" applyNumberFormat="1" applyFont="1" applyAlignment="1">
      <alignment horizontal="left" vertical="top"/>
    </xf>
    <xf numFmtId="10" fontId="17" fillId="0" borderId="0" xfId="2" quotePrefix="1" applyNumberFormat="1" applyFont="1" applyAlignment="1">
      <alignment horizontal="right" vertical="center" wrapText="1" shrinkToFit="1"/>
    </xf>
    <xf numFmtId="167" fontId="16" fillId="0" borderId="0" xfId="1" applyFont="1"/>
    <xf numFmtId="168" fontId="17" fillId="0" borderId="0" xfId="1" applyNumberFormat="1" applyFont="1" applyAlignment="1">
      <alignment horizontal="right" vertical="top"/>
    </xf>
    <xf numFmtId="168" fontId="17" fillId="0" borderId="0" xfId="1" applyNumberFormat="1" applyFont="1" applyAlignment="1">
      <alignment vertical="center"/>
    </xf>
    <xf numFmtId="168" fontId="16" fillId="0" borderId="3" xfId="1" applyNumberFormat="1" applyFont="1" applyBorder="1" applyAlignment="1">
      <alignment vertical="center"/>
    </xf>
    <xf numFmtId="168" fontId="16" fillId="0" borderId="6" xfId="1" applyNumberFormat="1" applyFont="1" applyBorder="1" applyAlignment="1">
      <alignment horizontal="right" vertical="top"/>
    </xf>
    <xf numFmtId="177" fontId="13" fillId="0" borderId="0" xfId="1" applyNumberFormat="1" applyFont="1" applyAlignment="1">
      <alignment horizontal="right" wrapText="1"/>
    </xf>
    <xf numFmtId="0" fontId="46" fillId="0" borderId="8" xfId="0" applyFont="1" applyBorder="1"/>
    <xf numFmtId="0" fontId="46" fillId="0" borderId="0" xfId="0" applyFont="1"/>
    <xf numFmtId="168" fontId="1" fillId="0" borderId="0" xfId="0" applyNumberFormat="1" applyFont="1" applyAlignment="1">
      <alignment vertical="top"/>
    </xf>
    <xf numFmtId="168" fontId="8" fillId="0" borderId="0" xfId="1" applyNumberFormat="1" applyFont="1" applyAlignment="1">
      <alignment vertical="center"/>
    </xf>
    <xf numFmtId="0" fontId="50" fillId="0" borderId="0" xfId="0" applyFont="1"/>
    <xf numFmtId="0" fontId="51" fillId="0" borderId="0" xfId="0" applyFont="1"/>
    <xf numFmtId="0" fontId="52" fillId="0" borderId="0" xfId="0" applyFont="1" applyAlignment="1">
      <alignment vertical="top"/>
    </xf>
    <xf numFmtId="167" fontId="52" fillId="0" borderId="0" xfId="0" applyNumberFormat="1" applyFont="1" applyAlignment="1">
      <alignment vertical="top"/>
    </xf>
    <xf numFmtId="168" fontId="54" fillId="0" borderId="0" xfId="0" applyNumberFormat="1" applyFont="1" applyAlignment="1">
      <alignment vertical="top"/>
    </xf>
    <xf numFmtId="0" fontId="53" fillId="9" borderId="12" xfId="0" applyFont="1" applyFill="1" applyBorder="1" applyAlignment="1">
      <alignment horizontal="center" vertical="top" wrapText="1"/>
    </xf>
    <xf numFmtId="0" fontId="54" fillId="0" borderId="8" xfId="0" applyFont="1" applyBorder="1" applyAlignment="1">
      <alignment vertical="top"/>
    </xf>
    <xf numFmtId="168" fontId="54" fillId="0" borderId="8" xfId="0" applyNumberFormat="1" applyFont="1" applyBorder="1" applyAlignment="1">
      <alignment vertical="top"/>
    </xf>
    <xf numFmtId="167" fontId="54" fillId="0" borderId="8" xfId="0" applyNumberFormat="1" applyFont="1" applyBorder="1" applyAlignment="1">
      <alignment vertical="top"/>
    </xf>
    <xf numFmtId="167" fontId="51" fillId="0" borderId="0" xfId="1" applyFont="1"/>
    <xf numFmtId="167" fontId="51" fillId="0" borderId="0" xfId="0" applyNumberFormat="1" applyFont="1"/>
    <xf numFmtId="0" fontId="54" fillId="0" borderId="8" xfId="0" quotePrefix="1" applyFont="1" applyBorder="1" applyAlignment="1">
      <alignment vertical="top"/>
    </xf>
    <xf numFmtId="168" fontId="51" fillId="0" borderId="0" xfId="0" applyNumberFormat="1" applyFont="1"/>
    <xf numFmtId="168" fontId="51" fillId="0" borderId="0" xfId="1" applyNumberFormat="1" applyFont="1"/>
    <xf numFmtId="0" fontId="51" fillId="0" borderId="0" xfId="0" applyFont="1" applyAlignment="1">
      <alignment vertical="top"/>
    </xf>
    <xf numFmtId="0" fontId="51" fillId="0" borderId="0" xfId="0" applyFont="1" applyAlignment="1">
      <alignment vertical="top" wrapText="1"/>
    </xf>
    <xf numFmtId="0" fontId="54" fillId="5" borderId="0" xfId="0" applyFont="1" applyFill="1" applyAlignment="1">
      <alignment vertical="top"/>
    </xf>
    <xf numFmtId="0" fontId="53" fillId="5" borderId="0" xfId="0" applyFont="1" applyFill="1" applyAlignment="1">
      <alignment horizontal="center" vertical="top"/>
    </xf>
    <xf numFmtId="0" fontId="53" fillId="5" borderId="12" xfId="0" applyFont="1" applyFill="1" applyBorder="1" applyAlignment="1">
      <alignment horizontal="center" vertical="top" wrapText="1"/>
    </xf>
    <xf numFmtId="0" fontId="51" fillId="0" borderId="13" xfId="0" applyFont="1" applyBorder="1" applyAlignment="1">
      <alignment vertical="top"/>
    </xf>
    <xf numFmtId="0" fontId="51" fillId="0" borderId="12" xfId="0" applyFont="1" applyBorder="1" applyAlignment="1">
      <alignment vertical="top"/>
    </xf>
    <xf numFmtId="0" fontId="51" fillId="0" borderId="12" xfId="0" applyFont="1" applyBorder="1" applyAlignment="1">
      <alignment vertical="top" wrapText="1"/>
    </xf>
    <xf numFmtId="0" fontId="51" fillId="0" borderId="7" xfId="0" applyFont="1" applyBorder="1" applyAlignment="1">
      <alignment vertical="top"/>
    </xf>
    <xf numFmtId="0" fontId="51" fillId="0" borderId="8" xfId="0" applyFont="1" applyBorder="1" applyAlignment="1">
      <alignment vertical="top"/>
    </xf>
    <xf numFmtId="0" fontId="51" fillId="0" borderId="8" xfId="0" applyFont="1" applyBorder="1" applyAlignment="1">
      <alignment vertical="top" wrapText="1"/>
    </xf>
    <xf numFmtId="0" fontId="54" fillId="0" borderId="7" xfId="0" applyFont="1" applyBorder="1" applyAlignment="1">
      <alignment vertical="top"/>
    </xf>
    <xf numFmtId="0" fontId="51" fillId="0" borderId="8" xfId="0" quotePrefix="1" applyFont="1" applyBorder="1" applyAlignment="1">
      <alignment vertical="top"/>
    </xf>
    <xf numFmtId="168" fontId="51" fillId="0" borderId="8" xfId="0" applyNumberFormat="1" applyFont="1" applyBorder="1" applyAlignment="1">
      <alignment vertical="top"/>
    </xf>
    <xf numFmtId="168" fontId="50" fillId="0" borderId="0" xfId="1" applyNumberFormat="1" applyFont="1"/>
    <xf numFmtId="168" fontId="54" fillId="0" borderId="12" xfId="1" applyNumberFormat="1" applyFont="1" applyBorder="1" applyAlignment="1">
      <alignment vertical="top"/>
    </xf>
    <xf numFmtId="168" fontId="51" fillId="0" borderId="8" xfId="1" applyNumberFormat="1" applyFont="1" applyBorder="1" applyAlignment="1">
      <alignment vertical="top"/>
    </xf>
    <xf numFmtId="168" fontId="54" fillId="0" borderId="8" xfId="1" applyNumberFormat="1" applyFont="1" applyBorder="1" applyAlignment="1">
      <alignment vertical="top"/>
    </xf>
    <xf numFmtId="0" fontId="54" fillId="0" borderId="8" xfId="0" applyFont="1" applyBorder="1" applyAlignment="1">
      <alignment vertical="top" wrapText="1"/>
    </xf>
    <xf numFmtId="168" fontId="54" fillId="0" borderId="8" xfId="1" applyNumberFormat="1" applyFont="1" applyFill="1" applyBorder="1" applyAlignment="1">
      <alignment vertical="top"/>
    </xf>
    <xf numFmtId="0" fontId="55" fillId="0" borderId="0" xfId="0" applyFont="1"/>
    <xf numFmtId="168" fontId="55" fillId="0" borderId="0" xfId="0" applyNumberFormat="1" applyFont="1"/>
    <xf numFmtId="0" fontId="51" fillId="0" borderId="0" xfId="0" applyFont="1" applyAlignment="1">
      <alignment horizontal="center"/>
    </xf>
    <xf numFmtId="0" fontId="51" fillId="0" borderId="14" xfId="0" applyFont="1" applyBorder="1"/>
    <xf numFmtId="0" fontId="51" fillId="0" borderId="9" xfId="0" applyFont="1" applyBorder="1"/>
    <xf numFmtId="168" fontId="51" fillId="0" borderId="7" xfId="1" applyNumberFormat="1" applyFont="1" applyBorder="1"/>
    <xf numFmtId="168" fontId="51" fillId="0" borderId="0" xfId="1" applyNumberFormat="1" applyFont="1" applyBorder="1"/>
    <xf numFmtId="168" fontId="51" fillId="0" borderId="9" xfId="0" applyNumberFormat="1" applyFont="1" applyBorder="1"/>
    <xf numFmtId="168" fontId="50" fillId="0" borderId="11" xfId="1" applyNumberFormat="1" applyFont="1" applyBorder="1"/>
    <xf numFmtId="168" fontId="50" fillId="0" borderId="5" xfId="1" applyNumberFormat="1" applyFont="1" applyBorder="1"/>
    <xf numFmtId="168" fontId="50" fillId="0" borderId="0" xfId="1" applyNumberFormat="1" applyFont="1" applyBorder="1" applyAlignment="1">
      <alignment horizontal="center"/>
    </xf>
    <xf numFmtId="168" fontId="50" fillId="0" borderId="7" xfId="1" applyNumberFormat="1" applyFont="1" applyBorder="1" applyAlignment="1">
      <alignment horizontal="center"/>
    </xf>
    <xf numFmtId="168" fontId="16" fillId="0" borderId="0" xfId="1" applyNumberFormat="1" applyFont="1" applyFill="1" applyAlignment="1">
      <alignment vertical="center"/>
    </xf>
    <xf numFmtId="168" fontId="16" fillId="0" borderId="5" xfId="0" quotePrefix="1" applyNumberFormat="1" applyFont="1" applyBorder="1" applyAlignment="1">
      <alignment vertical="center" wrapText="1"/>
    </xf>
    <xf numFmtId="168" fontId="17" fillId="0" borderId="6" xfId="0" applyNumberFormat="1" applyFont="1" applyBorder="1" applyAlignment="1">
      <alignment wrapText="1"/>
    </xf>
    <xf numFmtId="0" fontId="51" fillId="0" borderId="7" xfId="0" applyFont="1" applyBorder="1"/>
    <xf numFmtId="0" fontId="54" fillId="0" borderId="7" xfId="0" applyFont="1" applyBorder="1"/>
    <xf numFmtId="168" fontId="51" fillId="0" borderId="0" xfId="1" applyNumberFormat="1" applyFont="1" applyBorder="1" applyAlignment="1">
      <alignment vertical="top"/>
    </xf>
    <xf numFmtId="0" fontId="51" fillId="0" borderId="11" xfId="0" applyFont="1" applyBorder="1"/>
    <xf numFmtId="0" fontId="51" fillId="0" borderId="11" xfId="0" applyFont="1" applyBorder="1" applyAlignment="1">
      <alignment vertical="top"/>
    </xf>
    <xf numFmtId="0" fontId="51" fillId="0" borderId="19" xfId="0" applyFont="1" applyBorder="1" applyAlignment="1">
      <alignment vertical="top"/>
    </xf>
    <xf numFmtId="0" fontId="51" fillId="0" borderId="19" xfId="0" applyFont="1" applyBorder="1" applyAlignment="1">
      <alignment vertical="top" wrapText="1"/>
    </xf>
    <xf numFmtId="168" fontId="51" fillId="0" borderId="19" xfId="0" applyNumberFormat="1" applyFont="1" applyBorder="1" applyAlignment="1">
      <alignment vertical="top"/>
    </xf>
    <xf numFmtId="168" fontId="54" fillId="0" borderId="19" xfId="0" applyNumberFormat="1" applyFont="1" applyBorder="1" applyAlignment="1">
      <alignment vertical="top"/>
    </xf>
    <xf numFmtId="167" fontId="54" fillId="0" borderId="19" xfId="0" applyNumberFormat="1" applyFont="1" applyBorder="1" applyAlignment="1">
      <alignment vertical="top"/>
    </xf>
    <xf numFmtId="168" fontId="50" fillId="0" borderId="0" xfId="0" applyNumberFormat="1" applyFont="1"/>
    <xf numFmtId="168" fontId="16" fillId="2" borderId="3" xfId="1" applyNumberFormat="1" applyFont="1" applyFill="1" applyBorder="1" applyAlignment="1">
      <alignment vertical="center"/>
    </xf>
    <xf numFmtId="0" fontId="50" fillId="0" borderId="0" xfId="0" applyFont="1" applyAlignment="1">
      <alignment horizontal="center"/>
    </xf>
    <xf numFmtId="0" fontId="50" fillId="0" borderId="9" xfId="0" applyFont="1" applyBorder="1" applyAlignment="1">
      <alignment horizontal="center"/>
    </xf>
    <xf numFmtId="0" fontId="23" fillId="0" borderId="0" xfId="0" applyFont="1"/>
    <xf numFmtId="168" fontId="1" fillId="0" borderId="0" xfId="1" applyNumberFormat="1" applyFont="1" applyAlignment="1">
      <alignment horizontal="right" wrapText="1"/>
    </xf>
    <xf numFmtId="0" fontId="54" fillId="0" borderId="0" xfId="0" applyFont="1"/>
    <xf numFmtId="168" fontId="11" fillId="0" borderId="0" xfId="0" applyNumberFormat="1" applyFont="1" applyAlignment="1">
      <alignment horizontal="right"/>
    </xf>
    <xf numFmtId="168" fontId="11" fillId="0" borderId="5" xfId="0" applyNumberFormat="1" applyFont="1" applyBorder="1"/>
    <xf numFmtId="167" fontId="51" fillId="0" borderId="8" xfId="0" applyNumberFormat="1" applyFont="1" applyBorder="1" applyAlignment="1">
      <alignment vertical="top"/>
    </xf>
    <xf numFmtId="168" fontId="51" fillId="0" borderId="12" xfId="1" applyNumberFormat="1" applyFont="1" applyFill="1" applyBorder="1" applyAlignment="1">
      <alignment vertical="top"/>
    </xf>
    <xf numFmtId="168" fontId="51" fillId="0" borderId="8" xfId="1" applyNumberFormat="1" applyFont="1" applyFill="1" applyBorder="1" applyAlignment="1">
      <alignment vertical="top"/>
    </xf>
    <xf numFmtId="167" fontId="51" fillId="0" borderId="8" xfId="1" applyFont="1" applyBorder="1" applyAlignment="1">
      <alignment vertical="top"/>
    </xf>
    <xf numFmtId="49" fontId="45" fillId="0" borderId="8" xfId="0" quotePrefix="1" applyNumberFormat="1" applyFont="1" applyBorder="1" applyAlignment="1">
      <alignment horizontal="left"/>
    </xf>
    <xf numFmtId="168" fontId="17" fillId="0" borderId="1" xfId="0" applyNumberFormat="1" applyFont="1" applyBorder="1"/>
    <xf numFmtId="171" fontId="17" fillId="0" borderId="1" xfId="0" applyNumberFormat="1" applyFont="1" applyBorder="1"/>
    <xf numFmtId="168" fontId="17" fillId="0" borderId="1" xfId="1" applyNumberFormat="1" applyFont="1" applyBorder="1"/>
    <xf numFmtId="168" fontId="16" fillId="0" borderId="2" xfId="1" applyNumberFormat="1" applyFont="1" applyBorder="1"/>
    <xf numFmtId="172" fontId="16" fillId="0" borderId="0" xfId="0" quotePrefix="1" applyNumberFormat="1" applyFont="1" applyAlignment="1">
      <alignment horizontal="right" vertical="center" wrapText="1"/>
    </xf>
    <xf numFmtId="168" fontId="17" fillId="0" borderId="13" xfId="0" applyNumberFormat="1" applyFont="1" applyBorder="1"/>
    <xf numFmtId="168" fontId="17" fillId="0" borderId="4" xfId="0" applyNumberFormat="1" applyFont="1" applyBorder="1"/>
    <xf numFmtId="168" fontId="17" fillId="0" borderId="14" xfId="0" applyNumberFormat="1" applyFont="1" applyBorder="1"/>
    <xf numFmtId="168" fontId="17" fillId="0" borderId="7" xfId="0" applyNumberFormat="1" applyFont="1" applyBorder="1"/>
    <xf numFmtId="168" fontId="17" fillId="0" borderId="9" xfId="0" applyNumberFormat="1" applyFont="1" applyBorder="1"/>
    <xf numFmtId="168" fontId="17" fillId="0" borderId="9" xfId="1" applyNumberFormat="1" applyFont="1" applyBorder="1"/>
    <xf numFmtId="168" fontId="17" fillId="0" borderId="11" xfId="0" applyNumberFormat="1" applyFont="1" applyBorder="1"/>
    <xf numFmtId="168" fontId="17" fillId="0" borderId="5" xfId="1" applyNumberFormat="1" applyFont="1" applyBorder="1"/>
    <xf numFmtId="168" fontId="17" fillId="0" borderId="15" xfId="1" applyNumberFormat="1" applyFont="1" applyBorder="1"/>
    <xf numFmtId="168" fontId="17" fillId="0" borderId="15" xfId="0" applyNumberFormat="1" applyFont="1" applyBorder="1"/>
    <xf numFmtId="0" fontId="45" fillId="0" borderId="8" xfId="0" quotePrefix="1" applyFont="1" applyBorder="1"/>
    <xf numFmtId="0" fontId="45" fillId="0" borderId="0" xfId="0" quotePrefix="1" applyFont="1"/>
    <xf numFmtId="0" fontId="45" fillId="0" borderId="0" xfId="0" applyFont="1" applyAlignment="1">
      <alignment horizontal="right"/>
    </xf>
    <xf numFmtId="0" fontId="45" fillId="0" borderId="0" xfId="0" quotePrefix="1" applyFont="1" applyAlignment="1">
      <alignment horizontal="right"/>
    </xf>
    <xf numFmtId="49" fontId="1" fillId="0" borderId="0" xfId="0" applyNumberFormat="1" applyFont="1" applyAlignment="1">
      <alignment vertical="top"/>
    </xf>
    <xf numFmtId="49" fontId="1" fillId="0" borderId="0" xfId="0" applyNumberFormat="1" applyFont="1" applyAlignment="1">
      <alignment horizontal="left" vertical="top"/>
    </xf>
    <xf numFmtId="0" fontId="53" fillId="9" borderId="1" xfId="0" applyFont="1" applyFill="1" applyBorder="1" applyAlignment="1">
      <alignment horizontal="center" vertical="top"/>
    </xf>
    <xf numFmtId="0" fontId="53" fillId="9" borderId="1" xfId="0" applyFont="1" applyFill="1" applyBorder="1" applyAlignment="1">
      <alignment horizontal="center" vertical="top" wrapText="1"/>
    </xf>
    <xf numFmtId="168" fontId="53" fillId="9" borderId="1" xfId="0" applyNumberFormat="1" applyFont="1" applyFill="1" applyBorder="1" applyAlignment="1">
      <alignment horizontal="center" vertical="top"/>
    </xf>
    <xf numFmtId="167" fontId="53" fillId="5" borderId="1" xfId="0" applyNumberFormat="1" applyFont="1" applyFill="1" applyBorder="1" applyAlignment="1">
      <alignment horizontal="center" vertical="top"/>
    </xf>
    <xf numFmtId="168" fontId="53" fillId="5" borderId="1" xfId="0" applyNumberFormat="1" applyFont="1" applyFill="1" applyBorder="1" applyAlignment="1">
      <alignment horizontal="center" vertical="top" wrapText="1"/>
    </xf>
    <xf numFmtId="0" fontId="51" fillId="0" borderId="1" xfId="0" applyFont="1" applyBorder="1"/>
    <xf numFmtId="0" fontId="54" fillId="0" borderId="1" xfId="0" applyFont="1" applyBorder="1" applyAlignment="1">
      <alignment vertical="top"/>
    </xf>
    <xf numFmtId="168" fontId="54" fillId="0" borderId="1" xfId="0" applyNumberFormat="1" applyFont="1" applyBorder="1" applyAlignment="1">
      <alignment vertical="top"/>
    </xf>
    <xf numFmtId="167" fontId="54" fillId="0" borderId="1" xfId="0" applyNumberFormat="1" applyFont="1" applyBorder="1" applyAlignment="1">
      <alignment vertical="top"/>
    </xf>
    <xf numFmtId="0" fontId="54" fillId="0" borderId="1" xfId="0" quotePrefix="1" applyFont="1" applyBorder="1" applyAlignment="1">
      <alignment vertical="top"/>
    </xf>
    <xf numFmtId="0" fontId="51" fillId="0" borderId="1" xfId="0" applyFont="1" applyBorder="1" applyAlignment="1">
      <alignment vertical="top"/>
    </xf>
    <xf numFmtId="168" fontId="51" fillId="0" borderId="1" xfId="0" applyNumberFormat="1" applyFont="1" applyBorder="1" applyAlignment="1">
      <alignment vertical="top"/>
    </xf>
    <xf numFmtId="167" fontId="51" fillId="0" borderId="1" xfId="0" applyNumberFormat="1" applyFont="1" applyBorder="1" applyAlignment="1">
      <alignment vertical="top"/>
    </xf>
    <xf numFmtId="168" fontId="55" fillId="0" borderId="1" xfId="0" applyNumberFormat="1" applyFont="1" applyBorder="1" applyAlignment="1">
      <alignment vertical="top"/>
    </xf>
    <xf numFmtId="168" fontId="16" fillId="0" borderId="1" xfId="0" applyNumberFormat="1" applyFont="1" applyBorder="1"/>
    <xf numFmtId="175" fontId="17" fillId="0" borderId="1" xfId="1" applyNumberFormat="1" applyFont="1" applyBorder="1"/>
    <xf numFmtId="164" fontId="45" fillId="0" borderId="8" xfId="1" applyNumberFormat="1" applyFont="1" applyBorder="1"/>
    <xf numFmtId="175" fontId="45" fillId="0" borderId="8" xfId="1" applyNumberFormat="1" applyFont="1" applyFill="1" applyBorder="1"/>
    <xf numFmtId="0" fontId="57" fillId="0" borderId="8" xfId="0" applyFont="1" applyBorder="1" applyAlignment="1">
      <alignment horizontal="right"/>
    </xf>
    <xf numFmtId="0" fontId="57" fillId="0" borderId="8" xfId="0" applyFont="1" applyBorder="1"/>
    <xf numFmtId="0" fontId="57" fillId="0" borderId="8" xfId="0" applyFont="1" applyBorder="1" applyAlignment="1">
      <alignment horizontal="left"/>
    </xf>
    <xf numFmtId="167" fontId="57" fillId="0" borderId="8" xfId="1" applyFont="1" applyFill="1" applyBorder="1"/>
    <xf numFmtId="168" fontId="57" fillId="0" borderId="8" xfId="1" applyNumberFormat="1" applyFont="1" applyFill="1" applyBorder="1"/>
    <xf numFmtId="0" fontId="57" fillId="0" borderId="0" xfId="0" applyFont="1"/>
    <xf numFmtId="168" fontId="57" fillId="0" borderId="8" xfId="0" applyNumberFormat="1" applyFont="1" applyBorder="1"/>
    <xf numFmtId="0" fontId="57" fillId="0" borderId="8" xfId="0" quotePrefix="1" applyFont="1" applyBorder="1" applyAlignment="1">
      <alignment horizontal="left"/>
    </xf>
    <xf numFmtId="0" fontId="57" fillId="0" borderId="0" xfId="0" quotePrefix="1" applyFont="1"/>
    <xf numFmtId="167" fontId="57" fillId="0" borderId="8" xfId="1" applyFont="1" applyBorder="1"/>
    <xf numFmtId="175" fontId="57" fillId="0" borderId="8" xfId="1" applyNumberFormat="1" applyFont="1" applyFill="1" applyBorder="1"/>
    <xf numFmtId="175" fontId="7" fillId="0" borderId="0" xfId="1" applyNumberFormat="1" applyFont="1"/>
    <xf numFmtId="3" fontId="7" fillId="0" borderId="0" xfId="0" applyNumberFormat="1" applyFont="1"/>
    <xf numFmtId="175" fontId="7" fillId="0" borderId="0" xfId="0" applyNumberFormat="1" applyFont="1"/>
    <xf numFmtId="49" fontId="57" fillId="0" borderId="8" xfId="0" applyNumberFormat="1" applyFont="1" applyBorder="1" applyAlignment="1">
      <alignment horizontal="left"/>
    </xf>
    <xf numFmtId="168" fontId="17" fillId="2" borderId="0" xfId="0" applyNumberFormat="1" applyFont="1" applyFill="1" applyAlignment="1">
      <alignment horizontal="right" vertical="top"/>
    </xf>
    <xf numFmtId="0" fontId="1" fillId="0" borderId="0" xfId="0" applyFont="1" applyAlignment="1">
      <alignment horizontal="left" vertical="top" wrapText="1"/>
    </xf>
    <xf numFmtId="49" fontId="1" fillId="0" borderId="0" xfId="0" applyNumberFormat="1" applyFont="1" applyAlignment="1">
      <alignment horizontal="justify" vertical="center" wrapText="1"/>
    </xf>
    <xf numFmtId="0" fontId="1" fillId="0" borderId="0" xfId="0" applyFont="1" applyAlignment="1">
      <alignment horizontal="justify" vertical="top" wrapText="1"/>
    </xf>
    <xf numFmtId="168" fontId="1" fillId="0" borderId="0" xfId="0" applyNumberFormat="1" applyFont="1"/>
    <xf numFmtId="168" fontId="1" fillId="0" borderId="13" xfId="0" applyNumberFormat="1" applyFont="1" applyBorder="1"/>
    <xf numFmtId="168" fontId="1" fillId="0" borderId="11" xfId="0" applyNumberFormat="1" applyFont="1" applyBorder="1"/>
    <xf numFmtId="168" fontId="1" fillId="0" borderId="5" xfId="1" applyNumberFormat="1" applyFont="1" applyBorder="1"/>
    <xf numFmtId="0" fontId="1" fillId="0" borderId="5" xfId="0" applyFont="1" applyBorder="1" applyAlignment="1">
      <alignment vertical="center"/>
    </xf>
    <xf numFmtId="0" fontId="1" fillId="0" borderId="0" xfId="0" applyFont="1" applyAlignment="1">
      <alignment vertical="center"/>
    </xf>
    <xf numFmtId="49" fontId="1" fillId="0" borderId="0" xfId="0" applyNumberFormat="1" applyFont="1" applyAlignment="1">
      <alignment vertical="center"/>
    </xf>
    <xf numFmtId="0" fontId="1" fillId="0" borderId="0" xfId="0" applyFont="1"/>
    <xf numFmtId="49" fontId="1" fillId="0" borderId="0" xfId="0" applyNumberFormat="1" applyFont="1" applyAlignment="1">
      <alignment horizontal="left" vertical="top" indent="1"/>
    </xf>
    <xf numFmtId="167" fontId="1" fillId="0" borderId="0" xfId="0" applyNumberFormat="1" applyFont="1" applyAlignment="1">
      <alignment vertical="top"/>
    </xf>
    <xf numFmtId="49" fontId="1" fillId="0" borderId="0" xfId="0" applyNumberFormat="1" applyFont="1" applyAlignment="1">
      <alignment horizontal="left" vertical="top" indent="3"/>
    </xf>
    <xf numFmtId="49" fontId="1" fillId="0" borderId="0" xfId="0" applyNumberFormat="1" applyFont="1" applyAlignment="1">
      <alignment horizontal="left" vertical="top" wrapText="1" indent="3"/>
    </xf>
    <xf numFmtId="167" fontId="1" fillId="0" borderId="0" xfId="0" applyNumberFormat="1" applyFont="1"/>
    <xf numFmtId="168" fontId="1" fillId="0" borderId="0" xfId="1" applyNumberFormat="1" applyFont="1" applyBorder="1"/>
    <xf numFmtId="179" fontId="1" fillId="0" borderId="0" xfId="1" applyNumberFormat="1" applyFont="1" applyAlignment="1">
      <alignment vertical="top"/>
    </xf>
    <xf numFmtId="178" fontId="1" fillId="0" borderId="0" xfId="1" applyNumberFormat="1" applyFont="1"/>
    <xf numFmtId="168" fontId="1" fillId="0" borderId="4" xfId="0" applyNumberFormat="1" applyFont="1" applyBorder="1" applyAlignment="1">
      <alignment vertical="top"/>
    </xf>
    <xf numFmtId="49" fontId="1" fillId="0" borderId="0" xfId="0" applyNumberFormat="1" applyFont="1"/>
    <xf numFmtId="165" fontId="1" fillId="0" borderId="0" xfId="0" applyNumberFormat="1" applyFont="1"/>
    <xf numFmtId="9" fontId="1" fillId="0" borderId="0" xfId="0" applyNumberFormat="1" applyFont="1"/>
    <xf numFmtId="0" fontId="1" fillId="0" borderId="0" xfId="0" applyFont="1" applyAlignment="1">
      <alignment horizontal="left" vertical="center"/>
    </xf>
    <xf numFmtId="1" fontId="1" fillId="0" borderId="0" xfId="0" applyNumberFormat="1" applyFont="1"/>
    <xf numFmtId="9" fontId="1" fillId="0" borderId="0" xfId="2" applyFont="1" applyAlignment="1">
      <alignment vertical="top"/>
    </xf>
    <xf numFmtId="177" fontId="1" fillId="0" borderId="0" xfId="0" applyNumberFormat="1" applyFont="1" applyAlignment="1">
      <alignment vertical="top"/>
    </xf>
    <xf numFmtId="167" fontId="1" fillId="0" borderId="0" xfId="1" applyFont="1" applyAlignment="1">
      <alignment vertical="top"/>
    </xf>
    <xf numFmtId="1" fontId="1" fillId="4" borderId="0" xfId="0" applyNumberFormat="1" applyFont="1" applyFill="1" applyAlignment="1">
      <alignment horizontal="center" vertical="top"/>
    </xf>
    <xf numFmtId="1" fontId="1" fillId="0" borderId="0" xfId="0" applyNumberFormat="1" applyFont="1" applyAlignment="1">
      <alignment horizontal="left" vertical="top"/>
    </xf>
    <xf numFmtId="0" fontId="1" fillId="0" borderId="0" xfId="0" applyFont="1" applyAlignment="1">
      <alignment horizontal="left" vertical="top"/>
    </xf>
    <xf numFmtId="168" fontId="1" fillId="0" borderId="0" xfId="0" applyNumberFormat="1" applyFont="1" applyAlignment="1">
      <alignment horizontal="right" vertical="top"/>
    </xf>
    <xf numFmtId="168" fontId="1" fillId="0" borderId="0" xfId="1" applyNumberFormat="1" applyFont="1" applyFill="1" applyBorder="1" applyAlignment="1">
      <alignment vertical="top"/>
    </xf>
    <xf numFmtId="0" fontId="1" fillId="0" borderId="0" xfId="0" applyFont="1" applyAlignment="1">
      <alignment horizontal="right" vertical="top"/>
    </xf>
    <xf numFmtId="49" fontId="1" fillId="0" borderId="0" xfId="1" applyNumberFormat="1" applyFont="1" applyFill="1" applyBorder="1" applyAlignment="1">
      <alignment vertical="top"/>
    </xf>
    <xf numFmtId="49" fontId="1" fillId="0" borderId="0" xfId="1" applyNumberFormat="1" applyFont="1" applyFill="1" applyBorder="1" applyAlignment="1">
      <alignment horizontal="left" vertical="top"/>
    </xf>
    <xf numFmtId="168" fontId="1" fillId="0" borderId="0" xfId="1" applyNumberFormat="1" applyFont="1" applyFill="1" applyBorder="1" applyAlignment="1">
      <alignment horizontal="left" vertical="top"/>
    </xf>
    <xf numFmtId="0" fontId="1" fillId="0" borderId="0" xfId="0" quotePrefix="1" applyFont="1" applyAlignment="1">
      <alignment horizontal="left" vertical="top"/>
    </xf>
    <xf numFmtId="0" fontId="1" fillId="0" borderId="0" xfId="0" applyFont="1" applyAlignment="1">
      <alignment horizontal="center"/>
    </xf>
    <xf numFmtId="0" fontId="1" fillId="0" borderId="0" xfId="0" applyFont="1" applyAlignment="1">
      <alignment horizontal="justify" vertical="top"/>
    </xf>
    <xf numFmtId="0" fontId="1" fillId="0" borderId="0" xfId="0" applyFont="1" applyAlignment="1">
      <alignment horizontal="center" vertical="top"/>
    </xf>
    <xf numFmtId="0" fontId="1" fillId="0" borderId="0" xfId="0" applyFont="1" applyAlignment="1">
      <alignment horizontal="center" vertical="top" wrapText="1"/>
    </xf>
    <xf numFmtId="0" fontId="1" fillId="2" borderId="0" xfId="0" applyFont="1" applyFill="1" applyAlignment="1">
      <alignment horizontal="justify" vertical="top" wrapText="1"/>
    </xf>
    <xf numFmtId="0" fontId="1" fillId="2" borderId="0" xfId="0" applyFont="1" applyFill="1" applyAlignment="1">
      <alignment horizontal="justify" vertical="top"/>
    </xf>
    <xf numFmtId="168" fontId="1" fillId="0" borderId="0" xfId="1" applyNumberFormat="1" applyFont="1"/>
    <xf numFmtId="49" fontId="1" fillId="0" borderId="0" xfId="0" quotePrefix="1" applyNumberFormat="1" applyFont="1" applyAlignment="1">
      <alignment horizontal="left" indent="1"/>
    </xf>
    <xf numFmtId="0" fontId="1" fillId="0" borderId="4" xfId="0" applyFont="1" applyBorder="1" applyAlignment="1">
      <alignment vertical="top" wrapText="1"/>
    </xf>
    <xf numFmtId="168" fontId="1" fillId="0" borderId="4" xfId="1" applyNumberFormat="1" applyFont="1" applyBorder="1" applyAlignment="1">
      <alignment vertical="top" wrapText="1"/>
    </xf>
    <xf numFmtId="168" fontId="1" fillId="0" borderId="4" xfId="0" applyNumberFormat="1" applyFont="1" applyBorder="1" applyAlignment="1">
      <alignment vertical="top" wrapText="1"/>
    </xf>
    <xf numFmtId="168" fontId="1" fillId="0" borderId="4" xfId="1" applyNumberFormat="1" applyFont="1" applyFill="1" applyBorder="1" applyAlignment="1">
      <alignment horizontal="left" vertical="top" wrapText="1"/>
    </xf>
    <xf numFmtId="168" fontId="1" fillId="0" borderId="0" xfId="1" applyNumberFormat="1" applyFont="1" applyFill="1" applyBorder="1" applyAlignment="1">
      <alignment horizontal="left" vertical="top" wrapText="1"/>
    </xf>
    <xf numFmtId="167" fontId="1" fillId="0" borderId="0" xfId="1" applyFont="1" applyAlignment="1">
      <alignment vertical="top" wrapText="1"/>
    </xf>
    <xf numFmtId="168" fontId="1" fillId="0" borderId="0" xfId="0" applyNumberFormat="1" applyFont="1" applyAlignment="1">
      <alignment vertical="top" wrapText="1"/>
    </xf>
    <xf numFmtId="168" fontId="1" fillId="0" borderId="0" xfId="1" applyNumberFormat="1" applyFont="1" applyFill="1" applyAlignment="1">
      <alignment horizontal="left" vertical="top" wrapText="1"/>
    </xf>
    <xf numFmtId="0" fontId="1" fillId="0" borderId="0" xfId="0" applyFont="1" applyAlignment="1">
      <alignment vertical="top" wrapText="1"/>
    </xf>
    <xf numFmtId="168" fontId="1" fillId="0" borderId="0" xfId="1" applyNumberFormat="1" applyFont="1" applyAlignment="1">
      <alignment vertical="top" wrapText="1"/>
    </xf>
    <xf numFmtId="168" fontId="1" fillId="0" borderId="0" xfId="1" applyNumberFormat="1" applyFont="1" applyBorder="1" applyAlignment="1">
      <alignment vertical="top" wrapText="1"/>
    </xf>
    <xf numFmtId="0" fontId="1" fillId="0" borderId="0" xfId="0" quotePrefix="1" applyFont="1" applyAlignment="1">
      <alignment horizontal="left" indent="2"/>
    </xf>
    <xf numFmtId="0" fontId="1" fillId="0" borderId="0" xfId="0" applyFont="1" applyAlignment="1">
      <alignment horizontal="left" indent="2"/>
    </xf>
    <xf numFmtId="49" fontId="1" fillId="0" borderId="0" xfId="0" quotePrefix="1" applyNumberFormat="1" applyFont="1" applyAlignment="1">
      <alignment horizontal="left" indent="2"/>
    </xf>
    <xf numFmtId="167" fontId="1" fillId="4" borderId="0" xfId="0" applyNumberFormat="1" applyFont="1" applyFill="1" applyAlignment="1">
      <alignment horizontal="right"/>
    </xf>
    <xf numFmtId="0" fontId="1" fillId="0" borderId="0" xfId="0" quotePrefix="1" applyFont="1" applyAlignment="1">
      <alignment horizontal="left" indent="1"/>
    </xf>
    <xf numFmtId="172" fontId="1" fillId="4" borderId="0" xfId="0" applyNumberFormat="1" applyFont="1" applyFill="1"/>
    <xf numFmtId="0" fontId="1" fillId="0" borderId="0" xfId="0" applyFont="1" applyAlignment="1">
      <alignment horizontal="center" vertical="center"/>
    </xf>
    <xf numFmtId="168" fontId="1" fillId="0" borderId="0" xfId="0" applyNumberFormat="1" applyFont="1" applyAlignment="1">
      <alignment horizontal="right"/>
    </xf>
    <xf numFmtId="168" fontId="1" fillId="0" borderId="0" xfId="0" applyNumberFormat="1" applyFont="1" applyAlignment="1">
      <alignment horizontal="center" vertical="center"/>
    </xf>
    <xf numFmtId="168" fontId="1" fillId="0" borderId="0" xfId="1" applyNumberFormat="1" applyFont="1" applyAlignment="1">
      <alignment horizontal="left" vertical="top" indent="1"/>
    </xf>
    <xf numFmtId="168" fontId="1" fillId="0" borderId="5" xfId="0" applyNumberFormat="1" applyFont="1" applyBorder="1" applyAlignment="1">
      <alignment horizontal="right"/>
    </xf>
    <xf numFmtId="0" fontId="1" fillId="4" borderId="0" xfId="0" applyFont="1" applyFill="1"/>
    <xf numFmtId="167" fontId="1" fillId="0" borderId="0" xfId="1" applyFont="1"/>
    <xf numFmtId="177" fontId="1" fillId="0" borderId="0" xfId="1" applyNumberFormat="1" applyFont="1"/>
    <xf numFmtId="9" fontId="1" fillId="0" borderId="0" xfId="2" applyFont="1" applyBorder="1"/>
    <xf numFmtId="9" fontId="1" fillId="0" borderId="0" xfId="2" applyFont="1" applyAlignment="1">
      <alignment horizontal="right"/>
    </xf>
    <xf numFmtId="167" fontId="1" fillId="0" borderId="0" xfId="1" applyFont="1" applyFill="1"/>
    <xf numFmtId="49" fontId="1" fillId="0" borderId="0" xfId="0" applyNumberFormat="1" applyFont="1" applyAlignment="1">
      <alignment horizontal="justify" vertical="top" wrapText="1"/>
    </xf>
    <xf numFmtId="168" fontId="1" fillId="0" borderId="0" xfId="0" applyNumberFormat="1" applyFont="1" applyAlignment="1">
      <alignment horizontal="justify" vertical="top" wrapText="1"/>
    </xf>
    <xf numFmtId="168" fontId="1" fillId="0" borderId="0" xfId="1" applyNumberFormat="1" applyFont="1" applyAlignment="1">
      <alignment horizontal="right"/>
    </xf>
    <xf numFmtId="168" fontId="1" fillId="0" borderId="5" xfId="1" applyNumberFormat="1" applyFont="1" applyFill="1" applyBorder="1"/>
    <xf numFmtId="0" fontId="1" fillId="0" borderId="0" xfId="0" quotePrefix="1" applyFont="1" applyAlignment="1">
      <alignment vertical="top" wrapText="1"/>
    </xf>
    <xf numFmtId="9" fontId="1" fillId="0" borderId="0" xfId="2" applyFont="1"/>
    <xf numFmtId="175" fontId="1" fillId="0" borderId="0" xfId="0" applyNumberFormat="1" applyFont="1"/>
    <xf numFmtId="175" fontId="57" fillId="0" borderId="8" xfId="1" applyNumberFormat="1" applyFont="1" applyBorder="1"/>
    <xf numFmtId="167" fontId="57" fillId="0" borderId="7" xfId="1" applyFont="1" applyBorder="1"/>
    <xf numFmtId="167" fontId="57" fillId="0" borderId="8" xfId="0" applyNumberFormat="1" applyFont="1" applyBorder="1"/>
    <xf numFmtId="168" fontId="17" fillId="2" borderId="0" xfId="0" quotePrefix="1" applyNumberFormat="1" applyFont="1" applyFill="1" applyAlignment="1">
      <alignment horizontal="right" vertical="center" shrinkToFit="1"/>
    </xf>
    <xf numFmtId="49" fontId="57" fillId="0" borderId="8" xfId="0" quotePrefix="1" applyNumberFormat="1" applyFont="1" applyBorder="1" applyAlignment="1">
      <alignment horizontal="left"/>
    </xf>
    <xf numFmtId="175" fontId="17" fillId="0" borderId="0" xfId="1" applyNumberFormat="1" applyFont="1" applyAlignment="1">
      <alignment horizontal="right" vertical="top"/>
    </xf>
    <xf numFmtId="0" fontId="17" fillId="0" borderId="5" xfId="0" applyFont="1" applyBorder="1" applyAlignment="1">
      <alignment vertical="top"/>
    </xf>
    <xf numFmtId="165" fontId="17" fillId="0" borderId="14" xfId="0" applyNumberFormat="1" applyFont="1" applyBorder="1" applyAlignment="1">
      <alignment horizontal="right" vertical="top"/>
    </xf>
    <xf numFmtId="165" fontId="17" fillId="0" borderId="15" xfId="0" applyNumberFormat="1" applyFont="1" applyBorder="1" applyAlignment="1">
      <alignment horizontal="right" vertical="top"/>
    </xf>
    <xf numFmtId="0" fontId="17" fillId="0" borderId="6" xfId="0" applyFont="1" applyBorder="1" applyAlignment="1">
      <alignment vertical="top"/>
    </xf>
    <xf numFmtId="175" fontId="17" fillId="0" borderId="0" xfId="1" applyNumberFormat="1" applyFont="1" applyBorder="1" applyAlignment="1">
      <alignment vertical="top"/>
    </xf>
    <xf numFmtId="175" fontId="17" fillId="0" borderId="0" xfId="1" applyNumberFormat="1" applyFont="1" applyBorder="1" applyAlignment="1">
      <alignment horizontal="left" vertical="top"/>
    </xf>
    <xf numFmtId="0" fontId="26" fillId="0" borderId="0" xfId="0" applyFont="1" applyAlignment="1">
      <alignment vertical="top" wrapText="1"/>
    </xf>
    <xf numFmtId="175" fontId="17" fillId="0" borderId="0" xfId="1" applyNumberFormat="1" applyFont="1" applyBorder="1" applyAlignment="1">
      <alignment vertical="center"/>
    </xf>
    <xf numFmtId="175" fontId="16" fillId="0" borderId="0" xfId="0" applyNumberFormat="1" applyFont="1" applyAlignment="1">
      <alignment vertical="center"/>
    </xf>
    <xf numFmtId="175" fontId="17" fillId="0" borderId="0" xfId="1" applyNumberFormat="1" applyFont="1" applyAlignment="1">
      <alignment vertical="top"/>
    </xf>
    <xf numFmtId="9" fontId="17" fillId="0" borderId="4" xfId="0" applyNumberFormat="1" applyFont="1" applyBorder="1" applyAlignment="1">
      <alignment vertical="top" wrapText="1"/>
    </xf>
    <xf numFmtId="175" fontId="16" fillId="0" borderId="6" xfId="1" applyNumberFormat="1" applyFont="1" applyBorder="1"/>
    <xf numFmtId="175" fontId="1" fillId="0" borderId="5" xfId="1" applyNumberFormat="1" applyFont="1" applyBorder="1"/>
    <xf numFmtId="175" fontId="1" fillId="0" borderId="4" xfId="1" applyNumberFormat="1" applyFont="1" applyBorder="1"/>
    <xf numFmtId="165" fontId="17" fillId="0" borderId="0" xfId="0" applyNumberFormat="1" applyFont="1" applyAlignment="1">
      <alignment vertical="center"/>
    </xf>
    <xf numFmtId="175" fontId="1" fillId="0" borderId="14" xfId="1" applyNumberFormat="1" applyFont="1" applyBorder="1"/>
    <xf numFmtId="175" fontId="1" fillId="0" borderId="15" xfId="1" applyNumberFormat="1" applyFont="1" applyBorder="1"/>
    <xf numFmtId="17" fontId="57" fillId="0" borderId="0" xfId="0" applyNumberFormat="1" applyFont="1"/>
    <xf numFmtId="175" fontId="57" fillId="0" borderId="8" xfId="0" applyNumberFormat="1" applyFont="1" applyBorder="1"/>
    <xf numFmtId="168" fontId="45" fillId="0" borderId="0" xfId="0" applyNumberFormat="1" applyFont="1" applyAlignment="1">
      <alignment horizontal="left"/>
    </xf>
    <xf numFmtId="168" fontId="23" fillId="0" borderId="0" xfId="2" applyNumberFormat="1" applyFont="1"/>
    <xf numFmtId="175" fontId="45" fillId="0" borderId="0" xfId="0" applyNumberFormat="1" applyFont="1"/>
    <xf numFmtId="9" fontId="17" fillId="0" borderId="0" xfId="0" applyNumberFormat="1" applyFont="1" applyAlignment="1">
      <alignment vertical="top" wrapText="1"/>
    </xf>
    <xf numFmtId="175" fontId="17" fillId="0" borderId="0" xfId="1" applyNumberFormat="1" applyFont="1" applyAlignment="1">
      <alignment horizontal="justify" vertical="center" wrapText="1"/>
    </xf>
    <xf numFmtId="168" fontId="23" fillId="2" borderId="8" xfId="0" applyNumberFormat="1" applyFont="1" applyFill="1" applyBorder="1"/>
    <xf numFmtId="0" fontId="17" fillId="2" borderId="0" xfId="0" applyFont="1" applyFill="1" applyAlignment="1">
      <alignment wrapText="1"/>
    </xf>
    <xf numFmtId="168" fontId="16" fillId="0" borderId="1" xfId="0" applyNumberFormat="1" applyFont="1" applyBorder="1" applyAlignment="1">
      <alignment horizontal="center"/>
    </xf>
    <xf numFmtId="168" fontId="16" fillId="0" borderId="10" xfId="0" applyNumberFormat="1" applyFont="1" applyBorder="1" applyAlignment="1">
      <alignment horizontal="center"/>
    </xf>
    <xf numFmtId="168" fontId="16" fillId="0" borderId="6" xfId="0" applyNumberFormat="1" applyFont="1" applyBorder="1" applyAlignment="1">
      <alignment horizontal="center"/>
    </xf>
    <xf numFmtId="168" fontId="16" fillId="0" borderId="2" xfId="0" applyNumberFormat="1" applyFont="1" applyBorder="1" applyAlignment="1">
      <alignment horizontal="center"/>
    </xf>
    <xf numFmtId="1" fontId="17" fillId="0" borderId="0" xfId="0" quotePrefix="1" applyNumberFormat="1" applyFont="1" applyAlignment="1">
      <alignment horizontal="center" vertical="center"/>
    </xf>
    <xf numFmtId="168" fontId="16" fillId="0" borderId="0" xfId="0" applyNumberFormat="1" applyFont="1" applyAlignment="1">
      <alignment horizontal="center" vertical="top" wrapText="1"/>
    </xf>
    <xf numFmtId="168" fontId="16" fillId="0" borderId="0" xfId="0" applyNumberFormat="1" applyFont="1" applyAlignment="1">
      <alignment horizontal="center" vertical="top"/>
    </xf>
    <xf numFmtId="0" fontId="16" fillId="0" borderId="0" xfId="0" quotePrefix="1" applyFont="1" applyAlignment="1">
      <alignment horizontal="justify" vertical="top" wrapText="1"/>
    </xf>
    <xf numFmtId="0" fontId="17" fillId="0" borderId="0" xfId="0" quotePrefix="1" applyFont="1" applyAlignment="1">
      <alignment horizontal="justify" vertical="top" wrapText="1"/>
    </xf>
    <xf numFmtId="0" fontId="1" fillId="0" borderId="0" xfId="0" quotePrefix="1" applyFont="1" applyAlignment="1">
      <alignment horizontal="justify" vertical="top" wrapText="1"/>
    </xf>
    <xf numFmtId="0" fontId="17" fillId="2" borderId="0" xfId="0" applyFont="1" applyFill="1" applyAlignment="1">
      <alignment horizontal="justify" vertical="top"/>
    </xf>
    <xf numFmtId="0" fontId="16" fillId="0" borderId="0" xfId="0" applyFont="1" applyAlignment="1">
      <alignment horizontal="left" vertical="top"/>
    </xf>
    <xf numFmtId="0" fontId="17" fillId="0" borderId="0" xfId="0" applyFont="1" applyAlignment="1">
      <alignment horizontal="justify" vertical="top" wrapText="1"/>
    </xf>
    <xf numFmtId="0" fontId="13" fillId="0" borderId="0" xfId="0" applyFont="1" applyAlignment="1">
      <alignment horizontal="left" vertical="top"/>
    </xf>
    <xf numFmtId="0" fontId="1" fillId="0" borderId="0" xfId="0" applyFont="1" applyAlignment="1">
      <alignment horizontal="justify" vertical="top" wrapText="1"/>
    </xf>
    <xf numFmtId="0" fontId="1" fillId="2" borderId="0" xfId="0" applyFont="1" applyFill="1" applyAlignment="1">
      <alignment horizontal="justify" vertical="top" wrapText="1"/>
    </xf>
    <xf numFmtId="0" fontId="17" fillId="0" borderId="0" xfId="0" applyFont="1" applyAlignment="1">
      <alignment horizontal="justify" vertical="top"/>
    </xf>
    <xf numFmtId="0" fontId="16" fillId="0" borderId="0" xfId="0" applyFont="1" applyAlignment="1">
      <alignment horizontal="left" vertical="top" wrapText="1"/>
    </xf>
    <xf numFmtId="0" fontId="13" fillId="0" borderId="0" xfId="0" quotePrefix="1" applyFont="1" applyAlignment="1">
      <alignment horizontal="justify" vertical="top" wrapText="1"/>
    </xf>
    <xf numFmtId="0" fontId="13" fillId="0" borderId="0" xfId="0" applyFont="1" applyAlignment="1">
      <alignment horizontal="justify" vertical="top" wrapText="1"/>
    </xf>
    <xf numFmtId="0" fontId="32" fillId="0" borderId="0" xfId="0" applyFont="1" applyAlignment="1">
      <alignment horizontal="center" vertical="top"/>
    </xf>
    <xf numFmtId="0" fontId="27" fillId="0" borderId="0" xfId="0" applyFont="1" applyAlignment="1">
      <alignment horizontal="center" vertical="top"/>
    </xf>
    <xf numFmtId="0" fontId="36" fillId="0" borderId="0" xfId="0" applyFont="1" applyAlignment="1">
      <alignment horizontal="center" vertical="top" wrapText="1"/>
    </xf>
    <xf numFmtId="0" fontId="17" fillId="0" borderId="0" xfId="0" applyFont="1" applyAlignment="1">
      <alignment horizontal="left" vertical="top" wrapText="1"/>
    </xf>
    <xf numFmtId="0" fontId="17" fillId="0" borderId="0" xfId="0" applyFont="1" applyAlignment="1">
      <alignment vertical="top" wrapText="1"/>
    </xf>
    <xf numFmtId="0" fontId="16" fillId="0" borderId="0" xfId="0" applyFont="1" applyAlignment="1">
      <alignment horizontal="justify" vertical="top" wrapText="1"/>
    </xf>
    <xf numFmtId="0" fontId="1" fillId="0" borderId="0" xfId="0" applyFont="1" applyAlignment="1">
      <alignment horizontal="left" vertical="top" wrapText="1"/>
    </xf>
    <xf numFmtId="0" fontId="35" fillId="0" borderId="0" xfId="0" applyFont="1" applyAlignment="1">
      <alignment horizontal="justify" vertical="top" wrapText="1"/>
    </xf>
    <xf numFmtId="0" fontId="1" fillId="2" borderId="0" xfId="0" quotePrefix="1" applyFont="1" applyFill="1" applyAlignment="1">
      <alignment horizontal="justify" vertical="top" wrapText="1"/>
    </xf>
    <xf numFmtId="0" fontId="17" fillId="0" borderId="0" xfId="0" quotePrefix="1" applyFont="1" applyAlignment="1">
      <alignment horizontal="justify" vertical="center" wrapText="1"/>
    </xf>
    <xf numFmtId="0" fontId="17" fillId="0" borderId="0" xfId="0" applyFont="1" applyAlignment="1">
      <alignment horizontal="left" wrapText="1"/>
    </xf>
    <xf numFmtId="0" fontId="32" fillId="0" borderId="0" xfId="0" applyFont="1" applyAlignment="1">
      <alignment horizontal="center"/>
    </xf>
    <xf numFmtId="0" fontId="17" fillId="0" borderId="0" xfId="0" applyFont="1" applyAlignment="1">
      <alignment horizontal="justify" vertical="center" wrapText="1"/>
    </xf>
    <xf numFmtId="0" fontId="17" fillId="0" borderId="0" xfId="0" applyFont="1" applyAlignment="1">
      <alignment horizontal="left" vertical="center" wrapText="1"/>
    </xf>
    <xf numFmtId="0" fontId="17" fillId="2" borderId="0" xfId="0" applyFont="1" applyFill="1" applyAlignment="1">
      <alignment horizontal="justify" wrapText="1"/>
    </xf>
    <xf numFmtId="167" fontId="16" fillId="0" borderId="0" xfId="0" quotePrefix="1" applyNumberFormat="1" applyFont="1" applyAlignment="1">
      <alignment horizontal="center" vertical="center" wrapText="1" shrinkToFit="1"/>
    </xf>
    <xf numFmtId="167" fontId="16" fillId="0" borderId="5" xfId="0" quotePrefix="1" applyNumberFormat="1" applyFont="1" applyBorder="1" applyAlignment="1">
      <alignment horizontal="center" vertical="center" wrapText="1" shrinkToFit="1"/>
    </xf>
    <xf numFmtId="49" fontId="16" fillId="0" borderId="0" xfId="0" applyNumberFormat="1" applyFont="1" applyAlignment="1">
      <alignment horizontal="justify" vertical="center" wrapText="1"/>
    </xf>
    <xf numFmtId="168" fontId="17" fillId="0" borderId="0" xfId="0" quotePrefix="1" applyNumberFormat="1" applyFont="1" applyAlignment="1">
      <alignment horizontal="right" vertical="top" shrinkToFit="1"/>
    </xf>
    <xf numFmtId="167" fontId="16" fillId="0" borderId="0" xfId="0" applyNumberFormat="1" applyFont="1" applyAlignment="1">
      <alignment horizontal="left" vertical="center" wrapText="1"/>
    </xf>
    <xf numFmtId="49" fontId="17" fillId="0" borderId="0" xfId="0" applyNumberFormat="1" applyFont="1" applyAlignment="1">
      <alignment horizontal="justify" vertical="center" wrapText="1"/>
    </xf>
    <xf numFmtId="168" fontId="16" fillId="0" borderId="5" xfId="0" quotePrefix="1" applyNumberFormat="1" applyFont="1" applyBorder="1" applyAlignment="1">
      <alignment horizontal="center" vertical="center" wrapText="1" shrinkToFit="1"/>
    </xf>
    <xf numFmtId="168" fontId="16" fillId="0" borderId="0" xfId="0" applyNumberFormat="1" applyFont="1" applyAlignment="1">
      <alignment vertical="center"/>
    </xf>
    <xf numFmtId="9" fontId="17" fillId="2" borderId="0" xfId="0" applyNumberFormat="1" applyFont="1" applyFill="1" applyAlignment="1">
      <alignment horizontal="left" wrapText="1"/>
    </xf>
    <xf numFmtId="49" fontId="17" fillId="0" borderId="0" xfId="0" applyNumberFormat="1" applyFont="1" applyAlignment="1">
      <alignment horizontal="left" vertical="top" wrapText="1"/>
    </xf>
    <xf numFmtId="0" fontId="16" fillId="0" borderId="0" xfId="0" applyFont="1" applyAlignment="1">
      <alignment horizontal="center" vertical="center"/>
    </xf>
    <xf numFmtId="168" fontId="16" fillId="0" borderId="5" xfId="0" quotePrefix="1" applyNumberFormat="1" applyFont="1" applyBorder="1" applyAlignment="1">
      <alignment horizontal="center" vertical="center" shrinkToFit="1"/>
    </xf>
    <xf numFmtId="168" fontId="16" fillId="0" borderId="5" xfId="0" quotePrefix="1" applyNumberFormat="1" applyFont="1" applyBorder="1" applyAlignment="1">
      <alignment horizontal="right" vertical="center" wrapText="1" shrinkToFit="1"/>
    </xf>
    <xf numFmtId="168" fontId="16" fillId="0" borderId="5" xfId="0" quotePrefix="1" applyNumberFormat="1" applyFont="1" applyBorder="1" applyAlignment="1">
      <alignment horizontal="right" vertical="center" shrinkToFit="1"/>
    </xf>
    <xf numFmtId="167" fontId="16" fillId="0" borderId="0" xfId="0" quotePrefix="1" applyNumberFormat="1" applyFont="1" applyAlignment="1">
      <alignment horizontal="right" vertical="center"/>
    </xf>
    <xf numFmtId="168" fontId="16" fillId="0" borderId="0" xfId="0" applyNumberFormat="1" applyFont="1" applyAlignment="1">
      <alignment horizontal="center" vertical="center"/>
    </xf>
    <xf numFmtId="168" fontId="16" fillId="4" borderId="0" xfId="0" quotePrefix="1" applyNumberFormat="1" applyFont="1" applyFill="1" applyAlignment="1">
      <alignment horizontal="right" vertical="center"/>
    </xf>
    <xf numFmtId="9" fontId="17" fillId="0" borderId="0" xfId="2" applyFont="1" applyFill="1" applyAlignment="1">
      <alignment horizontal="justify" vertical="center" wrapText="1"/>
    </xf>
    <xf numFmtId="0" fontId="16" fillId="0" borderId="0" xfId="0" applyFont="1" applyAlignment="1">
      <alignment horizontal="justify" vertical="center" wrapText="1"/>
    </xf>
    <xf numFmtId="49" fontId="17" fillId="0" borderId="4" xfId="0" applyNumberFormat="1" applyFont="1" applyBorder="1" applyAlignment="1">
      <alignment horizontal="justify" vertical="center"/>
    </xf>
    <xf numFmtId="49" fontId="16" fillId="4" borderId="0" xfId="0" applyNumberFormat="1" applyFont="1" applyFill="1" applyAlignment="1">
      <alignment vertical="center" wrapText="1"/>
    </xf>
    <xf numFmtId="49" fontId="17" fillId="0" borderId="0" xfId="0" applyNumberFormat="1" applyFont="1" applyAlignment="1">
      <alignment wrapText="1"/>
    </xf>
    <xf numFmtId="49" fontId="17" fillId="0" borderId="0" xfId="0" applyNumberFormat="1" applyFont="1" applyAlignment="1">
      <alignment horizontal="left" vertical="center" wrapText="1"/>
    </xf>
    <xf numFmtId="49" fontId="17" fillId="4" borderId="0" xfId="0" applyNumberFormat="1" applyFont="1" applyFill="1" applyAlignment="1">
      <alignment vertical="center" wrapText="1"/>
    </xf>
    <xf numFmtId="10" fontId="17" fillId="0" borderId="0" xfId="0" quotePrefix="1" applyNumberFormat="1" applyFont="1" applyAlignment="1">
      <alignment horizontal="right" vertical="center" shrinkToFit="1"/>
    </xf>
    <xf numFmtId="168" fontId="32" fillId="0" borderId="0" xfId="0" applyNumberFormat="1" applyFont="1" applyAlignment="1">
      <alignment horizontal="center"/>
    </xf>
    <xf numFmtId="0" fontId="17" fillId="4" borderId="0" xfId="0" applyFont="1" applyFill="1" applyAlignment="1">
      <alignment horizontal="left" vertical="center" wrapText="1"/>
    </xf>
    <xf numFmtId="0" fontId="17" fillId="4" borderId="0" xfId="0" applyFont="1" applyFill="1" applyAlignment="1">
      <alignment horizontal="left" vertical="center" wrapText="1" indent="1"/>
    </xf>
    <xf numFmtId="168" fontId="17" fillId="4" borderId="0" xfId="0" applyNumberFormat="1" applyFont="1" applyFill="1" applyAlignment="1">
      <alignment horizontal="center" vertical="center" wrapText="1"/>
    </xf>
    <xf numFmtId="0" fontId="17" fillId="0" borderId="0" xfId="0" applyFont="1" applyAlignment="1">
      <alignment horizontal="justify" wrapText="1"/>
    </xf>
    <xf numFmtId="0" fontId="17" fillId="0" borderId="0" xfId="0" applyFont="1" applyAlignment="1">
      <alignment horizontal="left" vertical="top" wrapText="1" indent="1"/>
    </xf>
    <xf numFmtId="174" fontId="16" fillId="4" borderId="5" xfId="0" quotePrefix="1" applyNumberFormat="1" applyFont="1" applyFill="1" applyBorder="1" applyAlignment="1">
      <alignment horizontal="right" vertical="center" wrapText="1" shrinkToFit="1"/>
    </xf>
    <xf numFmtId="0" fontId="17" fillId="4" borderId="0" xfId="0" applyFont="1" applyFill="1" applyAlignment="1">
      <alignment vertical="center"/>
    </xf>
    <xf numFmtId="168" fontId="16" fillId="0" borderId="0" xfId="0" quotePrefix="1" applyNumberFormat="1" applyFont="1" applyAlignment="1">
      <alignment horizontal="center" vertical="center"/>
    </xf>
    <xf numFmtId="168" fontId="17" fillId="0" borderId="0" xfId="0" applyNumberFormat="1" applyFont="1" applyAlignment="1">
      <alignment horizontal="right"/>
    </xf>
    <xf numFmtId="168" fontId="16" fillId="0" borderId="0" xfId="0" quotePrefix="1" applyNumberFormat="1" applyFont="1" applyAlignment="1">
      <alignment horizontal="right" vertical="center"/>
    </xf>
    <xf numFmtId="0" fontId="16" fillId="0" borderId="0" xfId="0" quotePrefix="1" applyFont="1" applyAlignment="1">
      <alignment vertical="top" wrapText="1"/>
    </xf>
    <xf numFmtId="0" fontId="16" fillId="0" borderId="4" xfId="0" applyFont="1" applyBorder="1" applyAlignment="1">
      <alignment horizontal="center" vertical="center" wrapText="1"/>
    </xf>
    <xf numFmtId="0" fontId="16" fillId="0" borderId="0" xfId="0" applyFont="1" applyAlignment="1">
      <alignment vertical="top" wrapText="1"/>
    </xf>
    <xf numFmtId="49" fontId="17" fillId="0" borderId="0" xfId="0" applyNumberFormat="1" applyFont="1" applyAlignment="1">
      <alignment horizontal="left" vertical="top"/>
    </xf>
    <xf numFmtId="49" fontId="17" fillId="0" borderId="5" xfId="0" applyNumberFormat="1" applyFont="1" applyBorder="1" applyAlignment="1">
      <alignment horizontal="left" vertical="top"/>
    </xf>
    <xf numFmtId="165" fontId="17" fillId="0" borderId="0" xfId="0" applyNumberFormat="1" applyFont="1" applyAlignment="1">
      <alignment vertical="top"/>
    </xf>
    <xf numFmtId="49" fontId="17" fillId="0" borderId="6" xfId="0" applyNumberFormat="1" applyFont="1" applyBorder="1" applyAlignment="1">
      <alignment horizontal="left" vertical="top"/>
    </xf>
    <xf numFmtId="0" fontId="17" fillId="0" borderId="4" xfId="0" applyFont="1" applyBorder="1" applyAlignment="1">
      <alignment horizontal="left" vertical="top" wrapText="1"/>
    </xf>
    <xf numFmtId="0" fontId="17" fillId="0" borderId="5" xfId="0" applyFont="1" applyBorder="1" applyAlignment="1">
      <alignment horizontal="left" vertical="top" wrapText="1"/>
    </xf>
    <xf numFmtId="49" fontId="17" fillId="0" borderId="4" xfId="0" applyNumberFormat="1" applyFont="1" applyBorder="1" applyAlignment="1">
      <alignment horizontal="left" vertical="top"/>
    </xf>
    <xf numFmtId="49" fontId="17" fillId="0" borderId="4" xfId="0" applyNumberFormat="1" applyFont="1" applyBorder="1" applyAlignment="1">
      <alignment horizontal="left" vertical="top" wrapText="1"/>
    </xf>
    <xf numFmtId="49" fontId="16" fillId="0" borderId="0" xfId="0" applyNumberFormat="1" applyFont="1" applyAlignment="1">
      <alignment horizontal="left" vertical="top" wrapText="1"/>
    </xf>
    <xf numFmtId="0" fontId="17" fillId="0" borderId="4" xfId="0" applyFont="1" applyBorder="1" applyAlignment="1">
      <alignment vertical="top" wrapText="1"/>
    </xf>
    <xf numFmtId="0" fontId="16" fillId="0" borderId="0" xfId="0" applyFont="1" applyAlignment="1">
      <alignment vertical="center" wrapText="1"/>
    </xf>
    <xf numFmtId="0" fontId="16" fillId="0" borderId="4" xfId="0" applyFont="1" applyBorder="1" applyAlignment="1">
      <alignment vertical="center" wrapText="1"/>
    </xf>
    <xf numFmtId="0" fontId="16" fillId="0" borderId="4" xfId="0" applyFont="1" applyBorder="1" applyAlignment="1">
      <alignment vertical="top" wrapText="1"/>
    </xf>
    <xf numFmtId="0" fontId="16" fillId="0" borderId="6" xfId="0" applyFont="1" applyBorder="1" applyAlignment="1">
      <alignment vertical="top" wrapText="1"/>
    </xf>
    <xf numFmtId="0" fontId="16" fillId="0" borderId="0" xfId="0" applyFont="1"/>
    <xf numFmtId="165" fontId="17" fillId="0" borderId="0" xfId="0" applyNumberFormat="1" applyFont="1" applyAlignment="1">
      <alignment horizontal="left" vertical="top"/>
    </xf>
    <xf numFmtId="165" fontId="17" fillId="0" borderId="4" xfId="0" applyNumberFormat="1" applyFont="1" applyBorder="1" applyAlignment="1">
      <alignment vertical="top"/>
    </xf>
    <xf numFmtId="49" fontId="16" fillId="0" borderId="6" xfId="0" applyNumberFormat="1" applyFont="1" applyBorder="1" applyAlignment="1">
      <alignment horizontal="left" vertical="center" wrapText="1"/>
    </xf>
    <xf numFmtId="165" fontId="17" fillId="0" borderId="6" xfId="0" applyNumberFormat="1" applyFont="1" applyBorder="1" applyAlignment="1">
      <alignment vertical="top"/>
    </xf>
    <xf numFmtId="165" fontId="17" fillId="0" borderId="5" xfId="0" applyNumberFormat="1" applyFont="1" applyBorder="1" applyAlignment="1">
      <alignment vertical="top"/>
    </xf>
    <xf numFmtId="0" fontId="16" fillId="0" borderId="5" xfId="0" applyFont="1" applyBorder="1" applyAlignment="1">
      <alignment horizontal="left" vertical="top"/>
    </xf>
    <xf numFmtId="49" fontId="17" fillId="0" borderId="5" xfId="0" applyNumberFormat="1" applyFont="1" applyBorder="1" applyAlignment="1">
      <alignment horizontal="left" vertical="top" wrapText="1"/>
    </xf>
    <xf numFmtId="49" fontId="1" fillId="0" borderId="0" xfId="0" applyNumberFormat="1" applyFont="1" applyAlignment="1">
      <alignment horizontal="justify" vertical="top" wrapText="1"/>
    </xf>
    <xf numFmtId="0" fontId="1" fillId="0" borderId="0" xfId="0" applyFont="1" applyAlignment="1">
      <alignment horizontal="justify" vertical="center" wrapText="1"/>
    </xf>
    <xf numFmtId="168" fontId="40" fillId="0" borderId="0" xfId="0" applyNumberFormat="1" applyFont="1" applyAlignment="1">
      <alignment horizontal="center"/>
    </xf>
    <xf numFmtId="49" fontId="1" fillId="0" borderId="0" xfId="0" applyNumberFormat="1" applyFont="1" applyAlignment="1">
      <alignment horizontal="justify" vertical="center" wrapText="1"/>
    </xf>
    <xf numFmtId="49" fontId="13" fillId="0" borderId="0" xfId="0" applyNumberFormat="1" applyFont="1" applyAlignment="1">
      <alignment horizontal="justify" vertical="center" wrapText="1"/>
    </xf>
    <xf numFmtId="168" fontId="13" fillId="0" borderId="6" xfId="0" applyNumberFormat="1" applyFont="1" applyBorder="1" applyAlignment="1">
      <alignment horizontal="center" wrapText="1"/>
    </xf>
    <xf numFmtId="168" fontId="13" fillId="0" borderId="6" xfId="0" applyNumberFormat="1" applyFont="1" applyBorder="1" applyAlignment="1">
      <alignment horizontal="center"/>
    </xf>
    <xf numFmtId="168" fontId="13" fillId="0" borderId="0" xfId="0" applyNumberFormat="1" applyFont="1" applyAlignment="1">
      <alignment horizontal="justify" vertical="top"/>
    </xf>
    <xf numFmtId="0" fontId="17" fillId="4" borderId="0" xfId="0" applyFont="1" applyFill="1" applyAlignment="1">
      <alignment vertical="top" wrapText="1"/>
    </xf>
    <xf numFmtId="168" fontId="16" fillId="0" borderId="6" xfId="0" applyNumberFormat="1" applyFont="1" applyBorder="1" applyAlignment="1">
      <alignment horizontal="center" wrapText="1"/>
    </xf>
    <xf numFmtId="0" fontId="16" fillId="0" borderId="6" xfId="0" applyFont="1" applyBorder="1" applyAlignment="1">
      <alignment horizontal="center" vertical="top" wrapText="1"/>
    </xf>
    <xf numFmtId="0" fontId="16" fillId="0" borderId="4" xfId="0" applyFont="1" applyBorder="1" applyAlignment="1">
      <alignment horizontal="center" vertical="top" wrapText="1"/>
    </xf>
    <xf numFmtId="0" fontId="16" fillId="0" borderId="6" xfId="0" quotePrefix="1" applyFont="1" applyBorder="1" applyAlignment="1">
      <alignment horizontal="center" vertical="top" wrapText="1"/>
    </xf>
    <xf numFmtId="0" fontId="17" fillId="0" borderId="0" xfId="0" applyFont="1" applyAlignment="1">
      <alignment horizontal="center" vertical="top"/>
    </xf>
    <xf numFmtId="49" fontId="17" fillId="4" borderId="0" xfId="0" quotePrefix="1" applyNumberFormat="1" applyFont="1" applyFill="1" applyAlignment="1">
      <alignment horizontal="left" vertical="top" wrapText="1" indent="1"/>
    </xf>
    <xf numFmtId="49" fontId="17" fillId="4" borderId="0" xfId="0" applyNumberFormat="1" applyFont="1" applyFill="1" applyAlignment="1">
      <alignment horizontal="left" vertical="top" wrapText="1" indent="1"/>
    </xf>
    <xf numFmtId="0" fontId="17" fillId="4" borderId="0" xfId="0" applyFont="1" applyFill="1" applyAlignment="1">
      <alignment horizontal="justify" vertical="justify" wrapText="1"/>
    </xf>
    <xf numFmtId="49" fontId="17" fillId="4" borderId="0" xfId="0" applyNumberFormat="1" applyFont="1" applyFill="1" applyAlignment="1">
      <alignment horizontal="justify" vertical="center" wrapText="1"/>
    </xf>
    <xf numFmtId="49" fontId="17" fillId="4" borderId="0" xfId="0" applyNumberFormat="1" applyFont="1" applyFill="1" applyAlignment="1">
      <alignment horizontal="justify" vertical="center"/>
    </xf>
    <xf numFmtId="0" fontId="17" fillId="2" borderId="0" xfId="0" applyFont="1" applyFill="1" applyAlignment="1">
      <alignment horizontal="justify" vertical="top" wrapText="1"/>
    </xf>
    <xf numFmtId="168" fontId="1" fillId="0" borderId="0" xfId="1" applyNumberFormat="1" applyFont="1" applyAlignment="1"/>
    <xf numFmtId="168" fontId="13" fillId="0" borderId="0" xfId="1" applyNumberFormat="1" applyFont="1" applyAlignment="1"/>
    <xf numFmtId="0" fontId="1" fillId="0" borderId="0" xfId="0" applyFont="1"/>
    <xf numFmtId="9" fontId="1" fillId="0" borderId="0" xfId="2" applyFont="1" applyAlignment="1"/>
    <xf numFmtId="0" fontId="13" fillId="0" borderId="0" xfId="0" applyFont="1" applyAlignment="1">
      <alignment horizontal="right" wrapText="1"/>
    </xf>
    <xf numFmtId="49" fontId="17" fillId="0" borderId="0" xfId="0" applyNumberFormat="1" applyFont="1" applyAlignment="1">
      <alignment horizontal="justify" vertical="top" wrapText="1"/>
    </xf>
    <xf numFmtId="0" fontId="17" fillId="0" borderId="0" xfId="0" applyFont="1"/>
    <xf numFmtId="49" fontId="17" fillId="2" borderId="0" xfId="0" applyNumberFormat="1" applyFont="1" applyFill="1" applyAlignment="1">
      <alignment horizontal="left" vertical="top" wrapText="1"/>
    </xf>
    <xf numFmtId="0" fontId="17" fillId="2" borderId="0" xfId="0" applyFont="1" applyFill="1" applyAlignment="1">
      <alignment horizontal="left" vertical="top" wrapText="1"/>
    </xf>
    <xf numFmtId="0" fontId="16" fillId="2" borderId="0" xfId="0" applyFont="1" applyFill="1" applyAlignment="1">
      <alignment horizontal="justify" vertical="center"/>
    </xf>
    <xf numFmtId="0" fontId="17" fillId="2" borderId="0" xfId="0" applyFont="1" applyFill="1" applyAlignment="1">
      <alignment horizontal="left" wrapText="1"/>
    </xf>
    <xf numFmtId="0" fontId="16" fillId="0" borderId="0" xfId="0" applyFont="1" applyAlignment="1">
      <alignment horizontal="center" vertical="center" wrapText="1"/>
    </xf>
    <xf numFmtId="0" fontId="53" fillId="9" borderId="1" xfId="0" applyFont="1" applyFill="1" applyBorder="1" applyAlignment="1">
      <alignment horizontal="center"/>
    </xf>
    <xf numFmtId="168" fontId="53" fillId="9" borderId="10" xfId="0" applyNumberFormat="1" applyFont="1" applyFill="1" applyBorder="1" applyAlignment="1">
      <alignment horizontal="center" vertical="top"/>
    </xf>
    <xf numFmtId="168" fontId="53" fillId="9" borderId="6" xfId="0" applyNumberFormat="1" applyFont="1" applyFill="1" applyBorder="1" applyAlignment="1">
      <alignment horizontal="center" vertical="top"/>
    </xf>
    <xf numFmtId="168" fontId="53" fillId="9" borderId="2" xfId="0" applyNumberFormat="1" applyFont="1" applyFill="1" applyBorder="1" applyAlignment="1">
      <alignment horizontal="center" vertical="top"/>
    </xf>
    <xf numFmtId="167" fontId="50" fillId="0" borderId="13" xfId="1" applyFont="1" applyBorder="1" applyAlignment="1">
      <alignment horizontal="center"/>
    </xf>
    <xf numFmtId="167" fontId="50" fillId="0" borderId="4" xfId="1" applyFont="1" applyBorder="1" applyAlignment="1">
      <alignment horizontal="center"/>
    </xf>
    <xf numFmtId="167" fontId="50" fillId="0" borderId="7" xfId="0" applyNumberFormat="1" applyFont="1" applyBorder="1" applyAlignment="1">
      <alignment horizontal="center"/>
    </xf>
    <xf numFmtId="167" fontId="50" fillId="0" borderId="0" xfId="0" applyNumberFormat="1" applyFont="1" applyAlignment="1">
      <alignment horizontal="center"/>
    </xf>
    <xf numFmtId="168" fontId="8" fillId="12" borderId="5" xfId="0" applyNumberFormat="1" applyFont="1" applyFill="1" applyBorder="1" applyAlignment="1">
      <alignment horizontal="center" vertical="center"/>
    </xf>
    <xf numFmtId="168" fontId="8" fillId="13" borderId="10" xfId="0" applyNumberFormat="1" applyFont="1" applyFill="1" applyBorder="1" applyAlignment="1">
      <alignment horizontal="center" vertical="center"/>
    </xf>
    <xf numFmtId="168" fontId="8" fillId="13" borderId="6" xfId="0" applyNumberFormat="1" applyFont="1" applyFill="1" applyBorder="1" applyAlignment="1">
      <alignment horizontal="center" vertical="center"/>
    </xf>
    <xf numFmtId="168" fontId="8" fillId="13" borderId="2" xfId="0" applyNumberFormat="1" applyFont="1" applyFill="1" applyBorder="1" applyAlignment="1">
      <alignment horizontal="center" vertical="center"/>
    </xf>
    <xf numFmtId="168" fontId="8" fillId="11" borderId="10" xfId="0" applyNumberFormat="1" applyFont="1" applyFill="1" applyBorder="1" applyAlignment="1">
      <alignment horizontal="center" vertical="center"/>
    </xf>
    <xf numFmtId="168" fontId="8" fillId="11" borderId="6" xfId="0" applyNumberFormat="1" applyFont="1" applyFill="1" applyBorder="1" applyAlignment="1">
      <alignment horizontal="center" vertical="center"/>
    </xf>
    <xf numFmtId="168" fontId="8" fillId="11" borderId="2" xfId="0" applyNumberFormat="1" applyFont="1" applyFill="1" applyBorder="1" applyAlignment="1">
      <alignment horizontal="center" vertical="center"/>
    </xf>
    <xf numFmtId="168" fontId="11" fillId="0" borderId="5" xfId="0" applyNumberFormat="1" applyFont="1" applyBorder="1" applyAlignment="1">
      <alignment horizontal="center"/>
    </xf>
    <xf numFmtId="168" fontId="11" fillId="0" borderId="0" xfId="0" applyNumberFormat="1" applyFont="1" applyAlignment="1">
      <alignment horizontal="center"/>
    </xf>
  </cellXfs>
  <cellStyles count="5">
    <cellStyle name="Comma" xfId="1" builtinId="3"/>
    <cellStyle name="Currency" xfId="4" builtinId="4"/>
    <cellStyle name="Nor}al" xfId="3" xr:uid="{21EC0B5E-FA64-4EEE-B9C2-DBC596607D0C}"/>
    <cellStyle name="Normal" xfId="0" builtinId="0"/>
    <cellStyle name="Percent" xfId="2" builtinId="5"/>
  </cellStyles>
  <dxfs count="5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3FB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8</xdr:col>
      <xdr:colOff>472724</xdr:colOff>
      <xdr:row>77</xdr:row>
      <xdr:rowOff>60704</xdr:rowOff>
    </xdr:from>
    <xdr:ext cx="994832" cy="900137"/>
    <xdr:pic>
      <xdr:nvPicPr>
        <xdr:cNvPr id="4" name="Picture 3">
          <a:extLst>
            <a:ext uri="{FF2B5EF4-FFF2-40B4-BE49-F238E27FC236}">
              <a16:creationId xmlns:a16="http://schemas.microsoft.com/office/drawing/2014/main" id="{36316AF5-6398-46E2-A733-ADB07553BE38}"/>
            </a:ext>
          </a:extLst>
        </xdr:cNvPr>
        <xdr:cNvPicPr>
          <a:picLocks noChangeAspect="1"/>
        </xdr:cNvPicPr>
      </xdr:nvPicPr>
      <xdr:blipFill>
        <a:blip xmlns:r="http://schemas.openxmlformats.org/officeDocument/2006/relationships" r:embed="rId1"/>
        <a:stretch>
          <a:fillRect/>
        </a:stretch>
      </xdr:blipFill>
      <xdr:spPr>
        <a:xfrm>
          <a:off x="7923391" y="11568315"/>
          <a:ext cx="994832" cy="900137"/>
        </a:xfrm>
        <a:prstGeom prst="rect">
          <a:avLst/>
        </a:prstGeom>
      </xdr:spPr>
    </xdr:pic>
    <xdr:clientData/>
  </xdr:oneCellAnchor>
  <xdr:twoCellAnchor editAs="oneCell">
    <xdr:from>
      <xdr:col>8</xdr:col>
      <xdr:colOff>366889</xdr:colOff>
      <xdr:row>119</xdr:row>
      <xdr:rowOff>134056</xdr:rowOff>
    </xdr:from>
    <xdr:to>
      <xdr:col>8</xdr:col>
      <xdr:colOff>1406524</xdr:colOff>
      <xdr:row>126</xdr:row>
      <xdr:rowOff>2318</xdr:rowOff>
    </xdr:to>
    <xdr:pic>
      <xdr:nvPicPr>
        <xdr:cNvPr id="6" name="Picture 5">
          <a:extLst>
            <a:ext uri="{FF2B5EF4-FFF2-40B4-BE49-F238E27FC236}">
              <a16:creationId xmlns:a16="http://schemas.microsoft.com/office/drawing/2014/main" id="{560A62D0-43E6-4215-BA20-847AB1FBD833}"/>
            </a:ext>
          </a:extLst>
        </xdr:cNvPr>
        <xdr:cNvPicPr>
          <a:picLocks noChangeAspect="1"/>
        </xdr:cNvPicPr>
      </xdr:nvPicPr>
      <xdr:blipFill>
        <a:blip xmlns:r="http://schemas.openxmlformats.org/officeDocument/2006/relationships" r:embed="rId1"/>
        <a:stretch>
          <a:fillRect/>
        </a:stretch>
      </xdr:blipFill>
      <xdr:spPr>
        <a:xfrm>
          <a:off x="7817556" y="18605500"/>
          <a:ext cx="1068210" cy="90013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simit_khandelwal_walkerchandiok_in/Documents/Documents/D%20DATA/Office%20DATA/Paladion/Paladion%20-%20M25/Workpapers/Other%20current%20assets_PNPL_M25.xlsx" TargetMode="External"/><Relationship Id="rId2" Type="http://schemas.openxmlformats.org/officeDocument/2006/relationships/externalLinkPath" Target="https://grcgt-my.sharepoint.com/personal/simit_khandelwal_walkerchandiok_in/Documents/Documents/D%20DATA/Office%20DATA/Paladion/Paladion%20-%20M25/Workpapers/Other%20current%20assets_PNPL_M25.xlsx" TargetMode="External"/><Relationship Id="rId1" Type="http://schemas.openxmlformats.org/officeDocument/2006/relationships/externalLinkPath" Target="/personal/simit_khandelwal_walkerchandiok_in/Documents/Documents/D%20DATA/Office%20DATA/Paladion/Paladion%20-%20M25/Workpapers/Other%20current%20assets_PNPL_M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emo "/>
      <sheetName val="Lead"/>
      <sheetName val="Sub lead"/>
      <sheetName val="Receivable from group companies"/>
      <sheetName val="Loans &amp; advances"/>
      <sheetName val="Sampling"/>
      <sheetName val="Prepaid Assets"/>
      <sheetName val="Prepaid- India Recomputation"/>
      <sheetName val="Sharjah Recomputation"/>
      <sheetName val="US Recomputation"/>
      <sheetName val="TB"/>
      <sheetName val="Balance with govt authorities "/>
      <sheetName val="GSTR-3B Mumbai"/>
      <sheetName val="GSTR-3B Banglore"/>
      <sheetName val="VAT details"/>
    </sheetNames>
    <sheetDataSet>
      <sheetData sheetId="0" refreshError="1"/>
      <sheetData sheetId="1" refreshError="1"/>
      <sheetData sheetId="2" refreshError="1"/>
      <sheetData sheetId="3" refreshError="1"/>
      <sheetData sheetId="4" refreshError="1"/>
      <sheetData sheetId="5" refreshError="1"/>
      <sheetData sheetId="6">
        <row r="13">
          <cell r="D13">
            <v>29349319.876686383</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90974-0CF0-4782-8630-298536D9E0C0}">
  <sheetPr>
    <tabColor rgb="FF7030A0"/>
  </sheetPr>
  <dimension ref="B1:J77"/>
  <sheetViews>
    <sheetView showGridLines="0" topLeftCell="A65" zoomScaleNormal="100" zoomScaleSheetLayoutView="90" workbookViewId="0">
      <selection activeCell="B75" sqref="A75:XFD90"/>
    </sheetView>
  </sheetViews>
  <sheetFormatPr defaultColWidth="9.1796875" defaultRowHeight="11.5" outlineLevelRow="1" outlineLevelCol="1" x14ac:dyDescent="0.25"/>
  <cols>
    <col min="1" max="1" width="2.81640625" style="664" customWidth="1"/>
    <col min="2" max="2" width="70.1796875" style="746" customWidth="1"/>
    <col min="3" max="3" width="7" style="655" customWidth="1"/>
    <col min="4" max="4" width="19.1796875" style="444" hidden="1" customWidth="1" outlineLevel="1"/>
    <col min="5" max="5" width="22.81640625" style="17" customWidth="1" collapsed="1"/>
    <col min="6" max="6" width="22.81640625" style="664" customWidth="1"/>
    <col min="7" max="7" width="19.81640625" style="664" bestFit="1" customWidth="1"/>
    <col min="8" max="8" width="14.54296875" style="664" bestFit="1" customWidth="1"/>
    <col min="9" max="9" width="13.1796875" style="664" bestFit="1" customWidth="1"/>
    <col min="10" max="10" width="7.54296875" style="664" bestFit="1" customWidth="1"/>
    <col min="11" max="11" width="13.1796875" style="664" bestFit="1" customWidth="1"/>
    <col min="12" max="12" width="9.1796875" style="664"/>
    <col min="13" max="13" width="13.1796875" style="664" bestFit="1" customWidth="1"/>
    <col min="14" max="16384" width="9.1796875" style="664"/>
  </cols>
  <sheetData>
    <row r="1" spans="2:10" x14ac:dyDescent="0.25">
      <c r="B1" s="33"/>
      <c r="C1" s="39"/>
      <c r="D1" s="3"/>
      <c r="E1" s="3"/>
      <c r="F1" s="3"/>
      <c r="G1" s="979"/>
      <c r="H1" s="979"/>
      <c r="I1" s="979"/>
      <c r="J1" s="979"/>
    </row>
    <row r="2" spans="2:10" x14ac:dyDescent="0.25">
      <c r="B2" s="282" t="s">
        <v>1</v>
      </c>
      <c r="C2" s="39"/>
      <c r="D2" s="3"/>
      <c r="E2" s="3"/>
      <c r="F2" s="3"/>
      <c r="G2" s="979"/>
      <c r="H2" s="979"/>
      <c r="I2" s="979"/>
      <c r="J2" s="979"/>
    </row>
    <row r="3" spans="2:10" ht="12" x14ac:dyDescent="0.3">
      <c r="B3" s="283" t="s">
        <v>2</v>
      </c>
      <c r="C3" s="39"/>
      <c r="D3" s="3"/>
      <c r="E3" s="3"/>
      <c r="F3" s="3"/>
      <c r="G3" s="979"/>
      <c r="H3" s="980" t="s">
        <v>3</v>
      </c>
      <c r="I3" s="1076">
        <f>E31-E64</f>
        <v>-8.1383735683630221E-2</v>
      </c>
      <c r="J3" s="1078">
        <f>F31-F64</f>
        <v>-0.22206286908112816</v>
      </c>
    </row>
    <row r="4" spans="2:10" x14ac:dyDescent="0.25">
      <c r="B4" s="33"/>
      <c r="C4" s="39"/>
      <c r="D4" s="3"/>
      <c r="E4" s="3"/>
      <c r="F4" s="3"/>
      <c r="G4" s="979"/>
      <c r="H4" s="981" t="s">
        <v>4</v>
      </c>
      <c r="I4" s="1075">
        <f>Cashflow!D50-Cashflow!D58</f>
        <v>-0.30940570619441132</v>
      </c>
      <c r="J4" s="1079">
        <f>Cashflow!E50-Cashflow!E58</f>
        <v>2.8245030025573215E-3</v>
      </c>
    </row>
    <row r="5" spans="2:10" s="745" customFormat="1" ht="23" x14ac:dyDescent="0.35">
      <c r="B5" s="551" t="s">
        <v>5</v>
      </c>
      <c r="C5" s="293" t="s">
        <v>6</v>
      </c>
      <c r="D5" s="983"/>
      <c r="E5" s="294" t="s">
        <v>7</v>
      </c>
      <c r="F5" s="294" t="s">
        <v>8</v>
      </c>
      <c r="G5" s="984"/>
      <c r="H5" s="984"/>
      <c r="I5" s="984"/>
      <c r="J5" s="984"/>
    </row>
    <row r="6" spans="2:10" s="745" customFormat="1" x14ac:dyDescent="0.35">
      <c r="B6" s="985"/>
      <c r="C6" s="455"/>
      <c r="D6" s="984"/>
      <c r="E6" s="114"/>
      <c r="F6" s="114"/>
      <c r="G6" s="984"/>
      <c r="H6" s="984"/>
      <c r="I6" s="984"/>
      <c r="J6" s="984"/>
    </row>
    <row r="7" spans="2:10" x14ac:dyDescent="0.25">
      <c r="B7" s="284" t="s">
        <v>9</v>
      </c>
      <c r="C7" s="241"/>
      <c r="D7" s="80"/>
      <c r="E7" s="80"/>
      <c r="F7" s="85"/>
      <c r="G7" s="979"/>
      <c r="H7" s="979"/>
      <c r="I7" s="979"/>
      <c r="J7" s="979"/>
    </row>
    <row r="8" spans="2:10" x14ac:dyDescent="0.25">
      <c r="B8" s="284"/>
      <c r="C8" s="241"/>
      <c r="D8" s="80"/>
      <c r="E8" s="80"/>
      <c r="F8" s="85"/>
      <c r="G8" s="979"/>
      <c r="H8" s="979"/>
      <c r="I8" s="979"/>
      <c r="J8" s="979"/>
    </row>
    <row r="9" spans="2:10" s="721" customFormat="1" x14ac:dyDescent="0.25">
      <c r="B9" s="285" t="s">
        <v>10</v>
      </c>
      <c r="C9" s="210"/>
      <c r="D9" s="90"/>
      <c r="E9" s="90"/>
      <c r="F9" s="90"/>
      <c r="G9" s="986"/>
      <c r="H9" s="846"/>
      <c r="I9" s="846"/>
      <c r="J9" s="846"/>
    </row>
    <row r="10" spans="2:10" s="721" customFormat="1" x14ac:dyDescent="0.25">
      <c r="B10" s="286" t="s">
        <v>11</v>
      </c>
      <c r="C10" s="210">
        <f>'3-4'!A5</f>
        <v>3</v>
      </c>
      <c r="D10" s="90"/>
      <c r="E10" s="90">
        <f>'3-4'!H28</f>
        <v>381.66709341397927</v>
      </c>
      <c r="F10" s="839">
        <f>'3-4'!H29</f>
        <v>589.31207608048589</v>
      </c>
      <c r="G10" s="979"/>
      <c r="H10" s="979"/>
      <c r="I10" s="846"/>
      <c r="J10" s="846"/>
    </row>
    <row r="11" spans="2:10" s="721" customFormat="1" x14ac:dyDescent="0.25">
      <c r="B11" s="286" t="s">
        <v>12</v>
      </c>
      <c r="C11" s="210">
        <f>'3-4'!A33</f>
        <v>4</v>
      </c>
      <c r="D11" s="90"/>
      <c r="E11" s="90">
        <f>'3-4'!E56</f>
        <v>3913.8614971000002</v>
      </c>
      <c r="F11" s="839">
        <f>'3-4'!E57</f>
        <v>3214.71</v>
      </c>
      <c r="G11" s="979"/>
      <c r="H11" s="979"/>
      <c r="I11" s="846"/>
      <c r="J11" s="846"/>
    </row>
    <row r="12" spans="2:10" s="721" customFormat="1" x14ac:dyDescent="0.25">
      <c r="B12" s="286" t="s">
        <v>13</v>
      </c>
      <c r="C12" s="210">
        <f>'Leases 29'!A5</f>
        <v>29</v>
      </c>
      <c r="D12" s="90"/>
      <c r="E12" s="90">
        <f>'Leases 29'!E33</f>
        <v>752.24661904056813</v>
      </c>
      <c r="F12" s="839">
        <f>'Leases 29'!E34</f>
        <v>754.6876126660261</v>
      </c>
      <c r="G12" s="979"/>
      <c r="H12" s="979"/>
      <c r="I12" s="846"/>
      <c r="J12" s="846"/>
    </row>
    <row r="13" spans="2:10" s="721" customFormat="1" x14ac:dyDescent="0.25">
      <c r="B13" s="286" t="s">
        <v>14</v>
      </c>
      <c r="C13" s="210">
        <f>'3-4'!A33</f>
        <v>4</v>
      </c>
      <c r="D13" s="90"/>
      <c r="E13" s="90">
        <f>'3-4'!D56</f>
        <v>0</v>
      </c>
      <c r="F13" s="839">
        <f>'3-4'!D57</f>
        <v>589</v>
      </c>
      <c r="G13" s="979"/>
      <c r="H13" s="979"/>
      <c r="I13" s="846"/>
      <c r="J13" s="846"/>
    </row>
    <row r="14" spans="2:10" s="447" customFormat="1" hidden="1" x14ac:dyDescent="0.25">
      <c r="B14" s="286" t="s">
        <v>15</v>
      </c>
      <c r="C14" s="210">
        <f>'3-4'!A33</f>
        <v>4</v>
      </c>
      <c r="D14" s="90"/>
      <c r="E14" s="90">
        <f>'Standalone TB'!X182+'Standalone TB'!X175</f>
        <v>0</v>
      </c>
      <c r="F14" s="839">
        <v>0</v>
      </c>
      <c r="G14" s="979"/>
      <c r="H14" s="979"/>
      <c r="I14" s="846"/>
      <c r="J14" s="846"/>
    </row>
    <row r="15" spans="2:10" s="721" customFormat="1" x14ac:dyDescent="0.25">
      <c r="B15" s="286" t="s">
        <v>16</v>
      </c>
      <c r="C15" s="210"/>
      <c r="D15" s="90"/>
      <c r="E15" s="90"/>
      <c r="F15" s="839"/>
      <c r="G15" s="979"/>
      <c r="H15" s="979"/>
      <c r="I15" s="846"/>
      <c r="J15" s="846"/>
    </row>
    <row r="16" spans="2:10" s="721" customFormat="1" x14ac:dyDescent="0.25">
      <c r="B16" s="987" t="s">
        <v>17</v>
      </c>
      <c r="C16" s="210">
        <f>'5-7'!A6</f>
        <v>5</v>
      </c>
      <c r="D16" s="90"/>
      <c r="E16" s="90">
        <f>'5-7'!D17</f>
        <v>443.52744414685117</v>
      </c>
      <c r="F16" s="839">
        <f>'5-7'!E17</f>
        <v>773</v>
      </c>
      <c r="G16" s="979"/>
      <c r="H16" s="979"/>
      <c r="I16" s="988"/>
      <c r="J16" s="846"/>
    </row>
    <row r="17" spans="2:8" s="721" customFormat="1" x14ac:dyDescent="0.25">
      <c r="B17" s="287" t="s">
        <v>18</v>
      </c>
      <c r="C17" s="210">
        <f>'26-27'!A5</f>
        <v>26</v>
      </c>
      <c r="D17" s="90"/>
      <c r="E17" s="328">
        <f>'26-27'!F90</f>
        <v>398.71986500000003</v>
      </c>
      <c r="F17" s="839">
        <f>'26-27'!G120</f>
        <v>398.51986811427963</v>
      </c>
      <c r="G17" s="979"/>
      <c r="H17" s="979"/>
    </row>
    <row r="18" spans="2:8" s="721" customFormat="1" x14ac:dyDescent="0.25">
      <c r="B18" s="286" t="s">
        <v>19</v>
      </c>
      <c r="C18" s="210">
        <f>'26-27'!A5</f>
        <v>26</v>
      </c>
      <c r="D18" s="90"/>
      <c r="E18" s="328">
        <f>'26-27'!F72</f>
        <v>981.25817698576691</v>
      </c>
      <c r="F18" s="839">
        <f>'26-27'!G72</f>
        <v>1849.6467655909764</v>
      </c>
      <c r="G18" s="979"/>
      <c r="H18" s="979"/>
    </row>
    <row r="19" spans="2:8" s="721" customFormat="1" x14ac:dyDescent="0.35">
      <c r="B19" s="288" t="s">
        <v>20</v>
      </c>
      <c r="C19" s="210"/>
      <c r="D19" s="260">
        <f>SUM(D10:D18)</f>
        <v>0</v>
      </c>
      <c r="E19" s="260">
        <f>SUM(E10:E18)</f>
        <v>6871.2806956871655</v>
      </c>
      <c r="F19" s="260">
        <f>SUM(F10:F18)+1</f>
        <v>8169.8763224517679</v>
      </c>
      <c r="G19" s="91"/>
      <c r="H19" s="91"/>
    </row>
    <row r="20" spans="2:8" s="721" customFormat="1" ht="9" customHeight="1" x14ac:dyDescent="0.25">
      <c r="B20" s="288"/>
      <c r="C20" s="210"/>
      <c r="D20" s="90"/>
      <c r="E20" s="90"/>
      <c r="F20" s="90"/>
      <c r="G20" s="986"/>
      <c r="H20" s="846"/>
    </row>
    <row r="21" spans="2:8" s="721" customFormat="1" x14ac:dyDescent="0.25">
      <c r="B21" s="285" t="s">
        <v>21</v>
      </c>
      <c r="C21" s="210"/>
      <c r="D21" s="90"/>
      <c r="E21" s="90"/>
      <c r="F21" s="90"/>
      <c r="G21" s="986"/>
      <c r="H21" s="846"/>
    </row>
    <row r="22" spans="2:8" s="721" customFormat="1" x14ac:dyDescent="0.25">
      <c r="B22" s="286" t="s">
        <v>16</v>
      </c>
      <c r="C22" s="210"/>
      <c r="D22" s="90"/>
      <c r="E22" s="90"/>
      <c r="F22" s="90"/>
      <c r="G22" s="986"/>
      <c r="H22" s="846"/>
    </row>
    <row r="23" spans="2:8" s="447" customFormat="1" hidden="1" x14ac:dyDescent="0.25">
      <c r="B23" s="987" t="s">
        <v>22</v>
      </c>
      <c r="C23" s="210">
        <v>7</v>
      </c>
      <c r="D23" s="90">
        <v>0</v>
      </c>
      <c r="E23" s="90">
        <v>0</v>
      </c>
      <c r="F23" s="90">
        <v>0</v>
      </c>
      <c r="G23" s="979"/>
      <c r="H23" s="846"/>
    </row>
    <row r="24" spans="2:8" s="721" customFormat="1" x14ac:dyDescent="0.25">
      <c r="B24" s="987" t="s">
        <v>23</v>
      </c>
      <c r="C24" s="210">
        <f>'8-10'!$A$5</f>
        <v>8</v>
      </c>
      <c r="D24" s="90"/>
      <c r="E24" s="90">
        <f>'8-10'!I17</f>
        <v>9350.3619247300776</v>
      </c>
      <c r="F24" s="839">
        <f>'8-10'!$J$17</f>
        <v>11738.929787266687</v>
      </c>
      <c r="G24" s="979"/>
      <c r="H24" s="979"/>
    </row>
    <row r="25" spans="2:8" s="721" customFormat="1" x14ac:dyDescent="0.25">
      <c r="B25" s="987" t="s">
        <v>24</v>
      </c>
      <c r="C25" s="210">
        <f>'8-10'!$A$53</f>
        <v>9</v>
      </c>
      <c r="D25" s="90"/>
      <c r="E25" s="90">
        <f>'8-10'!$I$60</f>
        <v>5497.6527884155275</v>
      </c>
      <c r="F25" s="839">
        <f>'8-10'!$J$60</f>
        <v>3886.7735793040001</v>
      </c>
      <c r="G25" s="979"/>
      <c r="H25" s="979"/>
    </row>
    <row r="26" spans="2:8" s="721" customFormat="1" x14ac:dyDescent="0.25">
      <c r="B26" s="987" t="s">
        <v>25</v>
      </c>
      <c r="C26" s="210">
        <f>'8-10'!A67</f>
        <v>10</v>
      </c>
      <c r="D26" s="90"/>
      <c r="E26" s="90">
        <f>'8-10'!$I$70</f>
        <v>2.4020559999999964</v>
      </c>
      <c r="F26" s="839">
        <f>'8-10'!$J$70</f>
        <v>2247.8617684000001</v>
      </c>
      <c r="G26" s="979"/>
      <c r="H26" s="979"/>
    </row>
    <row r="27" spans="2:8" s="721" customFormat="1" x14ac:dyDescent="0.25">
      <c r="B27" s="987" t="s">
        <v>17</v>
      </c>
      <c r="C27" s="210">
        <f>'5-7'!A6</f>
        <v>5</v>
      </c>
      <c r="D27" s="90"/>
      <c r="E27" s="90">
        <f>'5-7'!D25</f>
        <v>204.39540894177503</v>
      </c>
      <c r="F27" s="839">
        <f>'5-7'!E25</f>
        <v>129</v>
      </c>
      <c r="G27" s="979"/>
      <c r="H27" s="979"/>
    </row>
    <row r="28" spans="2:8" s="721" customFormat="1" x14ac:dyDescent="0.25">
      <c r="B28" s="286" t="s">
        <v>26</v>
      </c>
      <c r="C28" s="210">
        <f>'5-7'!A30</f>
        <v>6</v>
      </c>
      <c r="D28" s="90"/>
      <c r="E28" s="90">
        <f>'5-7'!D45</f>
        <v>2176.4270736378926</v>
      </c>
      <c r="F28" s="839">
        <f>'5-7'!E45</f>
        <v>2591.1319685377498</v>
      </c>
      <c r="G28" s="979"/>
      <c r="H28" s="979"/>
    </row>
    <row r="29" spans="2:8" s="721" customFormat="1" x14ac:dyDescent="0.25">
      <c r="B29" s="285" t="s">
        <v>27</v>
      </c>
      <c r="C29" s="210"/>
      <c r="D29" s="260">
        <f t="shared" ref="D29" si="0">SUM(D22:D28)</f>
        <v>0</v>
      </c>
      <c r="E29" s="260">
        <f>SUM(E24:E28)</f>
        <v>17231.239251725274</v>
      </c>
      <c r="F29" s="842">
        <f>SUM(F22:F28)</f>
        <v>20593.697103508439</v>
      </c>
      <c r="G29" s="253"/>
      <c r="H29" s="253"/>
    </row>
    <row r="30" spans="2:8" s="721" customFormat="1" ht="8.25" customHeight="1" x14ac:dyDescent="0.25">
      <c r="B30" s="289"/>
      <c r="C30" s="210"/>
      <c r="D30" s="90"/>
      <c r="E30" s="90"/>
      <c r="F30" s="90"/>
      <c r="G30" s="986"/>
      <c r="H30" s="846"/>
    </row>
    <row r="31" spans="2:8" s="721" customFormat="1" ht="12" thickBot="1" x14ac:dyDescent="0.3">
      <c r="B31" s="285" t="s">
        <v>28</v>
      </c>
      <c r="C31" s="210"/>
      <c r="D31" s="263">
        <f t="shared" ref="D31" si="1">+D19+D29</f>
        <v>0</v>
      </c>
      <c r="E31" s="263">
        <f>+E19+E29</f>
        <v>24102.519947412438</v>
      </c>
      <c r="F31" s="263">
        <f>+F19+F29</f>
        <v>28763.573425960207</v>
      </c>
      <c r="G31" s="979"/>
      <c r="H31" s="979"/>
    </row>
    <row r="32" spans="2:8" s="721" customFormat="1" ht="9" customHeight="1" thickTop="1" x14ac:dyDescent="0.25">
      <c r="B32" s="285"/>
      <c r="C32" s="210"/>
      <c r="D32" s="846"/>
      <c r="E32" s="36"/>
      <c r="F32" s="846"/>
      <c r="G32" s="986"/>
      <c r="H32" s="846"/>
    </row>
    <row r="33" spans="2:8" s="447" customFormat="1" ht="18.75" hidden="1" customHeight="1" x14ac:dyDescent="0.25">
      <c r="B33" s="285"/>
      <c r="C33" s="210"/>
      <c r="D33" s="846"/>
      <c r="E33" s="36"/>
      <c r="F33" s="846"/>
      <c r="G33" s="986"/>
      <c r="H33" s="846"/>
    </row>
    <row r="34" spans="2:8" s="721" customFormat="1" x14ac:dyDescent="0.25">
      <c r="B34" s="285" t="s">
        <v>29</v>
      </c>
      <c r="C34" s="210"/>
      <c r="D34" s="90"/>
      <c r="E34" s="90"/>
      <c r="F34" s="90"/>
      <c r="G34" s="986"/>
      <c r="H34" s="846"/>
    </row>
    <row r="35" spans="2:8" s="721" customFormat="1" ht="9" customHeight="1" x14ac:dyDescent="0.25">
      <c r="B35" s="285"/>
      <c r="C35" s="210"/>
      <c r="D35" s="90"/>
      <c r="E35" s="90"/>
      <c r="F35" s="90"/>
      <c r="G35" s="986"/>
      <c r="H35" s="846"/>
    </row>
    <row r="36" spans="2:8" s="721" customFormat="1" x14ac:dyDescent="0.25">
      <c r="B36" s="285" t="s">
        <v>30</v>
      </c>
      <c r="C36" s="210"/>
      <c r="D36" s="90"/>
      <c r="E36" s="90"/>
      <c r="F36" s="90"/>
      <c r="G36" s="986"/>
      <c r="H36" s="846"/>
    </row>
    <row r="37" spans="2:8" s="721" customFormat="1" x14ac:dyDescent="0.25">
      <c r="B37" s="286" t="s">
        <v>31</v>
      </c>
      <c r="C37" s="210">
        <f>'11-13'!$A$5</f>
        <v>11</v>
      </c>
      <c r="D37" s="90"/>
      <c r="E37" s="90">
        <f>('11-13'!H28+'11-13'!H35)</f>
        <v>50.618299999999998</v>
      </c>
      <c r="F37" s="90">
        <f>5061830/10^5</f>
        <v>50.618299999999998</v>
      </c>
      <c r="G37" s="979"/>
      <c r="H37" s="979"/>
    </row>
    <row r="38" spans="2:8" s="721" customFormat="1" x14ac:dyDescent="0.25">
      <c r="B38" s="290" t="s">
        <v>32</v>
      </c>
      <c r="C38" s="210">
        <f>'11-13'!$A$109</f>
        <v>12</v>
      </c>
      <c r="D38" s="90"/>
      <c r="E38" s="90">
        <f>'11-13'!G113</f>
        <v>11476.706268722122</v>
      </c>
      <c r="F38" s="90">
        <f>'11-13'!H113</f>
        <v>11364.975002792136</v>
      </c>
      <c r="G38" s="979"/>
      <c r="H38" s="979"/>
    </row>
    <row r="39" spans="2:8" s="447" customFormat="1" hidden="1" x14ac:dyDescent="0.25">
      <c r="B39" s="290" t="s">
        <v>33</v>
      </c>
      <c r="C39" s="210">
        <v>12</v>
      </c>
      <c r="D39" s="90">
        <v>0</v>
      </c>
      <c r="E39" s="90">
        <v>0</v>
      </c>
      <c r="F39" s="90">
        <v>0</v>
      </c>
      <c r="G39" s="979"/>
      <c r="H39" s="846"/>
    </row>
    <row r="40" spans="2:8" s="721" customFormat="1" x14ac:dyDescent="0.25">
      <c r="B40" s="285" t="s">
        <v>34</v>
      </c>
      <c r="C40" s="210"/>
      <c r="D40" s="260">
        <f t="shared" ref="D40" si="2">SUM(D37:D39)</f>
        <v>0</v>
      </c>
      <c r="E40" s="260">
        <f>SUM(E37:E39)</f>
        <v>11527.324568722122</v>
      </c>
      <c r="F40" s="260">
        <f>SUM(F37:F39)+0.3</f>
        <v>11415.893302792136</v>
      </c>
      <c r="G40" s="253"/>
      <c r="H40" s="253"/>
    </row>
    <row r="41" spans="2:8" s="721" customFormat="1" ht="7.5" customHeight="1" x14ac:dyDescent="0.25">
      <c r="B41" s="285"/>
      <c r="C41" s="210"/>
      <c r="D41" s="90"/>
      <c r="E41" s="90"/>
      <c r="F41" s="90"/>
      <c r="G41" s="986"/>
      <c r="H41" s="846"/>
    </row>
    <row r="42" spans="2:8" s="721" customFormat="1" ht="14.25" customHeight="1" x14ac:dyDescent="0.25">
      <c r="B42" s="285" t="s">
        <v>35</v>
      </c>
      <c r="C42" s="210"/>
      <c r="D42" s="90"/>
      <c r="E42" s="90"/>
      <c r="F42" s="90"/>
      <c r="G42" s="986"/>
      <c r="H42" s="846"/>
    </row>
    <row r="43" spans="2:8" s="721" customFormat="1" x14ac:dyDescent="0.25">
      <c r="B43" s="285" t="s">
        <v>36</v>
      </c>
      <c r="C43" s="210"/>
      <c r="D43" s="90"/>
      <c r="E43" s="90"/>
      <c r="F43" s="90"/>
      <c r="G43" s="986"/>
      <c r="H43" s="846"/>
    </row>
    <row r="44" spans="2:8" s="721" customFormat="1" x14ac:dyDescent="0.25">
      <c r="B44" s="286" t="s">
        <v>37</v>
      </c>
      <c r="C44" s="210">
        <f>'11-13'!$A$142</f>
        <v>13</v>
      </c>
      <c r="D44" s="90"/>
      <c r="E44" s="90">
        <f>'11-13'!G146</f>
        <v>0</v>
      </c>
      <c r="F44" s="90">
        <f>'11-13'!H146</f>
        <v>897.06918999999994</v>
      </c>
      <c r="G44" s="979"/>
      <c r="H44" s="979"/>
    </row>
    <row r="45" spans="2:8" s="721" customFormat="1" x14ac:dyDescent="0.25">
      <c r="B45" s="286" t="s">
        <v>38</v>
      </c>
      <c r="C45" s="210"/>
      <c r="D45" s="90"/>
      <c r="E45" s="90"/>
      <c r="F45" s="90"/>
      <c r="G45" s="979"/>
      <c r="H45" s="979"/>
    </row>
    <row r="46" spans="2:8" s="721" customFormat="1" x14ac:dyDescent="0.25">
      <c r="B46" s="987" t="s">
        <v>39</v>
      </c>
      <c r="C46" s="210">
        <f>'Leases 29'!A5</f>
        <v>29</v>
      </c>
      <c r="D46" s="979"/>
      <c r="E46" s="17">
        <f>'Leases 29'!$D$81</f>
        <v>691.50412059067753</v>
      </c>
      <c r="F46" s="979">
        <f>'Leases 29'!E81</f>
        <v>690.21247327302785</v>
      </c>
      <c r="G46" s="979"/>
      <c r="H46" s="979"/>
    </row>
    <row r="47" spans="2:8" s="447" customFormat="1" hidden="1" outlineLevel="1" x14ac:dyDescent="0.25">
      <c r="B47" s="286" t="s">
        <v>40</v>
      </c>
      <c r="C47" s="210"/>
      <c r="D47" s="90"/>
      <c r="E47" s="90">
        <v>0</v>
      </c>
      <c r="F47" s="90">
        <v>0</v>
      </c>
      <c r="G47" s="979"/>
      <c r="H47" s="846"/>
    </row>
    <row r="48" spans="2:8" s="721" customFormat="1" collapsed="1" x14ac:dyDescent="0.35">
      <c r="B48" s="288" t="s">
        <v>41</v>
      </c>
      <c r="C48" s="210"/>
      <c r="D48" s="260">
        <f>SUM(D44:D47)</f>
        <v>0</v>
      </c>
      <c r="E48" s="260">
        <f>SUM(E44:E47)</f>
        <v>691.50412059067753</v>
      </c>
      <c r="F48" s="260">
        <f>SUM(F44:F47)</f>
        <v>1587.2816632730278</v>
      </c>
      <c r="G48" s="91"/>
      <c r="H48" s="91"/>
    </row>
    <row r="49" spans="2:10" s="721" customFormat="1" ht="10.5" customHeight="1" x14ac:dyDescent="0.25">
      <c r="B49" s="940"/>
      <c r="C49" s="210"/>
      <c r="D49" s="90"/>
      <c r="E49" s="90"/>
      <c r="F49" s="90"/>
      <c r="G49" s="986"/>
      <c r="H49" s="846"/>
      <c r="I49" s="846"/>
      <c r="J49" s="846"/>
    </row>
    <row r="50" spans="2:10" s="721" customFormat="1" x14ac:dyDescent="0.25">
      <c r="B50" s="285" t="s">
        <v>42</v>
      </c>
      <c r="C50" s="210"/>
      <c r="D50" s="90"/>
      <c r="E50" s="90"/>
      <c r="F50" s="90"/>
      <c r="G50" s="986"/>
      <c r="H50" s="846"/>
      <c r="I50" s="846"/>
      <c r="J50" s="846"/>
    </row>
    <row r="51" spans="2:10" s="721" customFormat="1" x14ac:dyDescent="0.25">
      <c r="B51" s="286" t="s">
        <v>38</v>
      </c>
      <c r="C51" s="210"/>
      <c r="D51" s="90"/>
      <c r="E51" s="90"/>
      <c r="F51" s="90"/>
      <c r="G51" s="986"/>
      <c r="H51" s="846"/>
      <c r="I51" s="846"/>
      <c r="J51" s="846"/>
    </row>
    <row r="52" spans="2:10" s="721" customFormat="1" x14ac:dyDescent="0.25">
      <c r="B52" s="987" t="s">
        <v>39</v>
      </c>
      <c r="C52" s="210">
        <f>'Leases 29'!A5</f>
        <v>29</v>
      </c>
      <c r="D52" s="90"/>
      <c r="E52" s="90">
        <f>'Leases 29'!D82</f>
        <v>326.74237397969301</v>
      </c>
      <c r="F52" s="90">
        <f>'Leases 29'!E82</f>
        <v>314.57407598330502</v>
      </c>
      <c r="G52" s="979"/>
      <c r="H52" s="979"/>
      <c r="I52" s="846"/>
      <c r="J52" s="846"/>
    </row>
    <row r="53" spans="2:10" s="721" customFormat="1" x14ac:dyDescent="0.25">
      <c r="B53" s="987" t="s">
        <v>43</v>
      </c>
      <c r="C53" s="210"/>
      <c r="D53" s="274"/>
      <c r="E53" s="90"/>
      <c r="F53" s="274"/>
      <c r="G53" s="979"/>
      <c r="H53" s="846"/>
      <c r="I53" s="846"/>
      <c r="J53" s="846"/>
    </row>
    <row r="54" spans="2:10" s="721" customFormat="1" ht="11.5" customHeight="1" x14ac:dyDescent="0.25">
      <c r="B54" s="989" t="s">
        <v>44</v>
      </c>
      <c r="C54" s="210">
        <f>'14-16'!$A$5</f>
        <v>14</v>
      </c>
      <c r="D54" s="90"/>
      <c r="E54" s="90">
        <f>'14-16'!I8</f>
        <v>0.95474649999999994</v>
      </c>
      <c r="F54" s="90">
        <f>'14-16'!J8</f>
        <v>78.558140399999999</v>
      </c>
      <c r="G54" s="979"/>
      <c r="H54" s="979"/>
      <c r="I54" s="846"/>
      <c r="J54" s="846"/>
    </row>
    <row r="55" spans="2:10" s="721" customFormat="1" x14ac:dyDescent="0.25">
      <c r="B55" s="990" t="s">
        <v>45</v>
      </c>
      <c r="C55" s="210">
        <f>'14-16'!$A$5</f>
        <v>14</v>
      </c>
      <c r="D55" s="90"/>
      <c r="E55" s="90">
        <f>'14-16'!I16-E54</f>
        <v>5144.5249074380145</v>
      </c>
      <c r="F55" s="90">
        <f>'14-16'!J16-F54</f>
        <v>8312.7246131761003</v>
      </c>
      <c r="G55" s="979"/>
      <c r="H55" s="979"/>
      <c r="I55" s="846"/>
      <c r="J55" s="846"/>
    </row>
    <row r="56" spans="2:10" s="721" customFormat="1" ht="11.5" customHeight="1" x14ac:dyDescent="0.25">
      <c r="B56" s="987" t="s">
        <v>46</v>
      </c>
      <c r="C56" s="210">
        <f>'14-16'!$A$49</f>
        <v>15</v>
      </c>
      <c r="D56" s="90"/>
      <c r="E56" s="90">
        <f>'14-16'!I53</f>
        <v>4189.1737269748082</v>
      </c>
      <c r="F56" s="90">
        <f>'14-16'!J53</f>
        <v>5272.3364514716541</v>
      </c>
      <c r="G56" s="979"/>
      <c r="H56" s="979"/>
      <c r="I56" s="846"/>
      <c r="J56" s="846"/>
    </row>
    <row r="57" spans="2:10" s="721" customFormat="1" x14ac:dyDescent="0.25">
      <c r="B57" s="286" t="s">
        <v>37</v>
      </c>
      <c r="C57" s="210">
        <f>'11-13'!$A$142</f>
        <v>13</v>
      </c>
      <c r="D57" s="90"/>
      <c r="E57" s="90">
        <f>'11-13'!G152</f>
        <v>1329.9226189086876</v>
      </c>
      <c r="F57" s="90">
        <f>'11-13'!H152</f>
        <v>467.33622407715012</v>
      </c>
      <c r="G57" s="979"/>
      <c r="H57" s="979"/>
      <c r="I57" s="846"/>
      <c r="J57" s="846"/>
    </row>
    <row r="58" spans="2:10" s="721" customFormat="1" x14ac:dyDescent="0.25">
      <c r="B58" s="286" t="s">
        <v>47</v>
      </c>
      <c r="C58" s="210">
        <f>'14-16'!A57</f>
        <v>16</v>
      </c>
      <c r="D58" s="90"/>
      <c r="E58" s="90">
        <f>'14-16'!I67</f>
        <v>892.4542680341192</v>
      </c>
      <c r="F58" s="90">
        <f>'14-16'!J67</f>
        <v>1315.1110176559173</v>
      </c>
      <c r="G58" s="979"/>
      <c r="H58" s="979"/>
      <c r="I58" s="846"/>
      <c r="J58" s="846"/>
    </row>
    <row r="59" spans="2:10" s="447" customFormat="1" hidden="1" x14ac:dyDescent="0.25">
      <c r="B59" s="286" t="s">
        <v>48</v>
      </c>
      <c r="C59" s="210">
        <v>27</v>
      </c>
      <c r="D59" s="90">
        <v>0</v>
      </c>
      <c r="E59" s="90">
        <v>0</v>
      </c>
      <c r="F59" s="90">
        <v>0</v>
      </c>
      <c r="G59" s="979"/>
      <c r="H59" s="846"/>
      <c r="I59" s="846"/>
      <c r="J59" s="846"/>
    </row>
    <row r="60" spans="2:10" s="721" customFormat="1" x14ac:dyDescent="0.25">
      <c r="B60" s="285" t="s">
        <v>49</v>
      </c>
      <c r="C60" s="210"/>
      <c r="D60" s="260">
        <f>SUM(D51:D59)</f>
        <v>0</v>
      </c>
      <c r="E60" s="260">
        <f>SUM(E51:E59)</f>
        <v>11883.772641835323</v>
      </c>
      <c r="F60" s="260">
        <f>SUM(F51:F59)+0.2</f>
        <v>15760.840522764127</v>
      </c>
      <c r="G60" s="979"/>
      <c r="H60" s="979"/>
      <c r="I60" s="846"/>
      <c r="J60" s="846"/>
    </row>
    <row r="61" spans="2:10" s="721" customFormat="1" x14ac:dyDescent="0.25">
      <c r="B61" s="286"/>
      <c r="C61" s="210"/>
      <c r="D61" s="91"/>
      <c r="E61" s="91"/>
      <c r="F61" s="91"/>
      <c r="G61" s="986"/>
      <c r="H61" s="846"/>
      <c r="I61" s="846"/>
      <c r="J61" s="846"/>
    </row>
    <row r="62" spans="2:10" s="721" customFormat="1" x14ac:dyDescent="0.25">
      <c r="B62" s="285" t="s">
        <v>50</v>
      </c>
      <c r="C62" s="210"/>
      <c r="D62" s="260">
        <f>D48+D60</f>
        <v>0</v>
      </c>
      <c r="E62" s="260">
        <f>E48+E60</f>
        <v>12575.276762426001</v>
      </c>
      <c r="F62" s="260">
        <f>F48+F60</f>
        <v>17348.122186037155</v>
      </c>
      <c r="G62" s="991"/>
      <c r="H62" s="991"/>
      <c r="I62" s="846"/>
      <c r="J62" s="846"/>
    </row>
    <row r="63" spans="2:10" s="721" customFormat="1" ht="10.4" customHeight="1" x14ac:dyDescent="0.25">
      <c r="B63" s="286"/>
      <c r="C63" s="210"/>
      <c r="D63" s="91"/>
      <c r="E63" s="91"/>
      <c r="F63" s="91"/>
      <c r="G63" s="986"/>
      <c r="H63" s="846"/>
      <c r="I63" s="846"/>
      <c r="J63" s="846"/>
    </row>
    <row r="64" spans="2:10" s="721" customFormat="1" ht="12" thickBot="1" x14ac:dyDescent="0.3">
      <c r="B64" s="285" t="s">
        <v>51</v>
      </c>
      <c r="C64" s="210"/>
      <c r="D64" s="263">
        <f>D62+D40</f>
        <v>0</v>
      </c>
      <c r="E64" s="263">
        <f>E62+E40</f>
        <v>24102.601331148122</v>
      </c>
      <c r="F64" s="263">
        <f>F62+F40-0.22</f>
        <v>28763.795488829288</v>
      </c>
      <c r="G64" s="992"/>
      <c r="H64" s="992"/>
      <c r="I64" s="846"/>
      <c r="J64" s="979"/>
    </row>
    <row r="65" spans="2:8" s="721" customFormat="1" ht="12" thickTop="1" x14ac:dyDescent="0.25">
      <c r="B65" s="285"/>
      <c r="C65" s="210"/>
      <c r="D65" s="846"/>
      <c r="E65" s="663"/>
      <c r="F65" s="993"/>
      <c r="G65" s="994"/>
      <c r="H65" s="846"/>
    </row>
    <row r="66" spans="2:8" s="721" customFormat="1" x14ac:dyDescent="0.25">
      <c r="B66" s="286" t="s">
        <v>52</v>
      </c>
      <c r="C66" s="210">
        <f>'Note 1-2'!B7</f>
        <v>2</v>
      </c>
      <c r="D66" s="846"/>
      <c r="E66" s="275"/>
      <c r="F66" s="276">
        <f>F64-F31</f>
        <v>0.22206286908112816</v>
      </c>
      <c r="G66" s="979"/>
      <c r="H66" s="846"/>
    </row>
    <row r="67" spans="2:8" s="721" customFormat="1" x14ac:dyDescent="0.25">
      <c r="B67" s="286" t="s">
        <v>53</v>
      </c>
      <c r="C67" s="210"/>
      <c r="D67" s="988"/>
      <c r="E67" s="185"/>
      <c r="F67" s="846"/>
      <c r="G67" s="979"/>
      <c r="H67" s="846"/>
    </row>
    <row r="68" spans="2:8" s="721" customFormat="1" x14ac:dyDescent="0.25">
      <c r="B68" s="291" t="s">
        <v>54</v>
      </c>
      <c r="C68" s="280"/>
      <c r="D68" s="995"/>
      <c r="E68" s="281"/>
      <c r="F68" s="995"/>
      <c r="G68" s="991"/>
      <c r="H68" s="846"/>
    </row>
    <row r="69" spans="2:8" s="721" customFormat="1" ht="8.15" customHeight="1" x14ac:dyDescent="0.25">
      <c r="B69" s="940"/>
      <c r="C69" s="210"/>
      <c r="D69" s="846"/>
      <c r="E69" s="36"/>
      <c r="F69" s="846"/>
      <c r="G69" s="986"/>
      <c r="H69" s="846"/>
    </row>
    <row r="70" spans="2:8" s="721" customFormat="1" x14ac:dyDescent="0.35">
      <c r="B70" s="428" t="s">
        <v>55</v>
      </c>
      <c r="C70" s="110"/>
      <c r="D70" s="846"/>
      <c r="E70" s="388" t="s">
        <v>56</v>
      </c>
      <c r="F70" s="846"/>
      <c r="G70" s="430"/>
      <c r="H70" s="430"/>
    </row>
    <row r="71" spans="2:8" s="721" customFormat="1" ht="12" x14ac:dyDescent="0.35">
      <c r="B71" s="431" t="s">
        <v>57</v>
      </c>
      <c r="C71" s="432"/>
      <c r="D71" s="846"/>
      <c r="E71" s="743"/>
      <c r="F71" s="846"/>
      <c r="G71" s="433"/>
      <c r="H71" s="433"/>
    </row>
    <row r="72" spans="2:8" s="721" customFormat="1" x14ac:dyDescent="0.25">
      <c r="B72" s="941" t="s">
        <v>58</v>
      </c>
      <c r="C72" s="432"/>
      <c r="D72" s="432"/>
      <c r="E72" s="744" t="s">
        <v>59</v>
      </c>
      <c r="F72" s="846"/>
      <c r="G72" s="986"/>
      <c r="H72" s="846"/>
    </row>
    <row r="73" spans="2:8" s="721" customFormat="1" hidden="1" x14ac:dyDescent="0.25">
      <c r="B73" s="941"/>
      <c r="C73" s="432"/>
      <c r="D73" s="432"/>
      <c r="E73" s="432"/>
      <c r="F73" s="846"/>
      <c r="G73" s="986"/>
      <c r="H73" s="846"/>
    </row>
    <row r="74" spans="2:8" s="721" customFormat="1" x14ac:dyDescent="0.25">
      <c r="B74" s="941"/>
      <c r="C74" s="432"/>
      <c r="D74" s="432"/>
      <c r="E74" s="432"/>
      <c r="F74" s="846"/>
      <c r="G74" s="986"/>
      <c r="H74" s="846"/>
    </row>
    <row r="75" spans="2:8" ht="15" customHeight="1" x14ac:dyDescent="0.25">
      <c r="B75" s="292"/>
      <c r="C75" s="986"/>
      <c r="D75" s="85"/>
      <c r="E75" s="85"/>
      <c r="F75" s="979"/>
      <c r="G75" s="979"/>
    </row>
    <row r="76" spans="2:8" x14ac:dyDescent="0.25">
      <c r="B76" s="292"/>
      <c r="C76" s="277"/>
      <c r="D76" s="979"/>
      <c r="F76" s="979"/>
      <c r="G76" s="979"/>
    </row>
    <row r="77" spans="2:8" x14ac:dyDescent="0.25">
      <c r="B77" s="996"/>
      <c r="C77" s="986"/>
      <c r="D77" s="90"/>
      <c r="E77" s="90"/>
      <c r="F77" s="90"/>
      <c r="G77" s="979"/>
    </row>
  </sheetData>
  <pageMargins left="0.23622047244094491" right="0.23622047244094491" top="0.74803149606299213" bottom="0.74803149606299213" header="0.31496062992125984" footer="0.31496062992125984"/>
  <pageSetup paperSize="9" scale="8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F4D20-879E-4FA3-A94A-C5651E6E1FBB}">
  <dimension ref="A1:AR77"/>
  <sheetViews>
    <sheetView showGridLines="0" topLeftCell="A7" workbookViewId="0">
      <pane xSplit="1" ySplit="5" topLeftCell="AA48" activePane="bottomRight" state="frozen"/>
      <selection pane="topRight" activeCell="A51" sqref="A51"/>
      <selection pane="bottomLeft" activeCell="A51" sqref="A51"/>
      <selection pane="bottomRight" activeCell="AB50" sqref="AB50"/>
    </sheetView>
  </sheetViews>
  <sheetFormatPr defaultColWidth="9.1796875" defaultRowHeight="11.5" x14ac:dyDescent="0.25"/>
  <cols>
    <col min="1" max="1" width="50.81640625" style="487" customWidth="1"/>
    <col min="2" max="2" width="12.54296875" style="487" customWidth="1"/>
    <col min="3" max="3" width="11.1796875" style="487" customWidth="1"/>
    <col min="4" max="4" width="14.1796875" style="487" customWidth="1"/>
    <col min="5" max="5" width="15.81640625" style="487" customWidth="1"/>
    <col min="6" max="6" width="10.453125" style="487" customWidth="1"/>
    <col min="7" max="8" width="11.54296875" style="487" customWidth="1"/>
    <col min="9" max="9" width="12.1796875" style="487" customWidth="1"/>
    <col min="10" max="11" width="12.54296875" style="487" customWidth="1"/>
    <col min="12" max="12" width="11.54296875" style="487" customWidth="1"/>
    <col min="13" max="13" width="2.453125" style="487" customWidth="1"/>
    <col min="14" max="14" width="11.54296875" style="487" customWidth="1"/>
    <col min="15" max="16" width="13.54296875" style="487" customWidth="1"/>
    <col min="17" max="17" width="11.54296875" style="487" customWidth="1"/>
    <col min="18" max="18" width="13.1796875" style="487" customWidth="1"/>
    <col min="19" max="20" width="11.54296875" style="487" customWidth="1"/>
    <col min="21" max="21" width="13.1796875" style="487" customWidth="1"/>
    <col min="22" max="22" width="11.54296875" style="487" customWidth="1"/>
    <col min="23" max="23" width="13.1796875" style="487" customWidth="1"/>
    <col min="24" max="24" width="12.54296875" style="487" customWidth="1"/>
    <col min="25" max="25" width="11.81640625" style="487" bestFit="1" customWidth="1"/>
    <col min="26" max="27" width="13.1796875" style="487" customWidth="1"/>
    <col min="28" max="28" width="11.54296875" style="487" customWidth="1"/>
    <col min="29" max="31" width="13.1796875" style="487" customWidth="1"/>
    <col min="32" max="32" width="11.54296875" style="487" bestFit="1" customWidth="1"/>
    <col min="33" max="33" width="13.1796875" style="487" customWidth="1"/>
    <col min="34" max="34" width="12.54296875" style="487" bestFit="1" customWidth="1"/>
    <col min="35" max="35" width="12.453125" style="488" customWidth="1"/>
    <col min="36" max="36" width="9.1796875" style="487"/>
    <col min="37" max="37" width="11" style="487" bestFit="1" customWidth="1"/>
    <col min="38" max="38" width="10" style="487" bestFit="1" customWidth="1"/>
    <col min="39" max="16384" width="9.1796875" style="487"/>
  </cols>
  <sheetData>
    <row r="1" spans="1:37" ht="13" x14ac:dyDescent="0.3">
      <c r="A1" s="6" t="s">
        <v>0</v>
      </c>
      <c r="B1" s="986"/>
      <c r="C1" s="5"/>
      <c r="D1" s="986"/>
      <c r="E1" s="986"/>
      <c r="F1" s="986"/>
      <c r="G1" s="986"/>
      <c r="H1" s="986"/>
      <c r="I1" s="986"/>
      <c r="J1" s="986"/>
      <c r="K1" s="986"/>
      <c r="L1" s="986"/>
      <c r="M1" s="986"/>
      <c r="N1" s="986"/>
      <c r="O1" s="986"/>
      <c r="P1" s="986"/>
      <c r="Q1" s="986"/>
      <c r="R1" s="986"/>
      <c r="S1" s="986"/>
      <c r="T1" s="986"/>
      <c r="U1" s="986"/>
      <c r="V1" s="986"/>
      <c r="W1" s="986"/>
      <c r="X1" s="986"/>
      <c r="Y1" s="986"/>
      <c r="Z1" s="986"/>
      <c r="AA1" s="986"/>
      <c r="AB1" s="986"/>
      <c r="AC1" s="986"/>
      <c r="AD1" s="986"/>
      <c r="AE1" s="986"/>
      <c r="AF1" s="986"/>
      <c r="AG1" s="986"/>
      <c r="AH1" s="986"/>
      <c r="AI1" s="8" t="s">
        <v>67</v>
      </c>
      <c r="AJ1" s="986"/>
      <c r="AK1" s="986"/>
    </row>
    <row r="2" spans="1:37" ht="13" x14ac:dyDescent="0.3">
      <c r="A2" s="7" t="s">
        <v>68</v>
      </c>
      <c r="B2" s="986"/>
      <c r="C2" s="986"/>
      <c r="D2" s="986"/>
      <c r="E2" s="986"/>
      <c r="F2" s="986"/>
      <c r="G2" s="986"/>
      <c r="H2" s="986"/>
      <c r="I2" s="986"/>
      <c r="J2" s="986"/>
      <c r="K2" s="986"/>
      <c r="L2" s="986"/>
      <c r="M2" s="986"/>
      <c r="N2" s="986"/>
      <c r="O2" s="986"/>
      <c r="P2" s="986"/>
      <c r="Q2" s="986"/>
      <c r="R2" s="986"/>
      <c r="S2" s="986"/>
      <c r="T2" s="986"/>
      <c r="U2" s="986"/>
      <c r="V2" s="986"/>
      <c r="W2" s="986"/>
      <c r="X2" s="986"/>
      <c r="Y2" s="986"/>
      <c r="Z2" s="986"/>
      <c r="AA2" s="986"/>
      <c r="AB2" s="986"/>
      <c r="AC2" s="986"/>
      <c r="AD2" s="986"/>
      <c r="AE2" s="986"/>
      <c r="AF2" s="986"/>
      <c r="AG2" s="986"/>
      <c r="AH2" s="986"/>
      <c r="AI2" s="9" t="s">
        <v>69</v>
      </c>
      <c r="AJ2" s="986" t="s">
        <v>70</v>
      </c>
      <c r="AK2" s="986"/>
    </row>
    <row r="3" spans="1:37" x14ac:dyDescent="0.25">
      <c r="A3" s="5"/>
      <c r="B3" s="986"/>
      <c r="C3" s="986"/>
      <c r="D3" s="979"/>
      <c r="E3" s="986"/>
      <c r="F3" s="986"/>
      <c r="G3" s="986"/>
      <c r="H3" s="986"/>
      <c r="I3" s="986"/>
      <c r="J3" s="986"/>
      <c r="K3" s="986"/>
      <c r="L3" s="986"/>
      <c r="M3" s="986"/>
      <c r="N3" s="986"/>
      <c r="O3" s="986"/>
      <c r="P3" s="986"/>
      <c r="Q3" s="986"/>
      <c r="R3" s="986"/>
      <c r="S3" s="986"/>
      <c r="T3" s="986"/>
      <c r="U3" s="986"/>
      <c r="V3" s="986"/>
      <c r="W3" s="986"/>
      <c r="X3" s="986"/>
      <c r="Y3" s="986"/>
      <c r="Z3" s="986"/>
      <c r="AA3" s="986"/>
      <c r="AB3" s="986"/>
      <c r="AC3" s="986"/>
      <c r="AD3" s="986"/>
      <c r="AE3" s="986"/>
      <c r="AF3" s="986"/>
      <c r="AG3" s="986"/>
      <c r="AH3" s="986"/>
      <c r="AI3" s="9" t="s">
        <v>71</v>
      </c>
      <c r="AJ3" s="986" t="s">
        <v>72</v>
      </c>
      <c r="AK3" s="986"/>
    </row>
    <row r="4" spans="1:37" x14ac:dyDescent="0.25">
      <c r="A4" s="5"/>
      <c r="B4" s="986"/>
      <c r="C4" s="986"/>
      <c r="D4" s="986"/>
      <c r="E4" s="986"/>
      <c r="F4" s="986"/>
      <c r="G4" s="986"/>
      <c r="H4" s="986"/>
      <c r="I4" s="986"/>
      <c r="J4" s="986"/>
      <c r="K4" s="986"/>
      <c r="L4" s="986"/>
      <c r="M4" s="986"/>
      <c r="N4" s="986"/>
      <c r="O4" s="986"/>
      <c r="P4" s="986"/>
      <c r="Q4" s="986"/>
      <c r="R4" s="986"/>
      <c r="S4" s="986"/>
      <c r="T4" s="986"/>
      <c r="U4" s="986"/>
      <c r="V4" s="986"/>
      <c r="W4" s="986"/>
      <c r="X4" s="986"/>
      <c r="Y4" s="986"/>
      <c r="Z4" s="986"/>
      <c r="AA4" s="986"/>
      <c r="AB4" s="986"/>
      <c r="AC4" s="986"/>
      <c r="AD4" s="986"/>
      <c r="AE4" s="986"/>
      <c r="AF4" s="986"/>
      <c r="AG4" s="986"/>
      <c r="AH4" s="986"/>
      <c r="AI4" s="9" t="s">
        <v>73</v>
      </c>
      <c r="AJ4" s="986" t="s">
        <v>74</v>
      </c>
      <c r="AK4" s="986"/>
    </row>
    <row r="6" spans="1:37" ht="13.5" customHeight="1" x14ac:dyDescent="0.25">
      <c r="A6" s="5"/>
      <c r="B6" s="10"/>
      <c r="C6" s="997"/>
      <c r="D6" s="997"/>
      <c r="E6" s="997"/>
      <c r="F6" s="997"/>
      <c r="G6" s="998"/>
      <c r="H6" s="997"/>
      <c r="I6" s="997"/>
      <c r="J6" s="997"/>
      <c r="K6" s="997"/>
      <c r="L6" s="997"/>
      <c r="M6" s="997"/>
      <c r="N6" s="997"/>
      <c r="O6" s="997"/>
      <c r="P6" s="997"/>
      <c r="Q6" s="997"/>
      <c r="R6" s="997"/>
      <c r="S6" s="998"/>
      <c r="T6" s="998"/>
      <c r="U6" s="997"/>
      <c r="V6" s="998"/>
      <c r="W6" s="997"/>
      <c r="X6" s="997"/>
      <c r="Y6" s="997"/>
      <c r="Z6" s="997"/>
      <c r="AA6" s="997"/>
      <c r="AB6" s="997"/>
      <c r="AC6" s="997"/>
      <c r="AD6" s="997"/>
      <c r="AE6" s="997"/>
      <c r="AF6" s="997"/>
      <c r="AG6" s="997"/>
      <c r="AH6" s="998"/>
      <c r="AI6" s="9"/>
      <c r="AJ6" s="986"/>
      <c r="AK6" s="986"/>
    </row>
    <row r="7" spans="1:37" s="489" customFormat="1" ht="57.5" x14ac:dyDescent="0.35">
      <c r="A7" s="11" t="s">
        <v>5</v>
      </c>
      <c r="B7" s="12" t="s">
        <v>75</v>
      </c>
      <c r="C7" s="12" t="s">
        <v>76</v>
      </c>
      <c r="D7" s="12" t="s">
        <v>77</v>
      </c>
      <c r="E7" s="12" t="s">
        <v>78</v>
      </c>
      <c r="F7" s="12" t="s">
        <v>79</v>
      </c>
      <c r="G7" s="12" t="s">
        <v>80</v>
      </c>
      <c r="H7" s="12" t="s">
        <v>81</v>
      </c>
      <c r="I7" s="12" t="s">
        <v>39</v>
      </c>
      <c r="J7" s="12" t="s">
        <v>43</v>
      </c>
      <c r="K7" s="12" t="s">
        <v>46</v>
      </c>
      <c r="L7" s="12" t="s">
        <v>47</v>
      </c>
      <c r="M7" s="12"/>
      <c r="N7" s="12" t="s">
        <v>82</v>
      </c>
      <c r="O7" s="12" t="s">
        <v>15</v>
      </c>
      <c r="P7" s="12" t="s">
        <v>83</v>
      </c>
      <c r="Q7" s="12" t="s">
        <v>13</v>
      </c>
      <c r="R7" s="12" t="s">
        <v>84</v>
      </c>
      <c r="S7" s="12" t="s">
        <v>85</v>
      </c>
      <c r="T7" s="12" t="s">
        <v>86</v>
      </c>
      <c r="U7" s="12" t="s">
        <v>87</v>
      </c>
      <c r="V7" s="12" t="s">
        <v>88</v>
      </c>
      <c r="W7" s="12" t="s">
        <v>89</v>
      </c>
      <c r="X7" s="12" t="s">
        <v>90</v>
      </c>
      <c r="Y7" s="12" t="s">
        <v>91</v>
      </c>
      <c r="Z7" s="12" t="s">
        <v>92</v>
      </c>
      <c r="AA7" s="12" t="s">
        <v>23</v>
      </c>
      <c r="AB7" s="12" t="s">
        <v>93</v>
      </c>
      <c r="AC7" s="12" t="s">
        <v>94</v>
      </c>
      <c r="AD7" s="12" t="s">
        <v>95</v>
      </c>
      <c r="AE7" s="12" t="s">
        <v>96</v>
      </c>
      <c r="AF7" s="12" t="s">
        <v>97</v>
      </c>
      <c r="AG7" s="12" t="s">
        <v>98</v>
      </c>
      <c r="AH7" s="12" t="s">
        <v>99</v>
      </c>
      <c r="AI7" s="12" t="s">
        <v>100</v>
      </c>
      <c r="AJ7" s="999"/>
      <c r="AK7" s="999"/>
    </row>
    <row r="8" spans="1:37" s="3" customFormat="1" x14ac:dyDescent="0.25">
      <c r="A8" s="13" t="s">
        <v>101</v>
      </c>
      <c r="C8" s="3">
        <f>-'11-13'!F18</f>
        <v>-50.618299999999998</v>
      </c>
      <c r="D8" s="3">
        <f>-'11-13'!G125</f>
        <v>-41916.539839999998</v>
      </c>
      <c r="E8" s="3">
        <f>E10</f>
        <v>30551.564837207861</v>
      </c>
      <c r="F8" s="3">
        <f>-F9</f>
        <v>-111.73126592998591</v>
      </c>
      <c r="G8" s="3">
        <f>'11-13'!G146</f>
        <v>0</v>
      </c>
      <c r="H8" s="3">
        <f>-'11-13'!G152</f>
        <v>-1329.9226189086876</v>
      </c>
      <c r="I8" s="3">
        <f>-'Leases 29'!D83</f>
        <v>-1018.2464945703705</v>
      </c>
      <c r="J8" s="3">
        <f>-'14-16'!I16</f>
        <v>-5145.4796539380141</v>
      </c>
      <c r="K8" s="3">
        <f>-'14-16'!I53</f>
        <v>-4189.1737269748082</v>
      </c>
      <c r="L8" s="3">
        <f>-'14-16'!I67</f>
        <v>-892.4542680341192</v>
      </c>
      <c r="N8" s="3">
        <f>'3-4'!H28</f>
        <v>381.66709341397927</v>
      </c>
      <c r="O8" s="3">
        <f>'3-4'!E56</f>
        <v>3913.8614971000002</v>
      </c>
      <c r="P8" s="3">
        <f>'3-4'!D56</f>
        <v>0</v>
      </c>
      <c r="Q8" s="3">
        <f>BS!E12</f>
        <v>752.24661904056813</v>
      </c>
      <c r="R8" s="3">
        <f>'5-7'!D22</f>
        <v>181.35703494177503</v>
      </c>
      <c r="S8" s="3">
        <f>'5-7'!D12+'5-7'!D11</f>
        <v>172.5274441468512</v>
      </c>
      <c r="T8" s="3">
        <f>'5-7'!D13</f>
        <v>31</v>
      </c>
      <c r="U8" s="3">
        <f>'5-7'!D23+'8-10'!I69</f>
        <v>25.402055999999995</v>
      </c>
      <c r="V8" s="3">
        <f>'5-7'!D14</f>
        <v>1</v>
      </c>
      <c r="W8" s="3">
        <f>'5-7'!D24</f>
        <v>3.8373999999999069E-2</v>
      </c>
      <c r="X8" s="3">
        <f>'26-27'!F90</f>
        <v>398.71986500000003</v>
      </c>
      <c r="Y8" s="3">
        <f>'5-7'!D16</f>
        <v>239</v>
      </c>
      <c r="Z8" s="3">
        <f>BS!E18</f>
        <v>981.25817698576691</v>
      </c>
      <c r="AA8" s="3">
        <f>'8-10'!I17</f>
        <v>9350.3619247300776</v>
      </c>
      <c r="AB8" s="3">
        <f>'5-7'!D44</f>
        <v>0</v>
      </c>
      <c r="AC8" s="3">
        <f>'5-7'!D41</f>
        <v>20.809124600000001</v>
      </c>
      <c r="AD8" s="3">
        <f>'5-7'!D39</f>
        <v>142.9072314</v>
      </c>
      <c r="AE8" s="3">
        <f>'5-7'!D40</f>
        <v>101.11985728096118</v>
      </c>
      <c r="AF8" s="3">
        <f>'5-7'!D42</f>
        <v>1617.8079817238447</v>
      </c>
      <c r="AG8" s="3">
        <f>'5-7'!D43</f>
        <v>293.78287863308685</v>
      </c>
      <c r="AH8" s="3">
        <f>'8-10'!I60</f>
        <v>5497.6527884155275</v>
      </c>
      <c r="AI8" s="724">
        <f>SUM(C8:AH8)</f>
        <v>-8.138373568544921E-2</v>
      </c>
      <c r="AJ8" s="14" t="s">
        <v>69</v>
      </c>
      <c r="AK8" s="15"/>
    </row>
    <row r="9" spans="1:37" s="19" customFormat="1" x14ac:dyDescent="0.25">
      <c r="A9" s="16"/>
      <c r="B9" s="17">
        <f>-PL!D45</f>
        <v>-111.73126592998591</v>
      </c>
      <c r="C9" s="3"/>
      <c r="D9" s="3"/>
      <c r="E9" s="3"/>
      <c r="F9" s="3">
        <f>-B9</f>
        <v>111.73126592998591</v>
      </c>
      <c r="G9" s="3"/>
      <c r="H9" s="3"/>
      <c r="I9" s="3"/>
      <c r="J9" s="3"/>
      <c r="K9" s="3"/>
      <c r="L9" s="3"/>
      <c r="M9" s="3"/>
      <c r="N9" s="3"/>
      <c r="O9" s="3"/>
      <c r="P9" s="3"/>
      <c r="Q9" s="3"/>
      <c r="R9" s="3"/>
      <c r="S9" s="3"/>
      <c r="T9" s="3"/>
      <c r="U9" s="3"/>
      <c r="V9" s="3"/>
      <c r="W9" s="3"/>
      <c r="X9" s="3"/>
      <c r="Y9" s="3"/>
      <c r="Z9" s="3"/>
      <c r="AA9" s="3"/>
      <c r="AB9" s="3"/>
      <c r="AC9" s="3"/>
      <c r="AD9" s="3"/>
      <c r="AE9" s="3"/>
      <c r="AF9" s="3"/>
      <c r="AG9" s="3"/>
      <c r="AH9" s="3"/>
      <c r="AI9" s="724">
        <v>0</v>
      </c>
      <c r="AJ9" s="18"/>
    </row>
    <row r="10" spans="1:37" s="3" customFormat="1" x14ac:dyDescent="0.25">
      <c r="A10" s="13" t="s">
        <v>102</v>
      </c>
      <c r="C10" s="3">
        <f>-'11-13'!H18</f>
        <v>-50.618299999999998</v>
      </c>
      <c r="D10" s="3">
        <f>-'11-13'!H125</f>
        <v>-41916.539839999998</v>
      </c>
      <c r="E10" s="3">
        <f>-'11-13'!H134</f>
        <v>30551.564837207861</v>
      </c>
      <c r="G10" s="3">
        <f>-'11-13'!H146</f>
        <v>-897.06918999999994</v>
      </c>
      <c r="H10" s="3">
        <f>-'11-13'!H152</f>
        <v>-467.33622407715012</v>
      </c>
      <c r="I10" s="3">
        <f>-'Leases 29'!E83</f>
        <v>-1004.7865492563328</v>
      </c>
      <c r="J10" s="3">
        <f>-'14-16'!J16</f>
        <v>-8391.2827535761007</v>
      </c>
      <c r="K10" s="3">
        <f>-'14-16'!J53</f>
        <v>-5272.3364514716541</v>
      </c>
      <c r="L10" s="3">
        <f>-'14-16'!J67</f>
        <v>-1315.1110176559173</v>
      </c>
      <c r="N10" s="3">
        <f>'3-4'!H29</f>
        <v>589.31207608048589</v>
      </c>
      <c r="O10" s="3">
        <f>'3-4'!E57</f>
        <v>3214.71</v>
      </c>
      <c r="P10" s="3">
        <f>'3-4'!D57</f>
        <v>589</v>
      </c>
      <c r="Q10" s="3">
        <f>'Leases 29'!C34</f>
        <v>754.6876126660261</v>
      </c>
      <c r="R10" s="3">
        <f>'5-7'!E22</f>
        <v>120</v>
      </c>
      <c r="S10" s="3">
        <f>'5-7'!E12+'5-7'!E11</f>
        <v>216</v>
      </c>
      <c r="T10" s="3">
        <f>'5-7'!E13</f>
        <v>170</v>
      </c>
      <c r="U10" s="3">
        <f>'5-7'!E23+'8-10'!J69</f>
        <v>2249.8617684000001</v>
      </c>
      <c r="V10" s="3">
        <f>'5-7'!E14</f>
        <v>12</v>
      </c>
      <c r="W10" s="3">
        <f>'5-7'!E24</f>
        <v>7</v>
      </c>
      <c r="X10" s="3">
        <f>'26-27'!G90</f>
        <v>398.71986811427968</v>
      </c>
      <c r="Y10" s="3">
        <f>'5-7'!E16</f>
        <v>375</v>
      </c>
      <c r="Z10" s="3">
        <f>BS!F18</f>
        <v>1849.6467655909764</v>
      </c>
      <c r="AA10" s="3">
        <f>'8-10'!J17</f>
        <v>11738.929787266687</v>
      </c>
      <c r="AB10" s="3">
        <f>'5-7'!E44</f>
        <v>39.614498965349995</v>
      </c>
      <c r="AC10" s="3">
        <f>'5-7'!E41</f>
        <v>39.911881791559999</v>
      </c>
      <c r="AD10" s="3">
        <f>'5-7'!E39</f>
        <v>1978.3662761696201</v>
      </c>
      <c r="AE10" s="3">
        <f>'5-7'!E40+1</f>
        <v>41.237245460739999</v>
      </c>
      <c r="AF10" s="3">
        <f>'5-7'!E42</f>
        <v>372.40412889803008</v>
      </c>
      <c r="AG10" s="3">
        <f>'5-7'!E43</f>
        <v>120.59793725245001</v>
      </c>
      <c r="AH10" s="3">
        <f>'8-10'!J60</f>
        <v>3886.7735793040001</v>
      </c>
      <c r="AI10" s="725">
        <f>SUM(B10:AH10)</f>
        <v>0.25793713091070458</v>
      </c>
      <c r="AJ10" s="14" t="s">
        <v>71</v>
      </c>
      <c r="AK10" s="15"/>
    </row>
    <row r="11" spans="1:37" s="19" customFormat="1" x14ac:dyDescent="0.25">
      <c r="A11" s="20" t="s">
        <v>103</v>
      </c>
      <c r="B11" s="21">
        <f>B10-B8-B9</f>
        <v>111.73126592998591</v>
      </c>
      <c r="C11" s="21">
        <f t="shared" ref="C11:H11" si="0">C10-C8-C9</f>
        <v>0</v>
      </c>
      <c r="D11" s="21">
        <f t="shared" si="0"/>
        <v>0</v>
      </c>
      <c r="E11" s="21">
        <f t="shared" si="0"/>
        <v>0</v>
      </c>
      <c r="F11" s="21"/>
      <c r="G11" s="21">
        <f t="shared" si="0"/>
        <v>-897.06918999999994</v>
      </c>
      <c r="H11" s="21">
        <f t="shared" si="0"/>
        <v>862.58639483153752</v>
      </c>
      <c r="I11" s="21">
        <f>I10-I8-I9</f>
        <v>13.459945314037668</v>
      </c>
      <c r="J11" s="21">
        <f t="shared" ref="J11:K11" si="1">J10-J8-J9</f>
        <v>-3245.8030996380867</v>
      </c>
      <c r="K11" s="21">
        <f t="shared" si="1"/>
        <v>-1083.1627244968458</v>
      </c>
      <c r="L11" s="21">
        <f>L10-L8-L9</f>
        <v>-422.6567496217981</v>
      </c>
      <c r="M11" s="21"/>
      <c r="N11" s="21">
        <f>N10-N8-N9</f>
        <v>207.64498266650662</v>
      </c>
      <c r="O11" s="21">
        <f>O10-O8-O9</f>
        <v>-699.15149710000014</v>
      </c>
      <c r="P11" s="21">
        <f>P10-P8-P9</f>
        <v>589</v>
      </c>
      <c r="Q11" s="21">
        <f>Q10-Q8-Q9</f>
        <v>2.4409936254579634</v>
      </c>
      <c r="R11" s="21">
        <f t="shared" ref="R11:AG11" si="2">R10-R8-R9</f>
        <v>-61.357034941775026</v>
      </c>
      <c r="S11" s="21">
        <f t="shared" si="2"/>
        <v>43.472555853148805</v>
      </c>
      <c r="T11" s="21">
        <f t="shared" si="2"/>
        <v>139</v>
      </c>
      <c r="U11" s="21">
        <f t="shared" si="2"/>
        <v>2224.4597124000002</v>
      </c>
      <c r="V11" s="21">
        <f t="shared" si="2"/>
        <v>11</v>
      </c>
      <c r="W11" s="21">
        <f t="shared" si="2"/>
        <v>6.9616260000000008</v>
      </c>
      <c r="X11" s="21">
        <f t="shared" si="2"/>
        <v>3.1142796501626435E-6</v>
      </c>
      <c r="Y11" s="21">
        <f t="shared" ref="Y11:AE11" si="3">Y10-Y8-Y9</f>
        <v>136</v>
      </c>
      <c r="Z11" s="21">
        <f t="shared" si="3"/>
        <v>868.38858860520952</v>
      </c>
      <c r="AA11" s="21">
        <f t="shared" si="3"/>
        <v>2388.567862536609</v>
      </c>
      <c r="AB11" s="21">
        <f t="shared" si="3"/>
        <v>39.614498965349995</v>
      </c>
      <c r="AC11" s="21">
        <f t="shared" si="3"/>
        <v>19.102757191559999</v>
      </c>
      <c r="AD11" s="21">
        <f t="shared" si="3"/>
        <v>1835.45904476962</v>
      </c>
      <c r="AE11" s="21">
        <f t="shared" si="3"/>
        <v>-59.882611820221186</v>
      </c>
      <c r="AF11" s="21">
        <f t="shared" si="2"/>
        <v>-1245.4038528258147</v>
      </c>
      <c r="AG11" s="21">
        <f t="shared" si="2"/>
        <v>-173.18494138063684</v>
      </c>
      <c r="AH11" s="21">
        <f>AH10-AH8-AH9</f>
        <v>-1610.8792091115274</v>
      </c>
      <c r="AI11" s="22">
        <f>AI10-AI8-AI9</f>
        <v>0.33932086659615379</v>
      </c>
      <c r="AJ11" s="14" t="s">
        <v>73</v>
      </c>
    </row>
    <row r="12" spans="1:37" s="19" customFormat="1" x14ac:dyDescent="0.25">
      <c r="A12" s="23" t="s">
        <v>104</v>
      </c>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5">
        <f t="shared" ref="AI12:AI19" si="4">SUM(B12:AH12)</f>
        <v>0</v>
      </c>
    </row>
    <row r="13" spans="1:37" s="19" customFormat="1" x14ac:dyDescent="0.25">
      <c r="A13" s="16" t="s">
        <v>105</v>
      </c>
      <c r="B13" s="17">
        <f t="shared" ref="B13:B19" si="5">-SUM(C13:AH13)</f>
        <v>115.36426</v>
      </c>
      <c r="C13" s="24"/>
      <c r="D13" s="24"/>
      <c r="E13" s="17"/>
      <c r="F13" s="17"/>
      <c r="G13" s="24">
        <f>-PL!D37</f>
        <v>-115.36426</v>
      </c>
      <c r="H13" s="24"/>
      <c r="I13" s="24"/>
      <c r="J13" s="24"/>
      <c r="K13" s="24"/>
      <c r="L13" s="24"/>
      <c r="M13" s="24"/>
      <c r="N13" s="17"/>
      <c r="O13" s="17"/>
      <c r="P13" s="17"/>
      <c r="Q13" s="17"/>
      <c r="R13" s="24"/>
      <c r="S13" s="24"/>
      <c r="T13" s="24"/>
      <c r="U13" s="24"/>
      <c r="V13" s="24"/>
      <c r="W13" s="24"/>
      <c r="X13" s="24">
        <f>PL!D38</f>
        <v>0</v>
      </c>
      <c r="Y13" s="24"/>
      <c r="Z13" s="24"/>
      <c r="AA13" s="24"/>
      <c r="AB13" s="24"/>
      <c r="AC13" s="24"/>
      <c r="AD13" s="24"/>
      <c r="AE13" s="24"/>
      <c r="AF13" s="24"/>
      <c r="AG13" s="24"/>
      <c r="AH13" s="24"/>
      <c r="AI13" s="25">
        <f t="shared" si="4"/>
        <v>0</v>
      </c>
    </row>
    <row r="14" spans="1:37" s="19" customFormat="1" x14ac:dyDescent="0.25">
      <c r="A14" s="16" t="s">
        <v>106</v>
      </c>
      <c r="B14" s="17">
        <f t="shared" si="5"/>
        <v>0</v>
      </c>
      <c r="C14" s="24"/>
      <c r="D14" s="24"/>
      <c r="E14" s="17"/>
      <c r="F14" s="17"/>
      <c r="G14" s="24"/>
      <c r="H14" s="24"/>
      <c r="I14" s="24"/>
      <c r="J14" s="24"/>
      <c r="K14" s="24"/>
      <c r="L14" s="24"/>
      <c r="M14" s="24"/>
      <c r="N14" s="17"/>
      <c r="O14" s="17"/>
      <c r="P14" s="17"/>
      <c r="Q14" s="17"/>
      <c r="T14" s="24"/>
      <c r="U14" s="24"/>
      <c r="V14" s="24"/>
      <c r="W14" s="24"/>
      <c r="X14" s="24">
        <f>-PL!D28</f>
        <v>0</v>
      </c>
      <c r="Y14" s="24"/>
      <c r="Z14" s="24"/>
      <c r="AA14" s="24"/>
      <c r="AB14" s="24"/>
      <c r="AC14" s="24"/>
      <c r="AD14" s="24"/>
      <c r="AE14" s="24"/>
      <c r="AF14" s="24"/>
      <c r="AG14" s="24"/>
      <c r="AH14" s="24"/>
      <c r="AI14" s="25">
        <f t="shared" si="4"/>
        <v>0</v>
      </c>
    </row>
    <row r="15" spans="1:37" s="19" customFormat="1" x14ac:dyDescent="0.25">
      <c r="A15" s="16" t="s">
        <v>107</v>
      </c>
      <c r="B15" s="17">
        <f t="shared" si="5"/>
        <v>0</v>
      </c>
      <c r="C15" s="24"/>
      <c r="D15" s="24"/>
      <c r="E15" s="17"/>
      <c r="F15" s="17"/>
      <c r="G15" s="24"/>
      <c r="H15" s="24"/>
      <c r="I15" s="24"/>
      <c r="J15" s="24"/>
      <c r="K15" s="24"/>
      <c r="L15" s="24"/>
      <c r="M15" s="24"/>
      <c r="N15" s="17"/>
      <c r="O15" s="17">
        <f>589</f>
        <v>589</v>
      </c>
      <c r="P15" s="17">
        <f>-589</f>
        <v>-589</v>
      </c>
      <c r="Q15" s="17"/>
      <c r="R15" s="24">
        <f>0</f>
        <v>0</v>
      </c>
      <c r="S15" s="24"/>
      <c r="T15" s="24"/>
      <c r="U15" s="24"/>
      <c r="V15" s="17">
        <f>-V11</f>
        <v>-11</v>
      </c>
      <c r="W15" s="17">
        <f>-V15</f>
        <v>11</v>
      </c>
      <c r="X15" s="24"/>
      <c r="Y15" s="24">
        <f>-Q15</f>
        <v>0</v>
      </c>
      <c r="Z15" s="24"/>
      <c r="AA15" s="24"/>
      <c r="AB15" s="24"/>
      <c r="AC15" s="24"/>
      <c r="AD15" s="24"/>
      <c r="AE15" s="24"/>
      <c r="AF15" s="24"/>
      <c r="AG15" s="24"/>
      <c r="AH15" s="24"/>
      <c r="AI15" s="25">
        <f t="shared" si="4"/>
        <v>0</v>
      </c>
    </row>
    <row r="16" spans="1:37" s="19" customFormat="1" x14ac:dyDescent="0.25">
      <c r="A16" s="16" t="s">
        <v>108</v>
      </c>
      <c r="B16" s="17">
        <f t="shared" si="5"/>
        <v>0</v>
      </c>
      <c r="C16" s="24"/>
      <c r="D16" s="24"/>
      <c r="E16" s="17"/>
      <c r="F16" s="17"/>
      <c r="G16" s="24"/>
      <c r="H16" s="24"/>
      <c r="I16" s="24">
        <f>-'Leases 29'!D70</f>
        <v>-379.14852631174006</v>
      </c>
      <c r="J16" s="24"/>
      <c r="K16" s="24"/>
      <c r="L16" s="24"/>
      <c r="M16" s="24"/>
      <c r="N16" s="17"/>
      <c r="O16" s="17"/>
      <c r="P16" s="17"/>
      <c r="Q16" s="17">
        <f>-I16</f>
        <v>379.14852631174006</v>
      </c>
      <c r="R16" s="24"/>
      <c r="S16" s="24"/>
      <c r="T16" s="24"/>
      <c r="U16" s="24"/>
      <c r="V16" s="24"/>
      <c r="W16" s="24"/>
      <c r="X16" s="24"/>
      <c r="Y16" s="24"/>
      <c r="Z16" s="24"/>
      <c r="AA16" s="24"/>
      <c r="AB16" s="24"/>
      <c r="AC16" s="24"/>
      <c r="AD16" s="24"/>
      <c r="AE16" s="24"/>
      <c r="AF16" s="24"/>
      <c r="AG16" s="24"/>
      <c r="AH16" s="24"/>
      <c r="AI16" s="25">
        <f t="shared" si="4"/>
        <v>0</v>
      </c>
    </row>
    <row r="17" spans="1:44" s="19" customFormat="1" x14ac:dyDescent="0.25">
      <c r="A17" s="16" t="s">
        <v>109</v>
      </c>
      <c r="B17" s="17">
        <f t="shared" si="5"/>
        <v>0</v>
      </c>
      <c r="C17" s="24"/>
      <c r="D17" s="24"/>
      <c r="E17" s="17"/>
      <c r="F17" s="17"/>
      <c r="G17" s="24"/>
      <c r="H17" s="24"/>
      <c r="I17" s="24"/>
      <c r="J17" s="24"/>
      <c r="K17" s="24"/>
      <c r="L17" s="24"/>
      <c r="M17" s="24"/>
      <c r="N17" s="17"/>
      <c r="O17" s="17"/>
      <c r="P17" s="17"/>
      <c r="Q17" s="17">
        <f>143847.940133968/10^5</f>
        <v>1.43847940133968</v>
      </c>
      <c r="R17" s="24"/>
      <c r="S17" s="24">
        <f>-Q17</f>
        <v>-1.43847940133968</v>
      </c>
      <c r="T17" s="24"/>
      <c r="U17" s="24"/>
      <c r="V17" s="24"/>
      <c r="W17" s="24"/>
      <c r="X17" s="24"/>
      <c r="Y17" s="24"/>
      <c r="Z17" s="24"/>
      <c r="AA17" s="24"/>
      <c r="AB17" s="24"/>
      <c r="AC17" s="24"/>
      <c r="AD17" s="24"/>
      <c r="AE17" s="24"/>
      <c r="AF17" s="24"/>
      <c r="AG17" s="24"/>
      <c r="AH17" s="24"/>
      <c r="AI17" s="25">
        <f t="shared" si="4"/>
        <v>0</v>
      </c>
    </row>
    <row r="18" spans="1:44" s="19" customFormat="1" ht="12.5" x14ac:dyDescent="0.25">
      <c r="A18" s="16" t="s">
        <v>110</v>
      </c>
      <c r="B18" s="17">
        <f t="shared" si="5"/>
        <v>0</v>
      </c>
      <c r="C18" s="24"/>
      <c r="D18" s="24"/>
      <c r="E18" s="17"/>
      <c r="F18" s="17"/>
      <c r="G18" s="24"/>
      <c r="H18" s="24"/>
      <c r="J18" s="24"/>
      <c r="K18" s="24"/>
      <c r="L18" s="24"/>
      <c r="M18" s="24"/>
      <c r="N18" s="17"/>
      <c r="O18" s="17"/>
      <c r="P18" s="17"/>
      <c r="R18" s="24"/>
      <c r="S18" s="31"/>
      <c r="T18" s="24"/>
      <c r="U18" s="24"/>
      <c r="V18" s="24"/>
      <c r="W18" s="24"/>
      <c r="X18" s="24"/>
      <c r="Y18" s="24"/>
      <c r="Z18" s="24"/>
      <c r="AA18" s="24"/>
      <c r="AB18" s="24"/>
      <c r="AC18" s="24"/>
      <c r="AD18" s="24"/>
      <c r="AE18" s="24"/>
      <c r="AF18" s="24"/>
      <c r="AG18" s="24"/>
      <c r="AH18" s="24"/>
      <c r="AI18" s="25">
        <f t="shared" si="4"/>
        <v>0</v>
      </c>
    </row>
    <row r="19" spans="1:44" s="19" customFormat="1" x14ac:dyDescent="0.25">
      <c r="A19" s="16"/>
      <c r="B19" s="17">
        <f t="shared" si="5"/>
        <v>0</v>
      </c>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5">
        <f t="shared" si="4"/>
        <v>0</v>
      </c>
    </row>
    <row r="20" spans="1:44" s="19" customFormat="1" x14ac:dyDescent="0.25">
      <c r="A20" s="23" t="s">
        <v>111</v>
      </c>
      <c r="B20" s="24">
        <f>SUM(B11:B18)</f>
        <v>227.09552592998591</v>
      </c>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5"/>
    </row>
    <row r="21" spans="1:44" s="19" customFormat="1" ht="12" x14ac:dyDescent="0.3">
      <c r="A21" s="751" t="s">
        <v>112</v>
      </c>
      <c r="B21" s="17">
        <f>-SUM(C21:AH21)</f>
        <v>0</v>
      </c>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5"/>
    </row>
    <row r="22" spans="1:44" s="19" customFormat="1" x14ac:dyDescent="0.25">
      <c r="A22" s="23" t="s">
        <v>113</v>
      </c>
      <c r="B22" s="17">
        <f>B20+B21</f>
        <v>227.09552592998591</v>
      </c>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5"/>
    </row>
    <row r="23" spans="1:44" s="19" customFormat="1" ht="14.5" x14ac:dyDescent="0.55000000000000004">
      <c r="A23" s="26" t="s">
        <v>114</v>
      </c>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5">
        <f t="shared" ref="AI23:AI49" si="6">SUM(B23:AH23)</f>
        <v>0</v>
      </c>
    </row>
    <row r="24" spans="1:44" s="19" customFormat="1" ht="12.5" x14ac:dyDescent="0.25">
      <c r="A24" s="16" t="s">
        <v>115</v>
      </c>
      <c r="B24" s="17">
        <f t="shared" ref="B24:B32" si="7">-SUM(C24:AH24)</f>
        <v>2477.7009443367479</v>
      </c>
      <c r="C24" s="24"/>
      <c r="D24" s="24"/>
      <c r="E24" s="24"/>
      <c r="F24" s="24"/>
      <c r="G24" s="17"/>
      <c r="H24" s="24"/>
      <c r="I24" s="24"/>
      <c r="J24" s="24"/>
      <c r="K24" s="24"/>
      <c r="L24" s="24"/>
      <c r="M24" s="24"/>
      <c r="N24" s="90">
        <f>-'17-25'!$D$139</f>
        <v>-183.31775399694524</v>
      </c>
      <c r="O24" s="31">
        <f>-'3-4'!E51</f>
        <v>-1952.3550707999998</v>
      </c>
      <c r="P24" s="31"/>
      <c r="Q24" s="31">
        <f>-'17-25'!D141</f>
        <v>-342.02811953980313</v>
      </c>
      <c r="R24" s="24"/>
      <c r="S24" s="17"/>
      <c r="T24" s="17"/>
      <c r="U24" s="24"/>
      <c r="V24" s="17"/>
      <c r="W24" s="24"/>
      <c r="X24" s="24"/>
      <c r="Y24" s="24"/>
      <c r="Z24" s="24"/>
      <c r="AA24" s="24"/>
      <c r="AB24" s="24"/>
      <c r="AC24" s="24"/>
      <c r="AD24" s="24"/>
      <c r="AE24" s="24"/>
      <c r="AF24" s="24"/>
      <c r="AG24" s="24"/>
      <c r="AH24" s="17"/>
      <c r="AI24" s="25">
        <f t="shared" si="6"/>
        <v>0</v>
      </c>
      <c r="AN24" s="17"/>
      <c r="AR24" s="17"/>
    </row>
    <row r="25" spans="1:44" s="19" customFormat="1" ht="12.5" x14ac:dyDescent="0.25">
      <c r="A25" s="16" t="s">
        <v>116</v>
      </c>
      <c r="B25" s="17">
        <f t="shared" si="7"/>
        <v>-27.460329881389299</v>
      </c>
      <c r="D25" s="24"/>
      <c r="E25" s="24"/>
      <c r="F25" s="24"/>
      <c r="G25" s="24"/>
      <c r="H25" s="24"/>
      <c r="I25" s="31"/>
      <c r="J25" s="24"/>
      <c r="K25" s="24"/>
      <c r="L25" s="24"/>
      <c r="M25" s="24"/>
      <c r="N25" s="17"/>
      <c r="O25" s="17"/>
      <c r="P25" s="17"/>
      <c r="Q25" s="31">
        <f>0</f>
        <v>0</v>
      </c>
      <c r="R25" s="24"/>
      <c r="S25" s="24"/>
      <c r="T25" s="24"/>
      <c r="U25" s="24"/>
      <c r="V25" s="24"/>
      <c r="W25" s="31"/>
      <c r="X25" s="24"/>
      <c r="Y25" s="24">
        <f>'17-25'!C80/10^5</f>
        <v>27.460329881389299</v>
      </c>
      <c r="Z25" s="24"/>
      <c r="AA25" s="24"/>
      <c r="AB25" s="24"/>
      <c r="AC25" s="24"/>
      <c r="AD25" s="24"/>
      <c r="AE25" s="24"/>
      <c r="AF25" s="24"/>
      <c r="AG25" s="24"/>
      <c r="AH25" s="24"/>
      <c r="AI25" s="25">
        <f t="shared" si="6"/>
        <v>0</v>
      </c>
    </row>
    <row r="26" spans="1:44" s="19" customFormat="1" ht="12.5" x14ac:dyDescent="0.25">
      <c r="A26" s="16" t="s">
        <v>117</v>
      </c>
      <c r="B26" s="17">
        <f t="shared" si="7"/>
        <v>0</v>
      </c>
      <c r="D26" s="24"/>
      <c r="E26" s="24"/>
      <c r="F26" s="24"/>
      <c r="G26" s="24"/>
      <c r="H26" s="24"/>
      <c r="I26" s="31"/>
      <c r="J26" s="24"/>
      <c r="K26" s="24"/>
      <c r="L26" s="24"/>
      <c r="M26" s="24"/>
      <c r="N26" s="17"/>
      <c r="O26" s="17"/>
      <c r="P26" s="17"/>
      <c r="Q26" s="31"/>
      <c r="R26" s="24"/>
      <c r="S26" s="24"/>
      <c r="T26" s="24"/>
      <c r="U26" s="24"/>
      <c r="V26" s="24"/>
      <c r="W26" s="31"/>
      <c r="X26" s="24"/>
      <c r="Y26" s="24"/>
      <c r="Z26" s="24"/>
      <c r="AA26" s="24"/>
      <c r="AB26" s="24"/>
      <c r="AC26" s="24"/>
      <c r="AD26" s="24"/>
      <c r="AE26" s="24"/>
      <c r="AF26" s="24"/>
      <c r="AG26" s="24"/>
      <c r="AH26" s="24"/>
      <c r="AI26" s="25">
        <f t="shared" si="6"/>
        <v>0</v>
      </c>
    </row>
    <row r="27" spans="1:44" s="19" customFormat="1" ht="12.5" x14ac:dyDescent="0.25">
      <c r="A27" s="16" t="s">
        <v>118</v>
      </c>
      <c r="B27" s="17">
        <f t="shared" si="7"/>
        <v>0</v>
      </c>
      <c r="C27" s="24"/>
      <c r="D27" s="24"/>
      <c r="E27" s="24"/>
      <c r="F27" s="24"/>
      <c r="G27" s="24"/>
      <c r="H27" s="24"/>
      <c r="I27" s="24"/>
      <c r="L27" s="24"/>
      <c r="M27" s="24"/>
      <c r="N27" s="17"/>
      <c r="O27" s="17"/>
      <c r="P27" s="17"/>
      <c r="Q27" s="24"/>
      <c r="R27" s="24"/>
      <c r="S27" s="24"/>
      <c r="T27" s="24"/>
      <c r="U27" s="24"/>
      <c r="V27" s="24"/>
      <c r="W27" s="31"/>
      <c r="X27" s="24"/>
      <c r="Y27" s="24"/>
      <c r="Z27" s="24"/>
      <c r="AA27" s="24"/>
      <c r="AB27" s="24"/>
      <c r="AC27" s="24"/>
      <c r="AD27" s="24"/>
      <c r="AE27" s="24"/>
      <c r="AF27" s="24"/>
      <c r="AG27" s="24"/>
      <c r="AH27" s="24"/>
      <c r="AI27" s="25">
        <f t="shared" si="6"/>
        <v>0</v>
      </c>
    </row>
    <row r="28" spans="1:44" s="19" customFormat="1" ht="12.5" x14ac:dyDescent="0.25">
      <c r="A28" s="16" t="s">
        <v>119</v>
      </c>
      <c r="B28" s="17">
        <f t="shared" si="7"/>
        <v>0</v>
      </c>
      <c r="C28" s="24"/>
      <c r="D28" s="24"/>
      <c r="E28" s="24"/>
      <c r="F28" s="24"/>
      <c r="G28" s="24"/>
      <c r="H28" s="24"/>
      <c r="I28" s="31"/>
      <c r="J28" s="31"/>
      <c r="K28" s="24"/>
      <c r="L28" s="24"/>
      <c r="M28" s="24"/>
      <c r="N28" s="17"/>
      <c r="O28" s="17"/>
      <c r="P28" s="17"/>
      <c r="Q28" s="31"/>
      <c r="R28" s="24"/>
      <c r="S28" s="24"/>
      <c r="T28" s="24"/>
      <c r="U28" s="24"/>
      <c r="V28" s="24"/>
      <c r="W28" s="24"/>
      <c r="X28" s="24"/>
      <c r="Y28" s="24"/>
      <c r="Z28" s="24"/>
      <c r="AA28" s="31"/>
      <c r="AB28" s="24"/>
      <c r="AC28" s="24"/>
      <c r="AD28" s="24"/>
      <c r="AE28" s="24"/>
      <c r="AF28" s="24"/>
      <c r="AG28" s="24"/>
      <c r="AH28" s="24"/>
      <c r="AI28" s="25">
        <f t="shared" si="6"/>
        <v>0</v>
      </c>
    </row>
    <row r="29" spans="1:44" s="19" customFormat="1" ht="12.5" x14ac:dyDescent="0.25">
      <c r="A29" s="16" t="s">
        <v>120</v>
      </c>
      <c r="B29" s="17">
        <f t="shared" si="7"/>
        <v>106.28667715479301</v>
      </c>
      <c r="C29" s="24"/>
      <c r="D29" s="24"/>
      <c r="E29" s="24"/>
      <c r="F29" s="24"/>
      <c r="G29" s="24"/>
      <c r="H29" s="24"/>
      <c r="I29" s="31">
        <f>-'Leases 29'!E71</f>
        <v>-106.28667715479301</v>
      </c>
      <c r="J29" s="24"/>
      <c r="K29" s="24"/>
      <c r="L29" s="24"/>
      <c r="M29" s="24"/>
      <c r="N29" s="17"/>
      <c r="O29" s="17"/>
      <c r="P29" s="17"/>
      <c r="Q29" s="24"/>
      <c r="R29" s="24"/>
      <c r="S29" s="24"/>
      <c r="T29" s="24"/>
      <c r="U29" s="24"/>
      <c r="V29" s="24"/>
      <c r="W29" s="24"/>
      <c r="X29" s="24"/>
      <c r="Y29" s="24"/>
      <c r="Z29" s="24"/>
      <c r="AA29" s="24"/>
      <c r="AB29" s="24"/>
      <c r="AC29" s="24"/>
      <c r="AD29" s="24"/>
      <c r="AE29" s="24"/>
      <c r="AF29" s="24"/>
      <c r="AG29" s="24"/>
      <c r="AH29" s="24"/>
      <c r="AI29" s="25">
        <f t="shared" si="6"/>
        <v>0</v>
      </c>
    </row>
    <row r="30" spans="1:44" s="19" customFormat="1" ht="12.5" x14ac:dyDescent="0.25">
      <c r="A30" s="16" t="s">
        <v>121</v>
      </c>
      <c r="B30" s="17">
        <f t="shared" si="7"/>
        <v>26.328630479701321</v>
      </c>
      <c r="C30" s="24"/>
      <c r="D30" s="24"/>
      <c r="E30" s="24"/>
      <c r="F30" s="24"/>
      <c r="G30" s="24"/>
      <c r="H30" s="24"/>
      <c r="I30" s="24"/>
      <c r="J30" s="24"/>
      <c r="K30" s="24"/>
      <c r="L30" s="24"/>
      <c r="M30" s="24"/>
      <c r="N30" s="17"/>
      <c r="O30" s="17"/>
      <c r="P30" s="17"/>
      <c r="Q30" s="24"/>
      <c r="R30" s="24"/>
      <c r="S30" s="24"/>
      <c r="T30" s="24"/>
      <c r="U30" s="24"/>
      <c r="V30" s="24"/>
      <c r="W30" s="24"/>
      <c r="X30" s="24"/>
      <c r="Y30" s="24"/>
      <c r="Z30" s="24"/>
      <c r="AA30" s="31">
        <f>-'17-25'!D177</f>
        <v>-26.328630479701321</v>
      </c>
      <c r="AB30" s="24"/>
      <c r="AC30" s="24"/>
      <c r="AD30" s="24"/>
      <c r="AE30" s="24"/>
      <c r="AF30" s="24"/>
      <c r="AG30" s="24"/>
      <c r="AH30" s="24"/>
      <c r="AI30" s="25">
        <f t="shared" si="6"/>
        <v>0</v>
      </c>
    </row>
    <row r="31" spans="1:44" s="19" customFormat="1" x14ac:dyDescent="0.25">
      <c r="A31" s="16" t="s">
        <v>122</v>
      </c>
      <c r="B31" s="17">
        <f t="shared" si="7"/>
        <v>0</v>
      </c>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5">
        <f t="shared" si="6"/>
        <v>0</v>
      </c>
    </row>
    <row r="32" spans="1:44" s="19" customFormat="1" x14ac:dyDescent="0.25">
      <c r="A32" s="16" t="s">
        <v>123</v>
      </c>
      <c r="B32" s="17">
        <f t="shared" si="7"/>
        <v>0</v>
      </c>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5">
        <f t="shared" si="6"/>
        <v>0</v>
      </c>
    </row>
    <row r="33" spans="1:35" s="19" customFormat="1" x14ac:dyDescent="0.25">
      <c r="A33" s="16"/>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5">
        <f t="shared" si="6"/>
        <v>0</v>
      </c>
    </row>
    <row r="34" spans="1:35" s="19" customFormat="1" x14ac:dyDescent="0.25">
      <c r="A34" s="23" t="s">
        <v>124</v>
      </c>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5">
        <f t="shared" si="6"/>
        <v>0</v>
      </c>
    </row>
    <row r="35" spans="1:35" s="19" customFormat="1" x14ac:dyDescent="0.25">
      <c r="A35" s="13" t="s">
        <v>125</v>
      </c>
      <c r="B35" s="17"/>
      <c r="C35" s="24"/>
      <c r="D35" s="24"/>
      <c r="E35" s="24"/>
      <c r="F35" s="24"/>
      <c r="G35" s="24"/>
      <c r="H35" s="24"/>
      <c r="I35" s="24"/>
      <c r="J35" s="24"/>
      <c r="K35" s="24"/>
      <c r="L35" s="24"/>
      <c r="M35" s="24"/>
      <c r="N35" s="24"/>
      <c r="O35" s="24"/>
      <c r="P35" s="24"/>
      <c r="Q35" s="24"/>
      <c r="R35" s="24"/>
      <c r="S35" s="17"/>
      <c r="T35" s="17"/>
      <c r="U35" s="24"/>
      <c r="V35" s="17"/>
      <c r="W35" s="24"/>
      <c r="X35" s="24"/>
      <c r="Y35" s="24"/>
      <c r="Z35" s="24"/>
      <c r="AA35" s="24"/>
      <c r="AB35" s="24"/>
      <c r="AC35" s="24"/>
      <c r="AD35" s="24"/>
      <c r="AE35" s="24"/>
      <c r="AF35" s="24"/>
      <c r="AG35" s="24"/>
      <c r="AH35" s="24"/>
      <c r="AI35" s="25">
        <f t="shared" si="6"/>
        <v>0</v>
      </c>
    </row>
    <row r="36" spans="1:35" s="19" customFormat="1" x14ac:dyDescent="0.25">
      <c r="A36" s="16" t="s">
        <v>126</v>
      </c>
      <c r="B36" s="17">
        <f t="shared" ref="B36:B44" si="8">-SUM(C36:AH36)</f>
        <v>2362.2392320569079</v>
      </c>
      <c r="C36" s="24"/>
      <c r="D36" s="24"/>
      <c r="E36" s="24"/>
      <c r="F36" s="24"/>
      <c r="G36" s="24"/>
      <c r="H36" s="24"/>
      <c r="I36" s="24"/>
      <c r="J36" s="24"/>
      <c r="K36" s="24"/>
      <c r="L36" s="24"/>
      <c r="M36" s="24"/>
      <c r="N36" s="24"/>
      <c r="O36" s="24"/>
      <c r="P36" s="24"/>
      <c r="Q36" s="24"/>
      <c r="R36" s="24"/>
      <c r="S36" s="24"/>
      <c r="T36" s="24"/>
      <c r="U36" s="24"/>
      <c r="V36" s="24"/>
      <c r="W36" s="24"/>
      <c r="X36" s="24"/>
      <c r="Y36" s="24"/>
      <c r="Z36" s="24"/>
      <c r="AA36" s="24">
        <f>-AA11-AA30</f>
        <v>-2362.2392320569079</v>
      </c>
      <c r="AB36" s="24"/>
      <c r="AC36" s="24"/>
      <c r="AD36" s="24"/>
      <c r="AE36" s="24"/>
      <c r="AF36" s="24"/>
      <c r="AG36" s="24"/>
      <c r="AH36" s="24"/>
      <c r="AI36" s="25">
        <f t="shared" si="6"/>
        <v>0</v>
      </c>
    </row>
    <row r="37" spans="1:35" s="19" customFormat="1" x14ac:dyDescent="0.25">
      <c r="A37" s="16" t="s">
        <v>127</v>
      </c>
      <c r="B37" s="17">
        <f t="shared" si="8"/>
        <v>0</v>
      </c>
      <c r="C37" s="24"/>
      <c r="D37" s="24"/>
      <c r="E37" s="24"/>
      <c r="F37" s="24"/>
      <c r="G37" s="24"/>
      <c r="H37" s="24"/>
      <c r="I37" s="24"/>
      <c r="J37" s="24"/>
      <c r="K37" s="24"/>
      <c r="L37" s="24"/>
      <c r="M37" s="24"/>
      <c r="N37" s="24"/>
      <c r="O37" s="24"/>
      <c r="P37" s="24"/>
      <c r="Q37" s="24"/>
      <c r="R37" s="24"/>
      <c r="S37" s="24"/>
      <c r="V37" s="24"/>
      <c r="W37" s="24"/>
      <c r="X37" s="24"/>
      <c r="Y37" s="24"/>
      <c r="Z37" s="24"/>
      <c r="AA37" s="24"/>
      <c r="AB37" s="24"/>
      <c r="AC37" s="24"/>
      <c r="AD37" s="24"/>
      <c r="AE37" s="24"/>
      <c r="AF37" s="24"/>
      <c r="AG37" s="24"/>
      <c r="AH37" s="24"/>
      <c r="AI37" s="25">
        <f t="shared" si="6"/>
        <v>0</v>
      </c>
    </row>
    <row r="38" spans="1:35" s="19" customFormat="1" x14ac:dyDescent="0.25">
      <c r="A38" s="32" t="s">
        <v>128</v>
      </c>
      <c r="B38" s="17">
        <f t="shared" si="8"/>
        <v>19.102757191559999</v>
      </c>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f>-AC11</f>
        <v>-19.102757191559999</v>
      </c>
      <c r="AD38" s="24"/>
      <c r="AE38" s="24"/>
      <c r="AF38" s="24"/>
      <c r="AG38" s="24"/>
      <c r="AH38" s="24"/>
      <c r="AI38" s="25">
        <f t="shared" si="6"/>
        <v>0</v>
      </c>
    </row>
    <row r="39" spans="1:35" s="19" customFormat="1" x14ac:dyDescent="0.25">
      <c r="A39" s="16" t="s">
        <v>129</v>
      </c>
      <c r="B39" s="17">
        <f t="shared" si="8"/>
        <v>39.614498965349995</v>
      </c>
      <c r="C39" s="24"/>
      <c r="D39" s="24"/>
      <c r="E39" s="24"/>
      <c r="F39" s="24"/>
      <c r="G39" s="24"/>
      <c r="H39" s="24"/>
      <c r="I39" s="24"/>
      <c r="J39" s="24"/>
      <c r="K39" s="24"/>
      <c r="L39" s="24"/>
      <c r="M39" s="24"/>
      <c r="N39" s="24"/>
      <c r="O39" s="24"/>
      <c r="P39" s="24"/>
      <c r="Q39" s="24"/>
      <c r="R39" s="24"/>
      <c r="S39" s="24"/>
      <c r="T39" s="24"/>
      <c r="U39" s="24"/>
      <c r="V39" s="24"/>
      <c r="W39" s="24"/>
      <c r="X39" s="17"/>
      <c r="Z39" s="17"/>
      <c r="AA39" s="24"/>
      <c r="AB39" s="24">
        <f>-AB11</f>
        <v>-39.614498965349995</v>
      </c>
      <c r="AF39" s="24"/>
      <c r="AG39" s="24"/>
      <c r="AH39" s="24"/>
      <c r="AI39" s="25">
        <f t="shared" si="6"/>
        <v>0</v>
      </c>
    </row>
    <row r="40" spans="1:35" s="19" customFormat="1" x14ac:dyDescent="0.25">
      <c r="A40" s="16" t="s">
        <v>130</v>
      </c>
      <c r="B40" s="17">
        <f t="shared" si="8"/>
        <v>356.9876387429473</v>
      </c>
      <c r="C40" s="24"/>
      <c r="D40" s="24"/>
      <c r="E40" s="24"/>
      <c r="F40" s="24"/>
      <c r="G40" s="24"/>
      <c r="H40" s="17"/>
      <c r="I40" s="24"/>
      <c r="J40" s="17"/>
      <c r="K40" s="17"/>
      <c r="L40" s="17"/>
      <c r="M40" s="24"/>
      <c r="N40" s="24"/>
      <c r="O40" s="24"/>
      <c r="P40" s="24"/>
      <c r="Q40" s="24"/>
      <c r="R40" s="24"/>
      <c r="S40" s="24"/>
      <c r="T40" s="24"/>
      <c r="U40" s="24"/>
      <c r="V40" s="24"/>
      <c r="W40" s="24"/>
      <c r="X40" s="24"/>
      <c r="Z40" s="24"/>
      <c r="AA40" s="24"/>
      <c r="AB40" s="24"/>
      <c r="AD40" s="24">
        <f>-AD11</f>
        <v>-1835.45904476962</v>
      </c>
      <c r="AE40" s="24">
        <f>-AE11</f>
        <v>59.882611820221186</v>
      </c>
      <c r="AF40" s="24">
        <f>-AF11</f>
        <v>1245.4038528258147</v>
      </c>
      <c r="AG40" s="24">
        <f>-AG11</f>
        <v>173.18494138063684</v>
      </c>
      <c r="AH40" s="24"/>
      <c r="AI40" s="25">
        <f t="shared" si="6"/>
        <v>0</v>
      </c>
    </row>
    <row r="41" spans="1:35" s="19" customFormat="1" x14ac:dyDescent="0.25">
      <c r="A41" s="16" t="s">
        <v>131</v>
      </c>
      <c r="B41" s="17">
        <f t="shared" si="8"/>
        <v>-3245.8030996380867</v>
      </c>
      <c r="C41" s="24"/>
      <c r="D41" s="24"/>
      <c r="E41" s="24"/>
      <c r="F41" s="24"/>
      <c r="G41" s="17"/>
      <c r="H41" s="24"/>
      <c r="J41" s="24">
        <f>-J11</f>
        <v>3245.8030996380867</v>
      </c>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5">
        <f t="shared" si="6"/>
        <v>0</v>
      </c>
    </row>
    <row r="42" spans="1:35" s="19" customFormat="1" x14ac:dyDescent="0.25">
      <c r="A42" s="16" t="s">
        <v>132</v>
      </c>
      <c r="B42" s="17">
        <f t="shared" si="8"/>
        <v>-1144.5197594386209</v>
      </c>
      <c r="C42" s="24"/>
      <c r="D42" s="24"/>
      <c r="E42" s="24"/>
      <c r="F42" s="24"/>
      <c r="G42" s="17"/>
      <c r="H42" s="24"/>
      <c r="J42" s="24"/>
      <c r="K42" s="24">
        <f>-K11</f>
        <v>1083.1627244968458</v>
      </c>
      <c r="L42" s="24"/>
      <c r="M42" s="24"/>
      <c r="N42" s="24"/>
      <c r="O42" s="24"/>
      <c r="P42" s="24"/>
      <c r="Q42" s="24"/>
      <c r="R42" s="24">
        <f>-R11</f>
        <v>61.357034941775026</v>
      </c>
      <c r="S42" s="24"/>
      <c r="T42" s="24"/>
      <c r="U42" s="24"/>
      <c r="V42" s="24"/>
      <c r="W42" s="24"/>
      <c r="X42" s="24"/>
      <c r="Y42" s="24"/>
      <c r="Z42" s="24"/>
      <c r="AA42" s="24"/>
      <c r="AB42" s="24"/>
      <c r="AC42" s="24"/>
      <c r="AD42" s="24"/>
      <c r="AE42" s="24"/>
      <c r="AF42" s="24"/>
      <c r="AG42" s="24"/>
      <c r="AH42" s="24"/>
      <c r="AI42" s="25">
        <f t="shared" si="6"/>
        <v>0</v>
      </c>
    </row>
    <row r="43" spans="1:35" s="19" customFormat="1" x14ac:dyDescent="0.25">
      <c r="A43" s="16" t="s">
        <v>133</v>
      </c>
      <c r="B43" s="17">
        <f t="shared" si="8"/>
        <v>-422.6567496217981</v>
      </c>
      <c r="C43" s="24"/>
      <c r="D43" s="24"/>
      <c r="E43" s="24"/>
      <c r="F43" s="24"/>
      <c r="G43" s="17"/>
      <c r="H43" s="24"/>
      <c r="I43" s="17"/>
      <c r="J43" s="24"/>
      <c r="K43" s="24"/>
      <c r="L43" s="24">
        <f>-L11-L31</f>
        <v>422.6567496217981</v>
      </c>
      <c r="M43" s="24"/>
      <c r="N43" s="24"/>
      <c r="O43" s="24"/>
      <c r="P43" s="24"/>
      <c r="Q43" s="24"/>
      <c r="R43" s="24"/>
      <c r="S43" s="24"/>
      <c r="T43" s="24"/>
      <c r="U43" s="24"/>
      <c r="V43" s="24"/>
      <c r="W43" s="24"/>
      <c r="X43" s="24"/>
      <c r="Y43" s="24"/>
      <c r="Z43" s="24"/>
      <c r="AA43" s="24"/>
      <c r="AB43" s="24"/>
      <c r="AC43" s="24"/>
      <c r="AD43" s="24"/>
      <c r="AE43" s="24"/>
      <c r="AF43" s="24"/>
      <c r="AG43" s="24"/>
      <c r="AH43" s="24"/>
      <c r="AI43" s="25">
        <f t="shared" si="6"/>
        <v>0</v>
      </c>
    </row>
    <row r="44" spans="1:35" s="19" customFormat="1" x14ac:dyDescent="0.25">
      <c r="A44" s="16" t="s">
        <v>134</v>
      </c>
      <c r="B44" s="17">
        <f t="shared" si="8"/>
        <v>-149.84705516846248</v>
      </c>
      <c r="C44" s="24"/>
      <c r="D44" s="24"/>
      <c r="E44" s="24"/>
      <c r="F44" s="24"/>
      <c r="G44" s="24">
        <f>-G13-G11</f>
        <v>1012.43345</v>
      </c>
      <c r="H44" s="24">
        <f>-H11</f>
        <v>-862.58639483153752</v>
      </c>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5">
        <f t="shared" si="6"/>
        <v>0</v>
      </c>
    </row>
    <row r="45" spans="1:35" s="19" customFormat="1" x14ac:dyDescent="0.25">
      <c r="A45" s="16"/>
      <c r="B45" s="17"/>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5">
        <f t="shared" si="6"/>
        <v>0</v>
      </c>
    </row>
    <row r="46" spans="1:35" s="19" customFormat="1" x14ac:dyDescent="0.25">
      <c r="A46" s="16" t="s">
        <v>135</v>
      </c>
      <c r="B46" s="17">
        <f>-SUM(C46:AH46)</f>
        <v>868.38858860520952</v>
      </c>
      <c r="C46" s="24"/>
      <c r="D46" s="24"/>
      <c r="E46" s="24"/>
      <c r="F46" s="24"/>
      <c r="G46" s="24"/>
      <c r="H46" s="24"/>
      <c r="I46" s="24"/>
      <c r="J46" s="24"/>
      <c r="K46" s="24"/>
      <c r="L46" s="24"/>
      <c r="M46" s="17"/>
      <c r="N46" s="24"/>
      <c r="O46" s="24"/>
      <c r="P46" s="24"/>
      <c r="Q46" s="24"/>
      <c r="R46" s="24"/>
      <c r="S46" s="24"/>
      <c r="T46" s="24"/>
      <c r="U46" s="24"/>
      <c r="V46" s="24"/>
      <c r="W46" s="24"/>
      <c r="X46" s="24"/>
      <c r="Y46" s="24"/>
      <c r="Z46" s="24">
        <f>-Z11</f>
        <v>-868.38858860520952</v>
      </c>
      <c r="AA46" s="24"/>
      <c r="AB46" s="24"/>
      <c r="AC46" s="24"/>
      <c r="AD46" s="24"/>
      <c r="AE46" s="24"/>
      <c r="AF46" s="24"/>
      <c r="AG46" s="24"/>
      <c r="AH46" s="24"/>
      <c r="AI46" s="25">
        <f t="shared" si="6"/>
        <v>0</v>
      </c>
    </row>
    <row r="47" spans="1:35" s="19" customFormat="1" x14ac:dyDescent="0.25">
      <c r="A47" s="16"/>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5">
        <f t="shared" si="6"/>
        <v>0</v>
      </c>
    </row>
    <row r="48" spans="1:35" s="19" customFormat="1" x14ac:dyDescent="0.25">
      <c r="A48" s="23" t="s">
        <v>136</v>
      </c>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5">
        <f t="shared" si="6"/>
        <v>0</v>
      </c>
    </row>
    <row r="49" spans="1:35" s="19" customFormat="1" x14ac:dyDescent="0.25">
      <c r="A49" s="16" t="s">
        <v>137</v>
      </c>
      <c r="B49" s="17">
        <f t="shared" ref="B49:B53" si="9">-SUM(C49:AH49)</f>
        <v>-2079.3360278999999</v>
      </c>
      <c r="C49" s="24"/>
      <c r="D49" s="24"/>
      <c r="E49" s="24"/>
      <c r="F49" s="24"/>
      <c r="G49" s="24"/>
      <c r="H49" s="24"/>
      <c r="I49" s="24"/>
      <c r="J49" s="24"/>
      <c r="K49" s="24"/>
      <c r="L49" s="24"/>
      <c r="M49" s="27"/>
      <c r="N49" s="17">
        <f>'3-4'!H14</f>
        <v>16.829460000000001</v>
      </c>
      <c r="O49" s="17">
        <f>'3-4'!E40</f>
        <v>2062.5065678999999</v>
      </c>
      <c r="P49" s="17">
        <f>'3-4'!D40</f>
        <v>0</v>
      </c>
      <c r="Q49" s="17"/>
      <c r="R49" s="24"/>
      <c r="S49" s="24"/>
      <c r="T49" s="24"/>
      <c r="U49" s="24"/>
      <c r="V49" s="24"/>
      <c r="W49" s="24"/>
      <c r="X49" s="24"/>
      <c r="Y49" s="24"/>
      <c r="Z49" s="24"/>
      <c r="AA49" s="24"/>
      <c r="AB49" s="24"/>
      <c r="AC49" s="24"/>
      <c r="AD49" s="24"/>
      <c r="AE49" s="24"/>
      <c r="AF49" s="24"/>
      <c r="AG49" s="24"/>
      <c r="AH49" s="24"/>
      <c r="AI49" s="25">
        <f t="shared" si="6"/>
        <v>0</v>
      </c>
    </row>
    <row r="50" spans="1:35" s="19" customFormat="1" x14ac:dyDescent="0.25">
      <c r="A50" s="16" t="s">
        <v>138</v>
      </c>
      <c r="B50" s="17">
        <f t="shared" si="9"/>
        <v>41.528160000000014</v>
      </c>
      <c r="C50" s="24"/>
      <c r="D50" s="24"/>
      <c r="E50" s="24"/>
      <c r="F50" s="24"/>
      <c r="G50" s="24"/>
      <c r="H50" s="24"/>
      <c r="I50" s="24"/>
      <c r="J50" s="24"/>
      <c r="K50" s="24"/>
      <c r="L50" s="24"/>
      <c r="M50" s="27"/>
      <c r="N50" s="17">
        <f>('3-4'!H15-'3-4'!H24)</f>
        <v>-41.528160000000014</v>
      </c>
      <c r="O50" s="17"/>
      <c r="P50" s="17"/>
      <c r="Q50" s="17"/>
      <c r="R50" s="24"/>
      <c r="S50" s="24"/>
      <c r="T50" s="24"/>
      <c r="U50" s="24"/>
      <c r="V50" s="24"/>
      <c r="W50" s="24"/>
      <c r="X50" s="24"/>
      <c r="Y50" s="24"/>
      <c r="Z50" s="24"/>
      <c r="AA50" s="24"/>
      <c r="AB50" s="24"/>
      <c r="AC50" s="24"/>
      <c r="AD50" s="24"/>
      <c r="AE50" s="24"/>
      <c r="AF50" s="24"/>
      <c r="AG50" s="24"/>
      <c r="AH50" s="24"/>
      <c r="AI50" s="25"/>
    </row>
    <row r="51" spans="1:35" s="19" customFormat="1" x14ac:dyDescent="0.25">
      <c r="A51" s="16" t="s">
        <v>139</v>
      </c>
      <c r="B51" s="17">
        <f t="shared" si="9"/>
        <v>17.961626000000003</v>
      </c>
      <c r="C51" s="24"/>
      <c r="D51" s="24"/>
      <c r="E51" s="24"/>
      <c r="F51" s="24"/>
      <c r="G51" s="24"/>
      <c r="H51" s="24"/>
      <c r="I51" s="24"/>
      <c r="J51" s="24"/>
      <c r="K51" s="24"/>
      <c r="L51" s="24"/>
      <c r="M51" s="24"/>
      <c r="N51" s="24"/>
      <c r="O51" s="24"/>
      <c r="P51" s="24"/>
      <c r="Q51" s="24"/>
      <c r="R51" s="24"/>
      <c r="S51" s="24"/>
      <c r="T51" s="24"/>
      <c r="U51" s="24"/>
      <c r="V51" s="24"/>
      <c r="W51" s="24">
        <f>-SUM(W11:W49)</f>
        <v>-17.961626000000003</v>
      </c>
      <c r="X51" s="24"/>
      <c r="Y51" s="24"/>
      <c r="Z51" s="24"/>
      <c r="AA51" s="24"/>
      <c r="AB51" s="24"/>
      <c r="AC51" s="24"/>
      <c r="AD51" s="24"/>
      <c r="AE51" s="24"/>
      <c r="AF51" s="24"/>
      <c r="AG51" s="24"/>
      <c r="AH51" s="24"/>
      <c r="AI51" s="25">
        <f t="shared" ref="AI51:AI58" si="10">SUM(B51:AH51)</f>
        <v>0</v>
      </c>
    </row>
    <row r="52" spans="1:35" s="19" customFormat="1" x14ac:dyDescent="0.25">
      <c r="A52" s="16" t="s">
        <v>140</v>
      </c>
      <c r="B52" s="17">
        <f t="shared" si="9"/>
        <v>2405.4937888518093</v>
      </c>
      <c r="C52" s="24"/>
      <c r="D52" s="24"/>
      <c r="E52" s="24"/>
      <c r="F52" s="24"/>
      <c r="G52" s="24"/>
      <c r="H52" s="24"/>
      <c r="I52" s="24"/>
      <c r="J52" s="24"/>
      <c r="K52" s="24"/>
      <c r="L52" s="24"/>
      <c r="M52" s="24"/>
      <c r="N52" s="24"/>
      <c r="O52" s="24"/>
      <c r="P52" s="24"/>
      <c r="Q52" s="24"/>
      <c r="R52" s="24"/>
      <c r="S52" s="24">
        <f>-S11-S17</f>
        <v>-42.034076451809128</v>
      </c>
      <c r="T52" s="24">
        <f>-T11</f>
        <v>-139</v>
      </c>
      <c r="U52" s="24">
        <f>-U11</f>
        <v>-2224.4597124000002</v>
      </c>
      <c r="V52" s="24"/>
      <c r="W52" s="24"/>
      <c r="X52" s="24"/>
      <c r="Y52" s="24"/>
      <c r="Z52" s="24"/>
      <c r="AA52" s="24"/>
      <c r="AB52" s="24"/>
      <c r="AC52" s="24"/>
      <c r="AD52" s="24"/>
      <c r="AE52" s="24"/>
      <c r="AF52" s="24"/>
      <c r="AG52" s="24"/>
      <c r="AH52" s="24"/>
      <c r="AI52" s="25">
        <f t="shared" si="10"/>
        <v>0</v>
      </c>
    </row>
    <row r="53" spans="1:35" s="19" customFormat="1" x14ac:dyDescent="0.25">
      <c r="A53" s="23" t="s">
        <v>141</v>
      </c>
      <c r="B53" s="17">
        <f t="shared" si="9"/>
        <v>0</v>
      </c>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5">
        <f t="shared" si="10"/>
        <v>0</v>
      </c>
    </row>
    <row r="54" spans="1:35" s="19" customFormat="1" x14ac:dyDescent="0.25">
      <c r="A54" s="16" t="s">
        <v>142</v>
      </c>
      <c r="B54" s="17">
        <f>-SUM(C54:AH54)</f>
        <v>-432.80306776432542</v>
      </c>
      <c r="C54" s="24"/>
      <c r="D54" s="24"/>
      <c r="E54" s="24"/>
      <c r="F54" s="24"/>
      <c r="G54" s="24"/>
      <c r="H54" s="24"/>
      <c r="I54" s="24">
        <f>-'Leases 29'!E72-I29</f>
        <v>432.80306776432542</v>
      </c>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5">
        <f t="shared" si="10"/>
        <v>0</v>
      </c>
    </row>
    <row r="55" spans="1:35" s="19" customFormat="1" x14ac:dyDescent="0.25">
      <c r="A55" s="16" t="s">
        <v>143</v>
      </c>
      <c r="B55" s="17">
        <f>-SUM(C55:AH55)</f>
        <v>163.465</v>
      </c>
      <c r="C55" s="24"/>
      <c r="D55" s="24"/>
      <c r="E55" s="24"/>
      <c r="F55" s="24"/>
      <c r="G55" s="24"/>
      <c r="H55" s="24"/>
      <c r="I55" s="24"/>
      <c r="J55" s="24"/>
      <c r="K55" s="24"/>
      <c r="L55" s="24"/>
      <c r="M55" s="24"/>
      <c r="N55" s="24"/>
      <c r="O55" s="24"/>
      <c r="P55" s="24"/>
      <c r="Q55" s="24"/>
      <c r="R55" s="24"/>
      <c r="S55" s="24"/>
      <c r="T55" s="24"/>
      <c r="U55" s="24"/>
      <c r="V55" s="24"/>
      <c r="W55" s="24"/>
      <c r="X55" s="24"/>
      <c r="Y55" s="24">
        <f>-163-0.465</f>
        <v>-163.465</v>
      </c>
      <c r="Z55" s="24"/>
      <c r="AA55" s="24"/>
      <c r="AB55" s="24"/>
      <c r="AC55" s="24"/>
      <c r="AD55" s="24"/>
      <c r="AE55" s="24"/>
      <c r="AF55" s="24"/>
      <c r="AG55" s="24"/>
      <c r="AH55" s="24"/>
      <c r="AI55" s="25">
        <f t="shared" si="10"/>
        <v>0</v>
      </c>
    </row>
    <row r="56" spans="1:35" s="19" customFormat="1" x14ac:dyDescent="0.25">
      <c r="A56" s="16" t="s">
        <v>2874</v>
      </c>
      <c r="B56" s="17"/>
      <c r="C56" s="24"/>
      <c r="D56" s="24"/>
      <c r="E56" s="24"/>
      <c r="F56" s="24"/>
      <c r="G56" s="24"/>
      <c r="H56" s="24"/>
      <c r="I56" s="24">
        <f>-'Leases 29'!E74</f>
        <v>40.172190388170058</v>
      </c>
      <c r="J56" s="24"/>
      <c r="K56" s="24"/>
      <c r="L56" s="24"/>
      <c r="M56" s="24"/>
      <c r="N56" s="24"/>
      <c r="O56" s="24"/>
      <c r="P56" s="24"/>
      <c r="Q56" s="24">
        <f>'Leases 29'!E18</f>
        <v>-40.172190388170058</v>
      </c>
      <c r="R56" s="24"/>
      <c r="S56" s="24"/>
      <c r="T56" s="24"/>
      <c r="U56" s="24"/>
      <c r="V56" s="24"/>
      <c r="W56" s="24"/>
      <c r="X56" s="24"/>
      <c r="Y56" s="24"/>
      <c r="Z56" s="24"/>
      <c r="AA56" s="24"/>
      <c r="AB56" s="24"/>
      <c r="AC56" s="24"/>
      <c r="AD56" s="24"/>
      <c r="AE56" s="24"/>
      <c r="AF56" s="24"/>
      <c r="AG56" s="24"/>
      <c r="AH56" s="24"/>
      <c r="AI56" s="25">
        <f t="shared" si="10"/>
        <v>0</v>
      </c>
    </row>
    <row r="57" spans="1:35" s="19" customFormat="1" x14ac:dyDescent="0.25">
      <c r="A57" s="23"/>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5">
        <f t="shared" si="10"/>
        <v>0</v>
      </c>
    </row>
    <row r="58" spans="1:35" s="19" customFormat="1" x14ac:dyDescent="0.25">
      <c r="A58" s="16" t="s">
        <v>144</v>
      </c>
      <c r="B58" s="17">
        <f>-SUM(C58:AH58)</f>
        <v>-1610.8792091115274</v>
      </c>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17">
        <f>-AH11</f>
        <v>1610.8792091115274</v>
      </c>
      <c r="AI58" s="25">
        <f t="shared" si="10"/>
        <v>0</v>
      </c>
    </row>
    <row r="59" spans="1:35" s="19" customFormat="1" x14ac:dyDescent="0.25">
      <c r="A59" s="28" t="s">
        <v>100</v>
      </c>
      <c r="B59" s="752">
        <f>SUM(B22:B58)</f>
        <v>-1.1122302091973779</v>
      </c>
      <c r="C59" s="752">
        <f t="shared" ref="C59:AI59" si="11">SUM(C11:C58)</f>
        <v>0</v>
      </c>
      <c r="D59" s="752">
        <f t="shared" si="11"/>
        <v>0</v>
      </c>
      <c r="E59" s="752">
        <f>SUM(E11:E58)</f>
        <v>0</v>
      </c>
      <c r="F59" s="752"/>
      <c r="G59" s="752">
        <f t="shared" si="11"/>
        <v>0</v>
      </c>
      <c r="H59" s="752">
        <f t="shared" si="11"/>
        <v>0</v>
      </c>
      <c r="I59" s="1074">
        <f>SUM(I11:I58)</f>
        <v>1.0000000000001066</v>
      </c>
      <c r="J59" s="752">
        <f t="shared" si="11"/>
        <v>0</v>
      </c>
      <c r="K59" s="752">
        <f t="shared" si="11"/>
        <v>0</v>
      </c>
      <c r="L59" s="752">
        <f t="shared" si="11"/>
        <v>0</v>
      </c>
      <c r="M59" s="752"/>
      <c r="N59" s="752">
        <f>SUM(N11:N58)</f>
        <v>-0.37147133043863789</v>
      </c>
      <c r="O59" s="752">
        <f t="shared" si="11"/>
        <v>0</v>
      </c>
      <c r="P59" s="752">
        <f t="shared" si="11"/>
        <v>0</v>
      </c>
      <c r="Q59" s="752">
        <f>SUM(Q11:Q58)</f>
        <v>0.82768941056452405</v>
      </c>
      <c r="R59" s="752">
        <f t="shared" si="11"/>
        <v>0</v>
      </c>
      <c r="S59" s="752">
        <f t="shared" si="11"/>
        <v>0</v>
      </c>
      <c r="T59" s="752">
        <f t="shared" si="11"/>
        <v>0</v>
      </c>
      <c r="U59" s="752">
        <f t="shared" si="11"/>
        <v>0</v>
      </c>
      <c r="V59" s="752">
        <f t="shared" si="11"/>
        <v>0</v>
      </c>
      <c r="W59" s="752">
        <f t="shared" si="11"/>
        <v>0</v>
      </c>
      <c r="X59" s="752">
        <f t="shared" si="11"/>
        <v>3.1142796501626435E-6</v>
      </c>
      <c r="Y59" s="752">
        <f>SUM(Y11:Y58)</f>
        <v>-4.6701186107043213E-3</v>
      </c>
      <c r="Z59" s="752">
        <f>SUM(Z11:Z58)</f>
        <v>0</v>
      </c>
      <c r="AA59" s="752">
        <f>SUM(AA11:AA58)</f>
        <v>0</v>
      </c>
      <c r="AB59" s="752">
        <f>SUM(AB11:AB58)</f>
        <v>0</v>
      </c>
      <c r="AC59" s="752">
        <f>SUM(AC11:AC58)</f>
        <v>0</v>
      </c>
      <c r="AD59" s="752">
        <f t="shared" si="11"/>
        <v>0</v>
      </c>
      <c r="AE59" s="752">
        <f t="shared" si="11"/>
        <v>0</v>
      </c>
      <c r="AF59" s="752">
        <f t="shared" si="11"/>
        <v>0</v>
      </c>
      <c r="AG59" s="752">
        <f t="shared" si="11"/>
        <v>0</v>
      </c>
      <c r="AH59" s="752">
        <f t="shared" si="11"/>
        <v>0</v>
      </c>
      <c r="AI59" s="924">
        <f t="shared" si="11"/>
        <v>0.33932086659615379</v>
      </c>
    </row>
    <row r="60" spans="1:35" s="19" customFormat="1" x14ac:dyDescent="0.25">
      <c r="B60" s="30"/>
      <c r="E60" s="30"/>
      <c r="F60" s="30"/>
      <c r="AI60" s="24"/>
    </row>
    <row r="61" spans="1:35" s="19" customFormat="1" x14ac:dyDescent="0.25">
      <c r="N61" s="27"/>
      <c r="O61" s="27"/>
      <c r="P61" s="27"/>
      <c r="AI61" s="24"/>
    </row>
    <row r="62" spans="1:35" s="19" customFormat="1" x14ac:dyDescent="0.25">
      <c r="N62" s="27"/>
      <c r="AI62" s="24"/>
    </row>
    <row r="63" spans="1:35" s="19" customFormat="1" x14ac:dyDescent="0.25">
      <c r="AI63" s="24"/>
    </row>
    <row r="64" spans="1:35" s="19" customFormat="1" x14ac:dyDescent="0.25">
      <c r="AI64" s="24"/>
    </row>
    <row r="65" spans="2:35" s="19" customFormat="1" x14ac:dyDescent="0.25">
      <c r="AI65" s="24"/>
    </row>
    <row r="66" spans="2:35" s="19" customFormat="1" x14ac:dyDescent="0.25">
      <c r="AI66" s="24"/>
    </row>
    <row r="67" spans="2:35" s="19" customFormat="1" x14ac:dyDescent="0.25">
      <c r="AI67" s="24"/>
    </row>
    <row r="68" spans="2:35" s="19" customFormat="1" x14ac:dyDescent="0.25">
      <c r="AI68" s="24"/>
    </row>
    <row r="69" spans="2:35" s="19" customFormat="1" x14ac:dyDescent="0.25">
      <c r="AI69" s="24"/>
    </row>
    <row r="70" spans="2:35" s="19" customFormat="1" x14ac:dyDescent="0.25">
      <c r="AI70" s="24"/>
    </row>
    <row r="72" spans="2:35" x14ac:dyDescent="0.25">
      <c r="B72" s="1000"/>
      <c r="C72" s="986"/>
      <c r="D72" s="986"/>
      <c r="E72" s="986"/>
      <c r="F72" s="986"/>
      <c r="G72" s="986"/>
      <c r="H72" s="986"/>
      <c r="I72" s="986"/>
      <c r="J72" s="986"/>
      <c r="K72" s="986"/>
      <c r="L72" s="986"/>
      <c r="M72" s="986"/>
      <c r="N72" s="986"/>
      <c r="O72" s="986"/>
      <c r="P72" s="986"/>
      <c r="Q72" s="986"/>
      <c r="R72" s="986"/>
      <c r="S72" s="986"/>
      <c r="T72" s="986"/>
      <c r="U72" s="986"/>
      <c r="V72" s="986"/>
      <c r="W72" s="986"/>
      <c r="X72" s="986"/>
      <c r="Y72" s="986"/>
      <c r="Z72" s="986"/>
      <c r="AA72" s="986"/>
      <c r="AB72" s="986"/>
      <c r="AC72" s="986"/>
      <c r="AD72" s="986"/>
      <c r="AE72" s="986"/>
      <c r="AF72" s="986"/>
      <c r="AG72" s="986"/>
      <c r="AH72" s="986"/>
      <c r="AI72" s="997"/>
    </row>
    <row r="74" spans="2:35" x14ac:dyDescent="0.25">
      <c r="B74" s="1000"/>
      <c r="C74" s="986"/>
      <c r="D74" s="986"/>
      <c r="E74" s="986"/>
      <c r="F74" s="986"/>
      <c r="G74" s="986"/>
      <c r="H74" s="986"/>
      <c r="I74" s="986"/>
      <c r="J74" s="986"/>
      <c r="K74" s="986"/>
      <c r="L74" s="986"/>
      <c r="M74" s="986"/>
      <c r="N74" s="986"/>
      <c r="O74" s="986"/>
      <c r="P74" s="986"/>
      <c r="Q74" s="986"/>
      <c r="R74" s="986"/>
      <c r="S74" s="986"/>
      <c r="T74" s="986"/>
      <c r="U74" s="986"/>
      <c r="V74" s="986"/>
      <c r="W74" s="986"/>
      <c r="X74" s="986"/>
      <c r="Y74" s="986"/>
      <c r="Z74" s="986"/>
      <c r="AA74" s="986"/>
      <c r="AB74" s="986"/>
      <c r="AC74" s="986"/>
      <c r="AD74" s="986"/>
      <c r="AE74" s="986"/>
      <c r="AF74" s="986"/>
      <c r="AG74" s="986"/>
      <c r="AH74" s="986"/>
      <c r="AI74" s="997"/>
    </row>
    <row r="75" spans="2:35" x14ac:dyDescent="0.25">
      <c r="B75" s="1000"/>
      <c r="C75" s="986"/>
      <c r="D75" s="986"/>
      <c r="E75" s="986"/>
      <c r="F75" s="986"/>
      <c r="G75" s="986"/>
      <c r="H75" s="986"/>
      <c r="I75" s="986"/>
      <c r="J75" s="986"/>
      <c r="K75" s="986"/>
      <c r="L75" s="986"/>
      <c r="M75" s="986"/>
      <c r="N75" s="986"/>
      <c r="O75" s="986"/>
      <c r="P75" s="986"/>
      <c r="Q75" s="986"/>
      <c r="R75" s="986"/>
      <c r="S75" s="986"/>
      <c r="T75" s="986"/>
      <c r="U75" s="986"/>
      <c r="V75" s="986"/>
      <c r="W75" s="986"/>
      <c r="X75" s="986"/>
      <c r="Y75" s="986"/>
      <c r="Z75" s="986"/>
      <c r="AA75" s="986"/>
      <c r="AB75" s="986"/>
      <c r="AC75" s="986"/>
      <c r="AD75" s="986"/>
      <c r="AE75" s="986"/>
      <c r="AF75" s="986"/>
      <c r="AG75" s="986"/>
      <c r="AH75" s="986"/>
      <c r="AI75" s="997"/>
    </row>
    <row r="76" spans="2:35" x14ac:dyDescent="0.25">
      <c r="B76" s="1000"/>
      <c r="C76" s="986"/>
      <c r="D76" s="986"/>
      <c r="E76" s="986"/>
      <c r="F76" s="986"/>
      <c r="G76" s="986"/>
      <c r="H76" s="986"/>
      <c r="I76" s="986"/>
      <c r="J76" s="986"/>
      <c r="K76" s="986"/>
      <c r="L76" s="986"/>
      <c r="M76" s="986"/>
      <c r="N76" s="986"/>
      <c r="O76" s="986"/>
      <c r="P76" s="986"/>
      <c r="Q76" s="986"/>
      <c r="R76" s="986"/>
      <c r="S76" s="986"/>
      <c r="T76" s="986"/>
      <c r="U76" s="986"/>
      <c r="V76" s="986"/>
      <c r="W76" s="986"/>
      <c r="X76" s="986"/>
      <c r="Y76" s="986"/>
      <c r="Z76" s="986"/>
      <c r="AA76" s="986"/>
      <c r="AB76" s="986"/>
      <c r="AC76" s="986"/>
      <c r="AD76" s="986"/>
      <c r="AE76" s="986"/>
      <c r="AF76" s="986"/>
      <c r="AG76" s="986"/>
      <c r="AH76" s="986"/>
      <c r="AI76" s="997"/>
    </row>
    <row r="77" spans="2:35" x14ac:dyDescent="0.25">
      <c r="B77" s="1000"/>
      <c r="C77" s="986"/>
      <c r="D77" s="986"/>
      <c r="E77" s="986"/>
      <c r="F77" s="986"/>
      <c r="G77" s="986"/>
      <c r="H77" s="986"/>
      <c r="I77" s="986"/>
      <c r="J77" s="986"/>
      <c r="K77" s="986"/>
      <c r="L77" s="986"/>
      <c r="M77" s="986"/>
      <c r="N77" s="986"/>
      <c r="O77" s="986"/>
      <c r="P77" s="986"/>
      <c r="Q77" s="986"/>
      <c r="R77" s="986"/>
      <c r="S77" s="986"/>
      <c r="T77" s="986"/>
      <c r="U77" s="986"/>
      <c r="V77" s="986"/>
      <c r="W77" s="986"/>
      <c r="X77" s="986"/>
      <c r="Y77" s="986"/>
      <c r="Z77" s="986"/>
      <c r="AA77" s="986"/>
      <c r="AB77" s="986"/>
      <c r="AC77" s="986"/>
      <c r="AD77" s="986"/>
      <c r="AE77" s="986"/>
      <c r="AF77" s="986"/>
      <c r="AG77" s="986"/>
      <c r="AH77" s="986"/>
      <c r="AI77" s="997"/>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7AC60-D60A-4144-9E72-243CAED26DDF}">
  <sheetPr>
    <tabColor rgb="FF7030A0"/>
  </sheetPr>
  <dimension ref="A1:K72"/>
  <sheetViews>
    <sheetView showGridLines="0" view="pageBreakPreview" topLeftCell="A45" zoomScale="90" zoomScaleNormal="100" zoomScaleSheetLayoutView="90" workbookViewId="0">
      <selection activeCell="B61" sqref="A61:XFD75"/>
    </sheetView>
  </sheetViews>
  <sheetFormatPr defaultColWidth="9.1796875" defaultRowHeight="11.5" x14ac:dyDescent="0.35"/>
  <cols>
    <col min="1" max="1" width="2.81640625" style="447" customWidth="1"/>
    <col min="2" max="2" width="70.1796875" style="447" customWidth="1"/>
    <col min="3" max="3" width="7" style="450" customWidth="1"/>
    <col min="4" max="5" width="22.81640625" style="447" customWidth="1"/>
    <col min="6" max="6" width="9.1796875" style="447"/>
    <col min="7" max="7" width="16.453125" style="447" bestFit="1" customWidth="1"/>
    <col min="8" max="8" width="14.54296875" style="447" bestFit="1" customWidth="1"/>
    <col min="9" max="9" width="15.54296875" style="447" bestFit="1" customWidth="1"/>
    <col min="10" max="10" width="12.81640625" style="447" bestFit="1" customWidth="1"/>
    <col min="11" max="11" width="13.453125" style="447" bestFit="1" customWidth="1"/>
    <col min="12" max="12" width="12.81640625" style="447" bestFit="1" customWidth="1"/>
    <col min="13" max="13" width="11.453125" style="447" bestFit="1" customWidth="1"/>
    <col min="14" max="16384" width="9.1796875" style="447"/>
  </cols>
  <sheetData>
    <row r="1" spans="2:11" x14ac:dyDescent="0.25">
      <c r="B1" s="33"/>
      <c r="C1" s="257"/>
      <c r="D1" s="153"/>
      <c r="E1" s="153"/>
      <c r="F1" s="846"/>
      <c r="G1" s="846"/>
      <c r="H1" s="846"/>
      <c r="I1" s="846"/>
      <c r="J1" s="846"/>
      <c r="K1" s="846"/>
    </row>
    <row r="2" spans="2:11" x14ac:dyDescent="0.25">
      <c r="B2" s="282" t="s">
        <v>145</v>
      </c>
      <c r="C2" s="257"/>
      <c r="D2" s="153"/>
      <c r="E2" s="153"/>
      <c r="F2" s="846"/>
      <c r="G2" s="846"/>
      <c r="H2" s="846"/>
      <c r="I2" s="846"/>
      <c r="J2" s="846"/>
      <c r="K2" s="846"/>
    </row>
    <row r="3" spans="2:11" ht="12" x14ac:dyDescent="0.3">
      <c r="B3" s="796" t="str">
        <f>BS!B3</f>
        <v>(Amounts are stated in ₹ lakhs, except share and per share data, unless ottherwise stated)</v>
      </c>
      <c r="C3" s="257"/>
      <c r="D3" s="153"/>
      <c r="E3" s="153"/>
      <c r="F3" s="846"/>
      <c r="G3" s="846"/>
      <c r="H3" s="846"/>
      <c r="I3" s="846"/>
      <c r="J3" s="846"/>
      <c r="K3" s="846"/>
    </row>
    <row r="4" spans="2:11" x14ac:dyDescent="0.35">
      <c r="B4" s="153"/>
      <c r="C4" s="257"/>
      <c r="D4" s="153"/>
      <c r="E4" s="153"/>
      <c r="F4" s="846"/>
      <c r="G4" s="846"/>
      <c r="H4" s="846"/>
      <c r="I4" s="846"/>
      <c r="J4" s="846"/>
      <c r="K4" s="846"/>
    </row>
    <row r="5" spans="2:11" ht="23" x14ac:dyDescent="0.35">
      <c r="B5" s="551" t="s">
        <v>5</v>
      </c>
      <c r="C5" s="550" t="s">
        <v>6</v>
      </c>
      <c r="D5" s="294" t="s">
        <v>146</v>
      </c>
      <c r="E5" s="294" t="s">
        <v>147</v>
      </c>
      <c r="F5" s="846"/>
      <c r="G5" s="846"/>
      <c r="H5" s="846"/>
      <c r="I5" s="846"/>
      <c r="J5" s="846"/>
      <c r="K5" s="846"/>
    </row>
    <row r="6" spans="2:11" x14ac:dyDescent="0.35">
      <c r="B6" s="117"/>
      <c r="C6" s="258"/>
      <c r="D6" s="239"/>
      <c r="E6" s="237"/>
      <c r="F6" s="846"/>
      <c r="G6" s="846"/>
      <c r="H6" s="846"/>
      <c r="I6" s="846"/>
      <c r="J6" s="846"/>
      <c r="K6" s="846"/>
    </row>
    <row r="7" spans="2:11" x14ac:dyDescent="0.35">
      <c r="B7" s="40" t="s">
        <v>148</v>
      </c>
      <c r="C7" s="258"/>
      <c r="D7" s="239"/>
      <c r="E7" s="237"/>
      <c r="F7" s="846"/>
      <c r="G7" s="846"/>
      <c r="H7" s="846"/>
      <c r="I7" s="846"/>
      <c r="J7" s="846"/>
      <c r="K7" s="846"/>
    </row>
    <row r="8" spans="2:11" x14ac:dyDescent="0.35">
      <c r="B8" s="117" t="s">
        <v>149</v>
      </c>
      <c r="C8" s="259">
        <f>'17-25'!$A$5</f>
        <v>17</v>
      </c>
      <c r="D8" s="90">
        <f>'17-25'!D12</f>
        <v>23301.289634913093</v>
      </c>
      <c r="E8" s="90">
        <f>'17-25'!E12</f>
        <v>28077.966669005888</v>
      </c>
      <c r="F8" s="1001">
        <f>D8/E8-1</f>
        <v>-0.17012189986554727</v>
      </c>
      <c r="G8" s="846"/>
      <c r="H8" s="846">
        <f>D8*10^5</f>
        <v>2330128963.4913092</v>
      </c>
      <c r="I8" s="988"/>
      <c r="J8" s="846"/>
      <c r="K8" s="846"/>
    </row>
    <row r="9" spans="2:11" x14ac:dyDescent="0.35">
      <c r="B9" s="117" t="s">
        <v>150</v>
      </c>
      <c r="C9" s="259">
        <f>'17-25'!$A$73</f>
        <v>18</v>
      </c>
      <c r="D9" s="90">
        <f>'17-25'!D90</f>
        <v>261.95673171933498</v>
      </c>
      <c r="E9" s="90">
        <f>'17-25'!E90</f>
        <v>385.0203757621864</v>
      </c>
      <c r="F9" s="1001">
        <f>D9/E9-1</f>
        <v>-0.31962891262374005</v>
      </c>
      <c r="G9" s="846"/>
      <c r="H9" s="846">
        <f>D9*10^5</f>
        <v>26195673.171933498</v>
      </c>
      <c r="I9" s="846"/>
      <c r="J9" s="846"/>
      <c r="K9" s="846"/>
    </row>
    <row r="10" spans="2:11" x14ac:dyDescent="0.35">
      <c r="B10" s="40" t="s">
        <v>151</v>
      </c>
      <c r="C10" s="259"/>
      <c r="D10" s="260">
        <f>SUM(D8:D9)</f>
        <v>23563.246366632429</v>
      </c>
      <c r="E10" s="260">
        <f>SUM(E8:E9)</f>
        <v>28462.987044768073</v>
      </c>
      <c r="F10" s="846"/>
      <c r="G10" s="846"/>
      <c r="H10" s="846">
        <f>SUM(H8:H9)</f>
        <v>2356324636.6632428</v>
      </c>
      <c r="I10" s="846"/>
      <c r="J10" s="846"/>
      <c r="K10" s="846"/>
    </row>
    <row r="11" spans="2:11" ht="10.4" customHeight="1" x14ac:dyDescent="0.35">
      <c r="B11" s="117"/>
      <c r="C11" s="259"/>
      <c r="D11" s="91"/>
      <c r="E11" s="91"/>
      <c r="F11" s="846"/>
      <c r="G11" s="846"/>
      <c r="H11" s="846"/>
      <c r="I11" s="846"/>
      <c r="J11" s="846"/>
      <c r="K11" s="846"/>
    </row>
    <row r="12" spans="2:11" x14ac:dyDescent="0.35">
      <c r="B12" s="40" t="s">
        <v>152</v>
      </c>
      <c r="C12" s="259"/>
      <c r="D12" s="90"/>
      <c r="E12" s="90"/>
      <c r="F12" s="846"/>
      <c r="G12" s="846"/>
      <c r="H12" s="846"/>
      <c r="I12" s="846"/>
      <c r="J12" s="846"/>
      <c r="K12" s="846"/>
    </row>
    <row r="13" spans="2:11" x14ac:dyDescent="0.35">
      <c r="B13" s="117" t="s">
        <v>153</v>
      </c>
      <c r="C13" s="259">
        <f>'17-25'!$A$93</f>
        <v>19</v>
      </c>
      <c r="D13" s="90">
        <f>'17-25'!D97</f>
        <v>1483.5182075492889</v>
      </c>
      <c r="E13" s="90">
        <f>'17-25'!E97</f>
        <v>1510.2087325564999</v>
      </c>
      <c r="F13" s="1001">
        <f t="shared" ref="F13:F18" si="0">D13/E13-1</f>
        <v>-1.7673401319848625E-2</v>
      </c>
      <c r="G13" s="846"/>
      <c r="H13" s="846">
        <f>D13*10^5</f>
        <v>148351820.75492889</v>
      </c>
      <c r="I13" s="846"/>
      <c r="J13" s="846"/>
      <c r="K13" s="846"/>
    </row>
    <row r="14" spans="2:11" x14ac:dyDescent="0.35">
      <c r="B14" s="117" t="s">
        <v>154</v>
      </c>
      <c r="C14" s="259">
        <f>'17-25'!$A$99</f>
        <v>20</v>
      </c>
      <c r="D14" s="90">
        <f>'17-25'!D104</f>
        <v>7381.0085409854946</v>
      </c>
      <c r="E14" s="90">
        <f>'17-25'!E104</f>
        <v>8924.3992210548422</v>
      </c>
      <c r="F14" s="1001">
        <f t="shared" si="0"/>
        <v>-0.172940569089302</v>
      </c>
      <c r="G14" s="846"/>
      <c r="H14" s="846">
        <f>D14*10^5</f>
        <v>738100854.09854949</v>
      </c>
      <c r="I14" s="846"/>
      <c r="J14" s="846"/>
      <c r="K14" s="846"/>
    </row>
    <row r="15" spans="2:11" x14ac:dyDescent="0.35">
      <c r="B15" s="117" t="s">
        <v>155</v>
      </c>
      <c r="C15" s="259">
        <f>'17-25'!$A$110</f>
        <v>21</v>
      </c>
      <c r="D15" s="90">
        <f>'17-25'!D121</f>
        <v>8727.4151755380699</v>
      </c>
      <c r="E15" s="90">
        <f>'17-25'!E121</f>
        <v>11030.44</v>
      </c>
      <c r="F15" s="1001">
        <f>D15/E15-1</f>
        <v>-0.20878811946413112</v>
      </c>
      <c r="G15" s="846"/>
      <c r="H15" s="846">
        <f>D15*10^5</f>
        <v>872741517.55380702</v>
      </c>
      <c r="I15" s="846"/>
      <c r="J15" s="846"/>
      <c r="K15" s="846"/>
    </row>
    <row r="16" spans="2:11" x14ac:dyDescent="0.35">
      <c r="B16" s="117" t="s">
        <v>156</v>
      </c>
      <c r="C16" s="259">
        <f>'17-25'!$A$123</f>
        <v>22</v>
      </c>
      <c r="D16" s="90">
        <f>'17-25'!D133</f>
        <v>140.66684747664038</v>
      </c>
      <c r="E16" s="90">
        <f>'17-25'!E133</f>
        <v>92.783532027345103</v>
      </c>
      <c r="F16" s="1001">
        <f>D16/E16-1</f>
        <v>0.51607558370577156</v>
      </c>
      <c r="G16" s="846"/>
      <c r="H16" s="846">
        <f>D16*10^5</f>
        <v>14066684.747664038</v>
      </c>
      <c r="I16" s="1002"/>
      <c r="J16" s="846"/>
      <c r="K16" s="846"/>
    </row>
    <row r="17" spans="2:11" x14ac:dyDescent="0.35">
      <c r="B17" s="117" t="s">
        <v>157</v>
      </c>
      <c r="C17" s="259">
        <f>'17-25'!$A$137</f>
        <v>23</v>
      </c>
      <c r="D17" s="90">
        <f>'17-25'!D142</f>
        <v>2477.7009443367479</v>
      </c>
      <c r="E17" s="90">
        <f>'17-25'!E142</f>
        <v>740.76390477616701</v>
      </c>
      <c r="F17" s="1001">
        <f t="shared" si="0"/>
        <v>2.3447916783761524</v>
      </c>
      <c r="G17" s="846"/>
      <c r="H17" s="846">
        <f t="shared" ref="H17:H18" si="1">D17*10^5</f>
        <v>247770094.43367478</v>
      </c>
      <c r="I17" s="1002"/>
      <c r="J17" s="846"/>
      <c r="K17" s="846"/>
    </row>
    <row r="18" spans="2:11" x14ac:dyDescent="0.35">
      <c r="B18" s="117" t="s">
        <v>158</v>
      </c>
      <c r="C18" s="259">
        <f>'17-25'!$A$151</f>
        <v>24</v>
      </c>
      <c r="D18" s="90">
        <f>'17-25'!D190</f>
        <v>2702.0665934399412</v>
      </c>
      <c r="E18" s="90">
        <f>'17-25'!E190</f>
        <v>2956</v>
      </c>
      <c r="F18" s="1001">
        <f t="shared" si="0"/>
        <v>-8.5904400054147123E-2</v>
      </c>
      <c r="G18" s="846"/>
      <c r="H18" s="846">
        <f t="shared" si="1"/>
        <v>270206659.34399414</v>
      </c>
      <c r="I18" s="846"/>
      <c r="J18" s="846"/>
      <c r="K18" s="846"/>
    </row>
    <row r="19" spans="2:11" s="248" customFormat="1" x14ac:dyDescent="0.35">
      <c r="B19" s="40" t="s">
        <v>159</v>
      </c>
      <c r="C19" s="257"/>
      <c r="D19" s="260">
        <f>SUM(D13:D18)</f>
        <v>22912.376309326184</v>
      </c>
      <c r="E19" s="260">
        <f>SUM(E13:E18)-1</f>
        <v>25253.595390414852</v>
      </c>
      <c r="F19" s="846"/>
      <c r="G19" s="846"/>
      <c r="H19" s="846">
        <f>SUM(H13:H18)</f>
        <v>2291237630.9326181</v>
      </c>
      <c r="I19" s="846"/>
      <c r="J19" s="846"/>
      <c r="K19" s="846"/>
    </row>
    <row r="20" spans="2:11" s="248" customFormat="1" x14ac:dyDescent="0.35">
      <c r="B20" s="40"/>
      <c r="C20" s="257"/>
      <c r="D20" s="91"/>
      <c r="E20" s="91"/>
    </row>
    <row r="21" spans="2:11" x14ac:dyDescent="0.35">
      <c r="B21" s="214" t="s">
        <v>160</v>
      </c>
      <c r="C21" s="258"/>
      <c r="D21" s="260">
        <f>D10-D19</f>
        <v>650.87005730624514</v>
      </c>
      <c r="E21" s="260">
        <f t="shared" ref="E21" si="2">E10-E19</f>
        <v>3209.3916543532214</v>
      </c>
      <c r="F21" s="846"/>
      <c r="G21" s="846"/>
      <c r="H21" s="846"/>
      <c r="I21" s="846"/>
      <c r="J21" s="846"/>
      <c r="K21" s="846"/>
    </row>
    <row r="22" spans="2:11" x14ac:dyDescent="0.25">
      <c r="B22" s="117" t="s">
        <v>161</v>
      </c>
      <c r="C22" s="259">
        <f>'17-25'!A201</f>
        <v>25</v>
      </c>
      <c r="D22" s="90">
        <f>'17-25'!D203</f>
        <v>0</v>
      </c>
      <c r="E22" s="91">
        <v>18242</v>
      </c>
      <c r="F22" s="986"/>
      <c r="G22" s="979"/>
      <c r="H22" s="846"/>
      <c r="I22" s="846"/>
      <c r="J22" s="846"/>
      <c r="K22" s="846"/>
    </row>
    <row r="23" spans="2:11" x14ac:dyDescent="0.25">
      <c r="B23" s="214" t="s">
        <v>162</v>
      </c>
      <c r="C23" s="259"/>
      <c r="D23" s="260">
        <f>D21-D22</f>
        <v>650.87005730624514</v>
      </c>
      <c r="E23" s="260">
        <f>E21-E22</f>
        <v>-15032.608345646779</v>
      </c>
      <c r="F23" s="986"/>
      <c r="G23" s="979"/>
      <c r="H23" s="846">
        <f>D23*10^5</f>
        <v>65087005.730624512</v>
      </c>
      <c r="I23" s="846"/>
      <c r="J23" s="846"/>
      <c r="K23" s="1003"/>
    </row>
    <row r="24" spans="2:11" x14ac:dyDescent="0.35">
      <c r="B24" s="245"/>
      <c r="C24" s="258"/>
      <c r="D24" s="91"/>
      <c r="E24" s="91"/>
      <c r="F24" s="846"/>
      <c r="G24" s="846"/>
      <c r="H24" s="846">
        <f>H10-H19</f>
        <v>65087005.730624676</v>
      </c>
      <c r="J24" s="846"/>
      <c r="K24" s="846"/>
    </row>
    <row r="25" spans="2:11" x14ac:dyDescent="0.25">
      <c r="B25" s="40" t="s">
        <v>163</v>
      </c>
      <c r="C25" s="258"/>
      <c r="D25" s="90"/>
      <c r="E25" s="90"/>
      <c r="F25" s="986"/>
      <c r="G25" s="986"/>
      <c r="H25" s="846"/>
      <c r="I25" s="846"/>
      <c r="J25" s="846"/>
      <c r="K25" s="846"/>
    </row>
    <row r="26" spans="2:11" x14ac:dyDescent="0.25">
      <c r="B26" s="117" t="s">
        <v>164</v>
      </c>
      <c r="C26" s="259">
        <f>'26-27'!A5</f>
        <v>26</v>
      </c>
      <c r="D26" s="975">
        <f>'26-27'!$F$14</f>
        <v>654.50305137625924</v>
      </c>
      <c r="E26" s="90">
        <v>8.6357999999999997</v>
      </c>
      <c r="F26" s="846"/>
      <c r="G26" s="986"/>
      <c r="H26" s="988"/>
      <c r="I26" s="846"/>
      <c r="J26" s="846"/>
      <c r="K26" s="846"/>
    </row>
    <row r="27" spans="2:11" hidden="1" x14ac:dyDescent="0.25">
      <c r="B27" s="117" t="s">
        <v>165</v>
      </c>
      <c r="C27" s="1004"/>
      <c r="D27" s="90">
        <v>0</v>
      </c>
      <c r="E27" s="90">
        <v>0</v>
      </c>
      <c r="F27" s="986"/>
      <c r="G27" s="986"/>
      <c r="H27" s="846"/>
      <c r="I27" s="846"/>
      <c r="J27" s="846"/>
      <c r="K27" s="846"/>
    </row>
    <row r="28" spans="2:11" x14ac:dyDescent="0.35">
      <c r="B28" s="117" t="s">
        <v>166</v>
      </c>
      <c r="C28" s="259">
        <f>'26-27'!A5</f>
        <v>26</v>
      </c>
      <c r="D28" s="261">
        <f>0</f>
        <v>0</v>
      </c>
      <c r="E28" s="90">
        <v>1082.1538116416002</v>
      </c>
      <c r="F28" s="846"/>
      <c r="G28" s="988"/>
      <c r="H28" s="846"/>
      <c r="I28" s="846"/>
      <c r="J28" s="846"/>
      <c r="K28" s="846"/>
    </row>
    <row r="29" spans="2:11" x14ac:dyDescent="0.25">
      <c r="B29" s="803"/>
      <c r="C29" s="259"/>
      <c r="D29" s="90">
        <f>SUM(D26:D28)</f>
        <v>654.50305137625924</v>
      </c>
      <c r="E29" s="262">
        <f t="shared" ref="E29" si="3">SUM(E26:E28)</f>
        <v>1090.7896116416002</v>
      </c>
      <c r="F29" s="846"/>
      <c r="G29" s="986"/>
      <c r="H29" s="846"/>
      <c r="I29" s="846"/>
      <c r="J29" s="846"/>
      <c r="K29" s="846"/>
    </row>
    <row r="30" spans="2:11" x14ac:dyDescent="0.25">
      <c r="B30" s="245"/>
      <c r="C30" s="259"/>
      <c r="D30" s="91"/>
      <c r="E30" s="91"/>
      <c r="F30" s="986"/>
      <c r="G30" s="986"/>
      <c r="H30" s="846"/>
      <c r="I30" s="846"/>
      <c r="J30" s="846"/>
      <c r="K30" s="846"/>
    </row>
    <row r="31" spans="2:11" x14ac:dyDescent="0.35">
      <c r="B31" s="214" t="s">
        <v>167</v>
      </c>
      <c r="C31" s="259"/>
      <c r="D31" s="260">
        <f>D23-D29</f>
        <v>-3.6329940700140924</v>
      </c>
      <c r="E31" s="260">
        <f>E23-E29</f>
        <v>-16123.397957288378</v>
      </c>
      <c r="F31" s="846"/>
      <c r="G31" s="988"/>
      <c r="H31" s="846">
        <f>D31*10^5</f>
        <v>-363299.40700140921</v>
      </c>
      <c r="I31" s="846"/>
      <c r="J31" s="846"/>
      <c r="K31" s="846"/>
    </row>
    <row r="32" spans="2:11" x14ac:dyDescent="0.25">
      <c r="B32" s="117"/>
      <c r="C32" s="259"/>
      <c r="D32" s="91"/>
      <c r="E32" s="91"/>
      <c r="F32" s="986"/>
      <c r="G32" s="979"/>
      <c r="H32" s="846"/>
      <c r="I32" s="846"/>
      <c r="J32" s="846"/>
      <c r="K32" s="846"/>
    </row>
    <row r="33" spans="1:10" hidden="1" x14ac:dyDescent="0.25">
      <c r="A33" s="846"/>
      <c r="B33" s="117"/>
      <c r="C33" s="259"/>
      <c r="D33" s="91"/>
      <c r="E33" s="91"/>
      <c r="F33" s="986"/>
      <c r="G33" s="979"/>
      <c r="H33" s="846"/>
      <c r="I33" s="846"/>
      <c r="J33" s="846"/>
    </row>
    <row r="34" spans="1:10" hidden="1" x14ac:dyDescent="0.25">
      <c r="A34" s="846"/>
      <c r="B34" s="117"/>
      <c r="C34" s="259"/>
      <c r="D34" s="91"/>
      <c r="E34" s="91"/>
      <c r="F34" s="979"/>
      <c r="G34" s="979"/>
      <c r="H34" s="846"/>
      <c r="I34" s="846"/>
      <c r="J34" s="846"/>
    </row>
    <row r="35" spans="1:10" x14ac:dyDescent="0.25">
      <c r="A35" s="846"/>
      <c r="B35" s="40" t="s">
        <v>168</v>
      </c>
      <c r="C35" s="259"/>
      <c r="D35" s="90"/>
      <c r="E35" s="90"/>
      <c r="F35" s="986"/>
      <c r="G35" s="986"/>
      <c r="H35" s="846"/>
      <c r="I35" s="846"/>
      <c r="J35" s="846"/>
    </row>
    <row r="36" spans="1:10" x14ac:dyDescent="0.25">
      <c r="A36" s="846"/>
      <c r="B36" s="117" t="s">
        <v>169</v>
      </c>
      <c r="C36" s="259"/>
      <c r="D36" s="90"/>
      <c r="E36" s="90"/>
      <c r="F36" s="986"/>
      <c r="G36" s="986"/>
      <c r="H36" s="846"/>
      <c r="I36" s="846"/>
      <c r="J36" s="846"/>
    </row>
    <row r="37" spans="1:10" x14ac:dyDescent="0.25">
      <c r="A37" s="846" t="s">
        <v>170</v>
      </c>
      <c r="B37" s="245" t="s">
        <v>171</v>
      </c>
      <c r="C37" s="259"/>
      <c r="D37" s="846">
        <f>-SUMIF('Standalone TB'!$Z:$Z,PL!A37,'Standalone TB'!$X:$X)/10^5</f>
        <v>115.36426</v>
      </c>
      <c r="E37" s="90">
        <v>49.89188</v>
      </c>
      <c r="F37" s="846"/>
      <c r="G37" s="986"/>
      <c r="H37" s="846"/>
      <c r="I37" s="846"/>
      <c r="J37" s="846"/>
    </row>
    <row r="38" spans="1:10" x14ac:dyDescent="0.25">
      <c r="A38" s="846"/>
      <c r="B38" s="245" t="s">
        <v>172</v>
      </c>
      <c r="C38" s="259"/>
      <c r="D38" s="90">
        <f>-D37*0</f>
        <v>0</v>
      </c>
      <c r="E38" s="90">
        <v>-12.5567883584</v>
      </c>
      <c r="F38" s="846"/>
      <c r="G38" s="991"/>
      <c r="H38" s="846"/>
      <c r="I38" s="846"/>
      <c r="J38" s="846"/>
    </row>
    <row r="39" spans="1:10" x14ac:dyDescent="0.25">
      <c r="A39" s="846"/>
      <c r="B39" s="245"/>
      <c r="C39" s="259"/>
      <c r="D39" s="90"/>
      <c r="E39" s="90"/>
      <c r="F39" s="986"/>
      <c r="G39" s="986"/>
      <c r="H39" s="846"/>
      <c r="I39" s="846"/>
      <c r="J39" s="846"/>
    </row>
    <row r="40" spans="1:10" x14ac:dyDescent="0.25">
      <c r="A40" s="846"/>
      <c r="B40" s="245" t="s">
        <v>173</v>
      </c>
      <c r="C40" s="259"/>
      <c r="D40" s="90"/>
      <c r="E40" s="90"/>
      <c r="F40" s="986"/>
      <c r="G40" s="986"/>
      <c r="H40" s="846"/>
      <c r="I40" s="846"/>
      <c r="J40" s="846"/>
    </row>
    <row r="41" spans="1:10" x14ac:dyDescent="0.25">
      <c r="A41" s="846"/>
      <c r="B41" s="245" t="s">
        <v>172</v>
      </c>
      <c r="C41" s="259"/>
      <c r="D41" s="90" t="s">
        <v>174</v>
      </c>
      <c r="E41" s="90" t="s">
        <v>174</v>
      </c>
      <c r="F41" s="986"/>
      <c r="G41" s="986"/>
      <c r="H41" s="846"/>
      <c r="I41" s="846"/>
      <c r="J41" s="846"/>
    </row>
    <row r="42" spans="1:10" x14ac:dyDescent="0.25">
      <c r="A42" s="846"/>
      <c r="B42" s="803"/>
      <c r="C42" s="259"/>
      <c r="D42" s="90"/>
      <c r="E42" s="90"/>
      <c r="F42" s="986"/>
      <c r="G42" s="986"/>
      <c r="H42" s="846"/>
      <c r="I42" s="846"/>
      <c r="J42" s="846"/>
    </row>
    <row r="43" spans="1:10" x14ac:dyDescent="0.25">
      <c r="A43" s="846"/>
      <c r="B43" s="40" t="s">
        <v>175</v>
      </c>
      <c r="C43" s="259"/>
      <c r="D43" s="260">
        <f>SUM(D37:D38)</f>
        <v>115.36426</v>
      </c>
      <c r="E43" s="260">
        <f>SUM(E37:E38)</f>
        <v>37.335091641600002</v>
      </c>
      <c r="F43" s="846"/>
      <c r="G43" s="986"/>
      <c r="H43" s="846"/>
      <c r="I43" s="846"/>
      <c r="J43" s="846"/>
    </row>
    <row r="44" spans="1:10" x14ac:dyDescent="0.25">
      <c r="A44" s="846"/>
      <c r="B44" s="117"/>
      <c r="C44" s="259"/>
      <c r="D44" s="91"/>
      <c r="E44" s="91"/>
      <c r="F44" s="986"/>
      <c r="G44" s="986"/>
      <c r="H44" s="846"/>
      <c r="I44" s="846"/>
      <c r="J44" s="846"/>
    </row>
    <row r="45" spans="1:10" ht="12" thickBot="1" x14ac:dyDescent="0.4">
      <c r="A45" s="846"/>
      <c r="B45" s="40" t="s">
        <v>176</v>
      </c>
      <c r="C45" s="259"/>
      <c r="D45" s="263">
        <f>D31+D43</f>
        <v>111.73126592998591</v>
      </c>
      <c r="E45" s="263">
        <f t="shared" ref="E45" si="4">E31+E43</f>
        <v>-16086.062865646778</v>
      </c>
      <c r="F45" s="846">
        <f>ROUND(D45,0)</f>
        <v>112</v>
      </c>
      <c r="G45" s="988"/>
      <c r="H45" s="846">
        <f>D45*10^5</f>
        <v>11173126.59299859</v>
      </c>
      <c r="I45" s="846">
        <f>SUMIF('Standalone TB'!D:D,"PL",'Standalone TB'!X:X)</f>
        <v>-11173126.592998719</v>
      </c>
      <c r="J45" s="1003">
        <f>H45+I45</f>
        <v>-1.2852251529693604E-7</v>
      </c>
    </row>
    <row r="46" spans="1:10" ht="12" thickTop="1" x14ac:dyDescent="0.25">
      <c r="A46" s="846"/>
      <c r="B46" s="117"/>
      <c r="C46" s="259"/>
      <c r="D46" s="264"/>
      <c r="E46" s="264"/>
      <c r="F46" s="986"/>
      <c r="G46" s="979"/>
      <c r="H46" s="846"/>
      <c r="I46" s="846"/>
      <c r="J46" s="846"/>
    </row>
    <row r="47" spans="1:10" x14ac:dyDescent="0.25">
      <c r="A47" s="846"/>
      <c r="B47" s="846"/>
      <c r="C47" s="1093">
        <v>26</v>
      </c>
      <c r="D47" s="265"/>
      <c r="E47" s="265"/>
      <c r="F47" s="986"/>
      <c r="G47" s="986"/>
      <c r="H47" s="846"/>
      <c r="I47" s="846"/>
      <c r="J47" s="846"/>
    </row>
    <row r="48" spans="1:10" x14ac:dyDescent="0.25">
      <c r="A48" s="846"/>
      <c r="B48" s="40" t="s">
        <v>177</v>
      </c>
      <c r="C48" s="1093"/>
      <c r="D48" s="90">
        <f>'26-27'!$F$130</f>
        <v>-36.329940700140924</v>
      </c>
      <c r="E48" s="90">
        <f>'26-27'!$G$130</f>
        <v>-161241.97957288401</v>
      </c>
      <c r="F48" s="986"/>
      <c r="G48" s="991"/>
      <c r="H48" s="846"/>
      <c r="I48" s="846"/>
      <c r="J48" s="846"/>
    </row>
    <row r="49" spans="2:8" x14ac:dyDescent="0.25">
      <c r="B49" s="40" t="s">
        <v>178</v>
      </c>
      <c r="C49" s="1093"/>
      <c r="D49" s="653">
        <f>'26-27'!$F$133</f>
        <v>0</v>
      </c>
      <c r="E49" s="653">
        <f>'26-27'!$G$133</f>
        <v>-3.8410992751194226</v>
      </c>
      <c r="F49" s="986"/>
      <c r="G49" s="991"/>
    </row>
    <row r="50" spans="2:8" x14ac:dyDescent="0.25">
      <c r="B50" s="117"/>
      <c r="C50" s="266"/>
      <c r="D50" s="90"/>
      <c r="E50" s="90"/>
      <c r="F50" s="986"/>
      <c r="G50" s="986"/>
    </row>
    <row r="51" spans="2:8" x14ac:dyDescent="0.25">
      <c r="B51" s="286" t="s">
        <v>52</v>
      </c>
      <c r="C51" s="210">
        <v>2</v>
      </c>
      <c r="D51" s="275"/>
      <c r="E51" s="276">
        <f>E49-E12</f>
        <v>-3.8410992751194226</v>
      </c>
      <c r="F51" s="979"/>
      <c r="G51" s="846"/>
    </row>
    <row r="52" spans="2:8" x14ac:dyDescent="0.25">
      <c r="B52" s="286" t="s">
        <v>53</v>
      </c>
      <c r="C52" s="210"/>
      <c r="D52" s="185"/>
      <c r="E52" s="846"/>
      <c r="F52" s="979"/>
      <c r="G52" s="846"/>
    </row>
    <row r="53" spans="2:8" x14ac:dyDescent="0.25">
      <c r="B53" s="291" t="s">
        <v>54</v>
      </c>
      <c r="C53" s="280"/>
      <c r="D53" s="281"/>
      <c r="E53" s="995"/>
      <c r="F53" s="991"/>
      <c r="G53" s="846"/>
    </row>
    <row r="54" spans="2:8" ht="8.15" customHeight="1" x14ac:dyDescent="0.25">
      <c r="B54" s="940"/>
      <c r="C54" s="210"/>
      <c r="D54" s="36"/>
      <c r="E54" s="846"/>
      <c r="F54" s="986"/>
      <c r="G54" s="846"/>
    </row>
    <row r="55" spans="2:8" x14ac:dyDescent="0.35">
      <c r="B55" s="428" t="s">
        <v>55</v>
      </c>
      <c r="C55" s="110"/>
      <c r="D55" s="388" t="s">
        <v>56</v>
      </c>
      <c r="E55" s="846"/>
      <c r="F55" s="430"/>
      <c r="G55" s="430"/>
    </row>
    <row r="56" spans="2:8" ht="12" x14ac:dyDescent="0.35">
      <c r="B56" s="431" t="s">
        <v>57</v>
      </c>
      <c r="C56" s="432"/>
      <c r="D56" s="743"/>
      <c r="E56" s="846"/>
      <c r="F56" s="433"/>
      <c r="G56" s="433"/>
    </row>
    <row r="57" spans="2:8" x14ac:dyDescent="0.25">
      <c r="B57" s="941" t="s">
        <v>58</v>
      </c>
      <c r="C57" s="432"/>
      <c r="D57" s="744" t="s">
        <v>59</v>
      </c>
      <c r="E57" s="846"/>
      <c r="F57" s="986"/>
      <c r="G57" s="846"/>
    </row>
    <row r="58" spans="2:8" x14ac:dyDescent="0.25">
      <c r="B58" s="941"/>
      <c r="C58" s="432"/>
      <c r="D58" s="744"/>
      <c r="E58" s="846"/>
      <c r="F58" s="986"/>
      <c r="G58" s="846"/>
    </row>
    <row r="59" spans="2:8" x14ac:dyDescent="0.25">
      <c r="B59" s="941"/>
      <c r="C59" s="432"/>
      <c r="D59" s="744"/>
      <c r="E59" s="846"/>
      <c r="F59" s="986"/>
      <c r="G59" s="846"/>
    </row>
    <row r="60" spans="2:8" x14ac:dyDescent="0.25">
      <c r="B60" s="941"/>
      <c r="C60" s="432"/>
      <c r="D60" s="432"/>
      <c r="E60" s="846"/>
      <c r="F60" s="986"/>
      <c r="G60" s="846"/>
    </row>
    <row r="61" spans="2:8" x14ac:dyDescent="0.35">
      <c r="B61" s="117"/>
      <c r="C61" s="1005"/>
      <c r="D61" s="846"/>
      <c r="E61" s="846"/>
      <c r="F61" s="846"/>
      <c r="G61" s="846"/>
      <c r="H61" s="846"/>
    </row>
    <row r="62" spans="2:8" x14ac:dyDescent="0.35">
      <c r="B62" s="117"/>
      <c r="C62" s="1005"/>
      <c r="D62" s="846"/>
      <c r="E62" s="846"/>
      <c r="F62" s="846"/>
      <c r="G62" s="846"/>
      <c r="H62" s="846"/>
    </row>
    <row r="63" spans="2:8" x14ac:dyDescent="0.35">
      <c r="B63" s="117"/>
      <c r="C63" s="1005"/>
      <c r="D63" s="846"/>
      <c r="E63" s="846"/>
      <c r="F63" s="846"/>
      <c r="G63" s="846"/>
      <c r="H63" s="846"/>
    </row>
    <row r="64" spans="2:8" x14ac:dyDescent="0.25">
      <c r="B64" s="233"/>
      <c r="C64" s="846"/>
      <c r="D64" s="554"/>
      <c r="E64" s="234"/>
      <c r="F64" s="846"/>
      <c r="G64" s="846"/>
      <c r="H64" s="846"/>
    </row>
    <row r="65" spans="2:8" x14ac:dyDescent="0.25">
      <c r="B65" s="803"/>
      <c r="C65" s="846"/>
      <c r="D65" s="267"/>
      <c r="E65" s="122"/>
      <c r="F65" s="846"/>
      <c r="G65" s="846"/>
      <c r="H65" s="846"/>
    </row>
    <row r="66" spans="2:8" x14ac:dyDescent="0.25">
      <c r="B66" s="1006"/>
      <c r="C66" s="846"/>
      <c r="D66" s="267"/>
      <c r="E66" s="122"/>
    </row>
    <row r="67" spans="2:8" x14ac:dyDescent="0.25">
      <c r="B67" s="1006"/>
      <c r="C67" s="846"/>
      <c r="D67" s="267"/>
      <c r="E67" s="122"/>
    </row>
    <row r="68" spans="2:8" x14ac:dyDescent="0.35">
      <c r="B68" s="82"/>
      <c r="C68" s="846"/>
      <c r="D68" s="268"/>
      <c r="E68" s="236"/>
    </row>
    <row r="69" spans="2:8" x14ac:dyDescent="0.35">
      <c r="B69" s="82"/>
      <c r="C69" s="846"/>
      <c r="D69" s="268"/>
      <c r="E69" s="236"/>
    </row>
    <row r="70" spans="2:8" x14ac:dyDescent="0.25">
      <c r="B70" s="979"/>
      <c r="C70" s="269"/>
      <c r="D70" s="846"/>
      <c r="E70" s="846"/>
    </row>
    <row r="71" spans="2:8" x14ac:dyDescent="0.35">
      <c r="B71" s="270"/>
      <c r="C71" s="271"/>
      <c r="D71" s="272"/>
      <c r="E71" s="270"/>
    </row>
    <row r="72" spans="2:8" x14ac:dyDescent="0.35">
      <c r="B72" s="270"/>
      <c r="C72" s="271"/>
      <c r="D72" s="272"/>
      <c r="E72" s="273"/>
    </row>
  </sheetData>
  <mergeCells count="1">
    <mergeCell ref="C47:C49"/>
  </mergeCells>
  <pageMargins left="0.23622047244094491" right="0.23622047244094491" top="0.74803149606299213" bottom="0.74803149606299213" header="0.31496062992125984" footer="0.31496062992125984"/>
  <pageSetup paperSize="9" scale="8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D160A-AD43-4A6E-8BAA-65DC13A0787D}">
  <sheetPr>
    <tabColor rgb="FF7030A0"/>
  </sheetPr>
  <dimension ref="B1:L70"/>
  <sheetViews>
    <sheetView showGridLines="0" view="pageBreakPreview" zoomScale="90" zoomScaleNormal="100" zoomScaleSheetLayoutView="90" workbookViewId="0">
      <selection activeCell="J1" sqref="J1"/>
    </sheetView>
  </sheetViews>
  <sheetFormatPr defaultColWidth="9.1796875" defaultRowHeight="11.5" x14ac:dyDescent="0.35"/>
  <cols>
    <col min="1" max="1" width="2.81640625" style="447" customWidth="1"/>
    <col min="2" max="2" width="50.453125" style="447" customWidth="1"/>
    <col min="3" max="3" width="2.81640625" style="447" customWidth="1"/>
    <col min="4" max="4" width="1.54296875" style="447" customWidth="1"/>
    <col min="5" max="7" width="22.81640625" style="447" customWidth="1"/>
    <col min="8" max="8" width="23.1796875" style="447" customWidth="1"/>
    <col min="9" max="9" width="18.81640625" style="447" customWidth="1"/>
    <col min="10" max="10" width="9.81640625" style="447" bestFit="1" customWidth="1"/>
    <col min="11" max="11" width="15.1796875" style="447" bestFit="1" customWidth="1"/>
    <col min="12" max="12" width="16.54296875" style="447" bestFit="1" customWidth="1"/>
    <col min="13" max="16384" width="9.1796875" style="447"/>
  </cols>
  <sheetData>
    <row r="1" spans="2:8" x14ac:dyDescent="0.25">
      <c r="B1" s="33" t="s">
        <v>0</v>
      </c>
      <c r="C1" s="3"/>
      <c r="D1" s="3"/>
      <c r="E1" s="34"/>
      <c r="F1" s="34"/>
      <c r="G1" s="34"/>
      <c r="H1" s="846"/>
    </row>
    <row r="2" spans="2:8" x14ac:dyDescent="0.25">
      <c r="B2" s="282" t="s">
        <v>180</v>
      </c>
      <c r="C2" s="278"/>
      <c r="D2" s="278"/>
      <c r="E2" s="34"/>
      <c r="F2" s="34"/>
      <c r="G2" s="34"/>
      <c r="H2" s="846"/>
    </row>
    <row r="3" spans="2:8" ht="12" x14ac:dyDescent="0.3">
      <c r="B3" s="797" t="str">
        <f>PL!B3</f>
        <v>(Amounts are stated in ₹ lakhs, except share and per share data, unless ottherwise stated)</v>
      </c>
      <c r="C3" s="279"/>
      <c r="D3" s="279"/>
      <c r="E3" s="34"/>
      <c r="F3" s="34"/>
      <c r="G3" s="34"/>
      <c r="H3" s="846"/>
    </row>
    <row r="4" spans="2:8" x14ac:dyDescent="0.35">
      <c r="B4" s="153"/>
      <c r="C4" s="153"/>
      <c r="D4" s="153"/>
      <c r="E4" s="153"/>
      <c r="F4" s="153"/>
      <c r="G4" s="153"/>
      <c r="H4" s="846"/>
    </row>
    <row r="5" spans="2:8" x14ac:dyDescent="0.35">
      <c r="B5" s="113" t="s">
        <v>181</v>
      </c>
      <c r="C5" s="113"/>
      <c r="D5" s="113"/>
      <c r="E5" s="158"/>
      <c r="F5" s="158"/>
      <c r="G5" s="237"/>
      <c r="H5" s="846"/>
    </row>
    <row r="6" spans="2:8" x14ac:dyDescent="0.35">
      <c r="B6" s="113"/>
      <c r="C6" s="113"/>
      <c r="D6" s="113"/>
      <c r="E6" s="158"/>
      <c r="F6" s="158"/>
      <c r="G6" s="119"/>
      <c r="H6" s="846"/>
    </row>
    <row r="7" spans="2:8" x14ac:dyDescent="0.35">
      <c r="B7" s="40" t="s">
        <v>182</v>
      </c>
      <c r="C7" s="40"/>
      <c r="D7" s="40"/>
      <c r="E7" s="158" t="s">
        <v>183</v>
      </c>
      <c r="F7" s="238" t="s">
        <v>184</v>
      </c>
      <c r="G7" s="238" t="s">
        <v>185</v>
      </c>
      <c r="H7" s="1007"/>
    </row>
    <row r="8" spans="2:8" x14ac:dyDescent="0.35">
      <c r="B8" s="40" t="s">
        <v>186</v>
      </c>
      <c r="C8" s="40"/>
      <c r="D8" s="40"/>
      <c r="E8" s="40"/>
      <c r="F8" s="158"/>
      <c r="G8" s="182"/>
      <c r="H8" s="182"/>
    </row>
    <row r="9" spans="2:8" x14ac:dyDescent="0.35">
      <c r="B9" s="40" t="s">
        <v>187</v>
      </c>
      <c r="C9" s="40"/>
      <c r="D9" s="40"/>
      <c r="E9" s="241">
        <f>'11-13'!$A$5</f>
        <v>11</v>
      </c>
      <c r="F9" s="158"/>
      <c r="G9" s="239"/>
      <c r="H9" s="240"/>
    </row>
    <row r="10" spans="2:8" ht="6.65" hidden="1" customHeight="1" x14ac:dyDescent="0.35">
      <c r="B10" s="40" t="s">
        <v>188</v>
      </c>
      <c r="C10" s="40"/>
      <c r="D10" s="40"/>
      <c r="E10" s="158"/>
      <c r="F10" s="239"/>
      <c r="G10" s="240"/>
      <c r="H10" s="846"/>
    </row>
    <row r="11" spans="2:8" x14ac:dyDescent="0.35">
      <c r="B11" s="34" t="s">
        <v>189</v>
      </c>
      <c r="C11" s="34"/>
      <c r="D11" s="34"/>
      <c r="E11" s="846"/>
      <c r="F11" s="158">
        <f>'11-13'!G24</f>
        <v>10000</v>
      </c>
      <c r="G11" s="158">
        <f>F11*10/10^5</f>
        <v>1</v>
      </c>
      <c r="H11" s="846"/>
    </row>
    <row r="12" spans="2:8" x14ac:dyDescent="0.35">
      <c r="B12" s="110" t="s">
        <v>190</v>
      </c>
      <c r="C12" s="110"/>
      <c r="D12" s="110"/>
      <c r="E12" s="241"/>
      <c r="F12" s="91" t="s">
        <v>174</v>
      </c>
      <c r="G12" s="91" t="s">
        <v>174</v>
      </c>
      <c r="H12" s="846"/>
    </row>
    <row r="13" spans="2:8" x14ac:dyDescent="0.35">
      <c r="B13" s="34" t="s">
        <v>191</v>
      </c>
      <c r="C13" s="34"/>
      <c r="D13" s="34"/>
      <c r="E13" s="242"/>
      <c r="F13" s="243">
        <f>SUM(F11:F12)</f>
        <v>10000</v>
      </c>
      <c r="G13" s="244">
        <f>SUM(G11:G12)</f>
        <v>1</v>
      </c>
      <c r="H13" s="846"/>
    </row>
    <row r="14" spans="2:8" x14ac:dyDescent="0.35">
      <c r="B14" s="110" t="s">
        <v>190</v>
      </c>
      <c r="C14" s="110"/>
      <c r="D14" s="110"/>
      <c r="E14" s="242"/>
      <c r="F14" s="91" t="s">
        <v>174</v>
      </c>
      <c r="G14" s="91" t="s">
        <v>174</v>
      </c>
      <c r="H14" s="846"/>
    </row>
    <row r="15" spans="2:8" ht="12" thickBot="1" x14ac:dyDescent="0.4">
      <c r="B15" s="34" t="s">
        <v>192</v>
      </c>
      <c r="C15" s="34"/>
      <c r="D15" s="34"/>
      <c r="E15" s="242"/>
      <c r="F15" s="190">
        <f>SUM(F13:F14)</f>
        <v>10000</v>
      </c>
      <c r="G15" s="190">
        <f>SUM(G13:G14)</f>
        <v>1</v>
      </c>
      <c r="H15" s="846"/>
    </row>
    <row r="16" spans="2:8" ht="12" thickTop="1" x14ac:dyDescent="0.35">
      <c r="B16" s="34"/>
      <c r="C16" s="34"/>
      <c r="D16" s="34"/>
      <c r="E16" s="242"/>
      <c r="F16" s="158"/>
      <c r="G16" s="158"/>
      <c r="H16" s="846"/>
    </row>
    <row r="17" spans="2:7" x14ac:dyDescent="0.35">
      <c r="B17" s="40" t="s">
        <v>193</v>
      </c>
      <c r="C17" s="40"/>
      <c r="D17" s="40"/>
      <c r="E17" s="241">
        <f>'11-13'!$A$5</f>
        <v>11</v>
      </c>
      <c r="F17" s="239"/>
      <c r="G17" s="240"/>
    </row>
    <row r="18" spans="2:7" ht="6.75" customHeight="1" x14ac:dyDescent="0.35">
      <c r="B18" s="40"/>
      <c r="C18" s="40"/>
      <c r="D18" s="40"/>
      <c r="E18" s="158"/>
      <c r="F18" s="239"/>
      <c r="G18" s="240"/>
    </row>
    <row r="19" spans="2:7" x14ac:dyDescent="0.35">
      <c r="B19" s="34" t="s">
        <v>189</v>
      </c>
      <c r="C19" s="34"/>
      <c r="D19" s="34"/>
      <c r="E19" s="241"/>
      <c r="F19" s="91">
        <f>'11-13'!E17</f>
        <v>496183</v>
      </c>
      <c r="G19" s="158">
        <f>F19*10/10^5</f>
        <v>49.618299999999998</v>
      </c>
    </row>
    <row r="20" spans="2:7" x14ac:dyDescent="0.35">
      <c r="B20" s="110" t="s">
        <v>190</v>
      </c>
      <c r="C20" s="110"/>
      <c r="D20" s="110"/>
      <c r="E20" s="241"/>
      <c r="F20" s="239">
        <f>'11-13'!G32</f>
        <v>0</v>
      </c>
      <c r="G20" s="158">
        <f>(F20*10)/10^5</f>
        <v>0</v>
      </c>
    </row>
    <row r="21" spans="2:7" x14ac:dyDescent="0.35">
      <c r="B21" s="34" t="s">
        <v>191</v>
      </c>
      <c r="C21" s="34"/>
      <c r="D21" s="34"/>
      <c r="E21" s="242"/>
      <c r="F21" s="243">
        <f>SUM(F19:F20)</f>
        <v>496183</v>
      </c>
      <c r="G21" s="244">
        <f>SUM(G19:G20)</f>
        <v>49.618299999999998</v>
      </c>
    </row>
    <row r="22" spans="2:7" x14ac:dyDescent="0.35">
      <c r="B22" s="110" t="s">
        <v>190</v>
      </c>
      <c r="C22" s="110"/>
      <c r="D22" s="110"/>
      <c r="E22" s="242"/>
      <c r="F22" s="115">
        <v>0</v>
      </c>
      <c r="G22" s="90">
        <v>0</v>
      </c>
    </row>
    <row r="23" spans="2:7" ht="12" thickBot="1" x14ac:dyDescent="0.4">
      <c r="B23" s="34" t="s">
        <v>192</v>
      </c>
      <c r="C23" s="34"/>
      <c r="D23" s="34"/>
      <c r="E23" s="242"/>
      <c r="F23" s="190">
        <f>SUM(F21:F22)</f>
        <v>496183</v>
      </c>
      <c r="G23" s="190">
        <f>SUM(G21:G22)</f>
        <v>49.618299999999998</v>
      </c>
    </row>
    <row r="24" spans="2:7" ht="12" thickTop="1" x14ac:dyDescent="0.35">
      <c r="B24" s="245"/>
      <c r="C24" s="245"/>
      <c r="D24" s="245"/>
      <c r="E24" s="242"/>
      <c r="F24" s="187"/>
      <c r="G24" s="158"/>
    </row>
    <row r="25" spans="2:7" x14ac:dyDescent="0.35">
      <c r="B25" s="245"/>
      <c r="C25" s="245"/>
      <c r="D25" s="245"/>
      <c r="E25" s="242"/>
      <c r="F25" s="90"/>
      <c r="G25" s="91"/>
    </row>
    <row r="26" spans="2:7" x14ac:dyDescent="0.35">
      <c r="B26" s="40" t="s">
        <v>194</v>
      </c>
      <c r="C26" s="40"/>
      <c r="D26" s="40"/>
      <c r="E26" s="1095" t="s">
        <v>195</v>
      </c>
      <c r="F26" s="1095"/>
      <c r="G26" s="1095"/>
    </row>
    <row r="27" spans="2:7" ht="15" customHeight="1" x14ac:dyDescent="0.35">
      <c r="B27" s="110"/>
      <c r="C27" s="110"/>
      <c r="D27" s="110"/>
      <c r="E27" s="1094"/>
      <c r="F27" s="1094"/>
      <c r="G27" s="246"/>
    </row>
    <row r="28" spans="2:7" s="448" customFormat="1" x14ac:dyDescent="0.35">
      <c r="B28" s="61" t="s">
        <v>5</v>
      </c>
      <c r="C28" s="61"/>
      <c r="D28" s="61"/>
      <c r="E28" s="135" t="s">
        <v>196</v>
      </c>
      <c r="F28" s="136" t="s">
        <v>197</v>
      </c>
      <c r="G28" s="136" t="s">
        <v>100</v>
      </c>
    </row>
    <row r="29" spans="2:7" x14ac:dyDescent="0.35">
      <c r="B29" s="40" t="str">
        <f>B11</f>
        <v>Balance as at 31 March 2023</v>
      </c>
      <c r="C29" s="40"/>
      <c r="D29" s="40"/>
      <c r="E29" s="247">
        <f>'11-13'!H123</f>
        <v>41916.539839999998</v>
      </c>
      <c r="F29" s="247">
        <f>'11-13'!H131</f>
        <v>-14464.70197156108</v>
      </c>
      <c r="G29" s="247">
        <f>SUM(E29:F29)</f>
        <v>27451.837868438917</v>
      </c>
    </row>
    <row r="30" spans="2:7" x14ac:dyDescent="0.35">
      <c r="B30" s="117" t="s">
        <v>198</v>
      </c>
      <c r="C30" s="117"/>
      <c r="D30" s="117"/>
      <c r="E30" s="90" t="s">
        <v>174</v>
      </c>
      <c r="F30" s="90">
        <f>'11-13'!H132</f>
        <v>-16124.197957288381</v>
      </c>
      <c r="G30" s="90">
        <f>SUM(E30:F30)</f>
        <v>-16124.197957288381</v>
      </c>
    </row>
    <row r="31" spans="2:7" x14ac:dyDescent="0.35">
      <c r="B31" s="117" t="s">
        <v>199</v>
      </c>
      <c r="C31" s="117"/>
      <c r="D31" s="117"/>
      <c r="E31" s="90" t="s">
        <v>174</v>
      </c>
      <c r="F31" s="90">
        <f>'11-13'!H133</f>
        <v>37.335091641600002</v>
      </c>
      <c r="G31" s="90">
        <f>SUM(E31:F31)</f>
        <v>37.335091641600002</v>
      </c>
    </row>
    <row r="32" spans="2:7" x14ac:dyDescent="0.35">
      <c r="B32" s="117" t="s">
        <v>200</v>
      </c>
      <c r="C32" s="117"/>
      <c r="D32" s="117"/>
      <c r="E32" s="90" t="s">
        <v>174</v>
      </c>
      <c r="F32" s="90" t="s">
        <v>174</v>
      </c>
      <c r="G32" s="90" t="s">
        <v>174</v>
      </c>
    </row>
    <row r="33" spans="2:12" x14ac:dyDescent="0.35">
      <c r="B33" s="40" t="str">
        <f>B13</f>
        <v>Balance as at 31 March 2024</v>
      </c>
      <c r="C33" s="40"/>
      <c r="D33" s="40"/>
      <c r="E33" s="247">
        <f>SUM(E29:E32)</f>
        <v>41916.539839999998</v>
      </c>
      <c r="F33" s="247">
        <f>SUM(F29:F32)+0.1</f>
        <v>-30551.464837207863</v>
      </c>
      <c r="G33" s="247">
        <f>SUM(G29:G32)</f>
        <v>11364.975002792136</v>
      </c>
      <c r="H33" s="846">
        <f>F33*10^5</f>
        <v>-3055146483.7207861</v>
      </c>
      <c r="I33" s="846">
        <f>SUMIF('Standalone TB'!Z:Z,"Retained earnings",'Standalone TB'!X:X)</f>
        <v>3055146483.7207861</v>
      </c>
      <c r="J33" s="248">
        <f>H33+I33</f>
        <v>0</v>
      </c>
      <c r="K33" s="248"/>
      <c r="L33" s="248"/>
    </row>
    <row r="34" spans="2:12" x14ac:dyDescent="0.35">
      <c r="B34" s="117" t="s">
        <v>198</v>
      </c>
      <c r="C34" s="117"/>
      <c r="D34" s="117"/>
      <c r="E34" s="90">
        <v>0</v>
      </c>
      <c r="F34" s="90">
        <f>'11-13'!G132</f>
        <v>-3.6329940700140924</v>
      </c>
      <c r="G34" s="90">
        <f>SUM(E34:F34)</f>
        <v>-3.6329940700140924</v>
      </c>
      <c r="H34" s="846"/>
      <c r="I34" s="846"/>
      <c r="J34" s="846"/>
      <c r="K34" s="846"/>
      <c r="L34" s="846"/>
    </row>
    <row r="35" spans="2:12" x14ac:dyDescent="0.35">
      <c r="B35" s="117" t="s">
        <v>199</v>
      </c>
      <c r="C35" s="117"/>
      <c r="D35" s="117"/>
      <c r="E35" s="90">
        <v>0</v>
      </c>
      <c r="F35" s="90">
        <f>'11-13'!G133</f>
        <v>115.36426</v>
      </c>
      <c r="G35" s="90">
        <f>SUM(E35:F35)</f>
        <v>115.36426</v>
      </c>
      <c r="H35" s="846"/>
      <c r="I35" s="846"/>
      <c r="J35" s="846"/>
      <c r="K35" s="846"/>
      <c r="L35" s="846"/>
    </row>
    <row r="36" spans="2:12" x14ac:dyDescent="0.35">
      <c r="B36" s="117" t="s">
        <v>200</v>
      </c>
      <c r="C36" s="117"/>
      <c r="D36" s="117"/>
      <c r="E36" s="90">
        <v>0</v>
      </c>
      <c r="F36" s="90">
        <v>0</v>
      </c>
      <c r="G36" s="90">
        <v>0</v>
      </c>
      <c r="H36" s="846"/>
      <c r="I36" s="846"/>
      <c r="J36" s="846"/>
      <c r="K36" s="846"/>
      <c r="L36" s="846"/>
    </row>
    <row r="37" spans="2:12" ht="12" thickBot="1" x14ac:dyDescent="0.4">
      <c r="B37" s="40" t="str">
        <f>B15</f>
        <v>Balance as at 31 March 2025</v>
      </c>
      <c r="C37" s="40"/>
      <c r="D37" s="40"/>
      <c r="E37" s="263">
        <f>SUM(E33:E36)</f>
        <v>41916.539839999998</v>
      </c>
      <c r="F37" s="263">
        <f>SUM(F33:F36)</f>
        <v>-30439.733571277877</v>
      </c>
      <c r="G37" s="263">
        <f>SUM(G33:G36)+0.5</f>
        <v>11477.206268722122</v>
      </c>
      <c r="H37" s="248"/>
      <c r="I37" s="248"/>
      <c r="J37" s="248"/>
      <c r="K37" s="248"/>
      <c r="L37" s="248"/>
    </row>
    <row r="38" spans="2:12" ht="12" thickTop="1" x14ac:dyDescent="0.35">
      <c r="B38" s="40"/>
      <c r="C38" s="40"/>
      <c r="D38" s="40"/>
      <c r="E38" s="91"/>
      <c r="F38" s="91"/>
      <c r="G38" s="91"/>
      <c r="H38" s="248"/>
      <c r="I38" s="248"/>
      <c r="J38" s="248"/>
      <c r="K38" s="248"/>
      <c r="L38" s="248"/>
    </row>
    <row r="39" spans="2:12" x14ac:dyDescent="0.35">
      <c r="B39" s="117" t="s">
        <v>201</v>
      </c>
      <c r="C39" s="117"/>
      <c r="D39" s="117"/>
      <c r="E39" s="250"/>
      <c r="F39" s="90"/>
      <c r="G39" s="251"/>
      <c r="H39" s="846"/>
      <c r="I39" s="846"/>
      <c r="J39" s="846"/>
      <c r="K39" s="846"/>
      <c r="L39" s="846"/>
    </row>
    <row r="40" spans="2:12" x14ac:dyDescent="0.35">
      <c r="B40" s="117"/>
      <c r="C40" s="117"/>
      <c r="D40" s="117"/>
      <c r="E40" s="250"/>
      <c r="F40" s="90"/>
      <c r="G40" s="251"/>
      <c r="H40" s="846"/>
      <c r="I40" s="846"/>
      <c r="J40" s="846"/>
      <c r="K40" s="846"/>
      <c r="L40" s="846"/>
    </row>
    <row r="41" spans="2:12" x14ac:dyDescent="0.25">
      <c r="B41" s="286" t="s">
        <v>53</v>
      </c>
      <c r="C41" s="210"/>
      <c r="D41" s="988"/>
      <c r="E41" s="988"/>
      <c r="F41" s="185"/>
      <c r="G41" s="846"/>
      <c r="H41" s="846"/>
      <c r="I41" s="846"/>
      <c r="J41" s="979"/>
      <c r="K41" s="846"/>
      <c r="L41" s="846"/>
    </row>
    <row r="42" spans="2:12" x14ac:dyDescent="0.25">
      <c r="B42" s="291" t="s">
        <v>54</v>
      </c>
      <c r="C42" s="280"/>
      <c r="D42" s="995"/>
      <c r="E42" s="995"/>
      <c r="F42" s="281"/>
      <c r="G42" s="995"/>
      <c r="H42" s="846"/>
      <c r="I42" s="846"/>
      <c r="J42" s="991"/>
      <c r="K42" s="846"/>
      <c r="L42" s="846"/>
    </row>
    <row r="43" spans="2:12" ht="8.15" customHeight="1" x14ac:dyDescent="0.25">
      <c r="B43" s="940"/>
      <c r="C43" s="210"/>
      <c r="D43" s="846"/>
      <c r="E43" s="846"/>
      <c r="F43" s="36"/>
      <c r="G43" s="846"/>
      <c r="H43" s="846"/>
      <c r="I43" s="846"/>
      <c r="J43" s="986"/>
      <c r="K43" s="846"/>
      <c r="L43" s="846"/>
    </row>
    <row r="44" spans="2:12" x14ac:dyDescent="0.35">
      <c r="B44" s="428" t="s">
        <v>55</v>
      </c>
      <c r="C44" s="110"/>
      <c r="D44" s="429"/>
      <c r="E44" s="846"/>
      <c r="F44" s="388" t="s">
        <v>56</v>
      </c>
      <c r="G44" s="846"/>
      <c r="H44" s="91"/>
      <c r="I44" s="846"/>
      <c r="J44" s="430"/>
      <c r="K44" s="430"/>
      <c r="L44" s="846"/>
    </row>
    <row r="45" spans="2:12" ht="12" x14ac:dyDescent="0.25">
      <c r="B45" s="431" t="s">
        <v>57</v>
      </c>
      <c r="C45" s="432"/>
      <c r="D45" s="432"/>
      <c r="E45" s="846"/>
      <c r="F45" s="764" t="s">
        <v>0</v>
      </c>
      <c r="G45" s="846"/>
      <c r="H45" s="846"/>
      <c r="I45" s="846"/>
      <c r="J45" s="433"/>
      <c r="K45" s="433"/>
      <c r="L45" s="846"/>
    </row>
    <row r="46" spans="2:12" x14ac:dyDescent="0.25">
      <c r="B46" s="941" t="s">
        <v>58</v>
      </c>
      <c r="C46" s="432"/>
      <c r="D46" s="432"/>
      <c r="E46" s="432"/>
      <c r="F46" s="744" t="s">
        <v>59</v>
      </c>
      <c r="G46" s="846"/>
      <c r="H46" s="846"/>
      <c r="I46" s="846"/>
      <c r="J46" s="986"/>
      <c r="K46" s="846"/>
      <c r="L46" s="846"/>
    </row>
    <row r="47" spans="2:12" x14ac:dyDescent="0.25">
      <c r="B47" s="941"/>
      <c r="C47" s="432"/>
      <c r="D47" s="432"/>
      <c r="E47" s="432"/>
      <c r="F47" s="432"/>
      <c r="G47" s="432"/>
      <c r="H47" s="846"/>
      <c r="I47" s="846"/>
      <c r="J47" s="986"/>
      <c r="K47" s="846"/>
      <c r="L47" s="846"/>
    </row>
    <row r="48" spans="2:12" x14ac:dyDescent="0.25">
      <c r="B48" s="941"/>
      <c r="C48" s="432"/>
      <c r="D48" s="432"/>
      <c r="E48" s="432"/>
      <c r="F48" s="432"/>
      <c r="G48" s="432"/>
      <c r="H48" s="846"/>
      <c r="I48" s="846"/>
      <c r="J48" s="986"/>
      <c r="K48" s="846"/>
      <c r="L48" s="846"/>
    </row>
    <row r="49" spans="2:10" x14ac:dyDescent="0.25">
      <c r="B49" s="941"/>
      <c r="C49" s="432"/>
      <c r="D49" s="432"/>
      <c r="E49" s="432"/>
      <c r="F49" s="432"/>
      <c r="G49" s="432"/>
      <c r="H49" s="846"/>
      <c r="I49" s="846"/>
      <c r="J49" s="986"/>
    </row>
    <row r="50" spans="2:10" x14ac:dyDescent="0.25">
      <c r="B50" s="388" t="e">
        <f>PL!#REF!</f>
        <v>#REF!</v>
      </c>
      <c r="C50" s="432"/>
      <c r="D50" s="432"/>
      <c r="E50" s="432"/>
      <c r="F50" s="798" t="s">
        <v>61</v>
      </c>
      <c r="G50" s="388" t="e">
        <f>PL!#REF!</f>
        <v>#REF!</v>
      </c>
      <c r="H50" s="846"/>
      <c r="I50" s="846"/>
      <c r="J50" s="986"/>
    </row>
    <row r="51" spans="2:10" x14ac:dyDescent="0.25">
      <c r="B51" s="941" t="e">
        <f>PL!#REF!</f>
        <v>#REF!</v>
      </c>
      <c r="C51" s="803"/>
      <c r="D51" s="846"/>
      <c r="E51" s="846"/>
      <c r="F51" s="287" t="s">
        <v>63</v>
      </c>
      <c r="G51" s="941" t="e">
        <f>PL!#REF!</f>
        <v>#REF!</v>
      </c>
      <c r="H51" s="846"/>
      <c r="I51" s="846"/>
      <c r="J51" s="986"/>
    </row>
    <row r="52" spans="2:10" x14ac:dyDescent="0.25">
      <c r="B52" s="941" t="e">
        <f>PL!#REF!</f>
        <v>#REF!</v>
      </c>
      <c r="C52" s="846"/>
      <c r="D52" s="39"/>
      <c r="E52" s="39"/>
      <c r="F52" s="287" t="s">
        <v>64</v>
      </c>
      <c r="G52" s="941" t="e">
        <f>PL!#REF!</f>
        <v>#REF!</v>
      </c>
      <c r="H52" s="836"/>
      <c r="I52" s="234"/>
      <c r="J52" s="986"/>
    </row>
    <row r="53" spans="2:10" x14ac:dyDescent="0.25">
      <c r="B53" s="941"/>
      <c r="C53" s="846"/>
      <c r="D53" s="19"/>
      <c r="E53" s="19"/>
      <c r="F53" s="32"/>
      <c r="G53" s="941"/>
      <c r="H53" s="836"/>
      <c r="I53" s="122"/>
      <c r="J53" s="986"/>
    </row>
    <row r="54" spans="2:10" x14ac:dyDescent="0.25">
      <c r="B54" s="941" t="e">
        <f>PL!#REF!</f>
        <v>#REF!</v>
      </c>
      <c r="C54" s="846"/>
      <c r="D54" s="19"/>
      <c r="E54" s="19"/>
      <c r="F54" s="940" t="s">
        <v>179</v>
      </c>
      <c r="G54" s="941" t="s">
        <v>179</v>
      </c>
      <c r="H54" s="836"/>
      <c r="I54" s="122"/>
      <c r="J54" s="986"/>
    </row>
    <row r="55" spans="2:10" x14ac:dyDescent="0.25">
      <c r="B55" s="941" t="e">
        <f>PL!#REF!</f>
        <v>#REF!</v>
      </c>
      <c r="C55" s="846"/>
      <c r="D55" s="19"/>
      <c r="E55" s="19"/>
      <c r="F55" s="940" t="s">
        <v>65</v>
      </c>
      <c r="G55" s="941" t="s">
        <v>65</v>
      </c>
      <c r="H55" s="836"/>
      <c r="I55" s="122"/>
      <c r="J55" s="986"/>
    </row>
    <row r="56" spans="2:10" x14ac:dyDescent="0.35">
      <c r="B56" s="117"/>
      <c r="C56" s="117"/>
      <c r="D56" s="117"/>
      <c r="E56" s="250"/>
      <c r="F56" s="90"/>
      <c r="G56" s="251"/>
      <c r="H56" s="846"/>
      <c r="I56" s="846"/>
      <c r="J56" s="846"/>
    </row>
    <row r="57" spans="2:10" x14ac:dyDescent="0.35">
      <c r="B57" s="249"/>
      <c r="C57" s="249"/>
      <c r="D57" s="249"/>
      <c r="E57" s="846"/>
      <c r="F57" s="113"/>
      <c r="G57" s="846"/>
      <c r="H57" s="91"/>
      <c r="I57" s="846"/>
      <c r="J57" s="846"/>
    </row>
    <row r="58" spans="2:10" s="248" customFormat="1" x14ac:dyDescent="0.35">
      <c r="B58" s="252"/>
      <c r="C58" s="252"/>
      <c r="D58" s="252"/>
      <c r="E58" s="846"/>
      <c r="F58" s="846"/>
      <c r="G58" s="846"/>
      <c r="H58" s="846"/>
    </row>
    <row r="59" spans="2:10" x14ac:dyDescent="0.35">
      <c r="B59" s="836"/>
      <c r="C59" s="836"/>
      <c r="D59" s="836"/>
      <c r="E59" s="846"/>
      <c r="F59" s="846"/>
      <c r="G59" s="846"/>
      <c r="H59" s="846"/>
      <c r="I59" s="846"/>
      <c r="J59" s="846"/>
    </row>
    <row r="60" spans="2:10" x14ac:dyDescent="0.35">
      <c r="B60" s="836"/>
      <c r="C60" s="836"/>
      <c r="D60" s="836"/>
      <c r="E60" s="846"/>
      <c r="F60" s="846"/>
      <c r="G60" s="846"/>
      <c r="H60" s="846"/>
      <c r="I60" s="846"/>
      <c r="J60" s="846"/>
    </row>
    <row r="61" spans="2:10" hidden="1" x14ac:dyDescent="0.25">
      <c r="B61" s="249"/>
      <c r="C61" s="249"/>
      <c r="D61" s="249"/>
      <c r="E61" s="113"/>
      <c r="F61" s="158"/>
      <c r="G61" s="158"/>
      <c r="H61" s="253"/>
      <c r="I61" s="846"/>
      <c r="J61" s="846"/>
    </row>
    <row r="62" spans="2:10" hidden="1" x14ac:dyDescent="0.25">
      <c r="B62" s="846"/>
      <c r="C62" s="846"/>
      <c r="D62" s="846"/>
      <c r="E62" s="176"/>
      <c r="F62" s="158"/>
      <c r="G62" s="158"/>
      <c r="H62" s="979"/>
      <c r="I62" s="846"/>
      <c r="J62" s="846"/>
    </row>
    <row r="63" spans="2:10" x14ac:dyDescent="0.35">
      <c r="B63" s="846"/>
      <c r="C63" s="846"/>
      <c r="D63" s="846"/>
      <c r="E63" s="176"/>
      <c r="F63" s="1007"/>
      <c r="G63" s="1007"/>
      <c r="H63" s="176"/>
      <c r="I63" s="846"/>
      <c r="J63" s="846"/>
    </row>
    <row r="64" spans="2:10" x14ac:dyDescent="0.25">
      <c r="B64" s="846"/>
      <c r="C64" s="846"/>
      <c r="D64" s="846"/>
      <c r="E64" s="846"/>
      <c r="F64" s="254"/>
      <c r="G64" s="234"/>
      <c r="H64" s="846"/>
      <c r="I64" s="846"/>
      <c r="J64" s="846"/>
    </row>
    <row r="65" spans="5:7" x14ac:dyDescent="0.25">
      <c r="E65" s="846"/>
      <c r="F65" s="255"/>
      <c r="G65" s="122"/>
    </row>
    <row r="66" spans="5:7" x14ac:dyDescent="0.25">
      <c r="E66" s="846"/>
      <c r="F66" s="255"/>
      <c r="G66" s="122"/>
    </row>
    <row r="67" spans="5:7" x14ac:dyDescent="0.25">
      <c r="E67" s="846"/>
      <c r="F67" s="255"/>
      <c r="G67" s="122"/>
    </row>
    <row r="68" spans="5:7" x14ac:dyDescent="0.35">
      <c r="E68" s="846"/>
      <c r="F68" s="256"/>
      <c r="G68" s="236"/>
    </row>
    <row r="69" spans="5:7" x14ac:dyDescent="0.35">
      <c r="E69" s="846"/>
      <c r="F69" s="256"/>
      <c r="G69" s="236"/>
    </row>
    <row r="70" spans="5:7" x14ac:dyDescent="0.35">
      <c r="E70" s="90"/>
      <c r="F70" s="176"/>
      <c r="G70" s="846"/>
    </row>
  </sheetData>
  <mergeCells count="2">
    <mergeCell ref="E27:F27"/>
    <mergeCell ref="E26:G26"/>
  </mergeCells>
  <pageMargins left="0.25" right="0.25" top="0.75" bottom="0.75" header="0.3" footer="0.3"/>
  <pageSetup paperSize="9" scale="8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BD488-7CBD-41FF-A455-9538A79CF46B}">
  <sheetPr>
    <tabColor rgb="FF7030A0"/>
  </sheetPr>
  <dimension ref="B1:AA81"/>
  <sheetViews>
    <sheetView showGridLines="0" view="pageBreakPreview" topLeftCell="A45" zoomScale="90" zoomScaleSheetLayoutView="90" workbookViewId="0">
      <selection activeCell="D48" sqref="D48"/>
    </sheetView>
  </sheetViews>
  <sheetFormatPr defaultColWidth="19.81640625" defaultRowHeight="11.5" outlineLevelRow="1" x14ac:dyDescent="0.25"/>
  <cols>
    <col min="1" max="1" width="2.81640625" style="19" customWidth="1"/>
    <col min="2" max="2" width="75" style="19" customWidth="1"/>
    <col min="3" max="3" width="2.81640625" style="19" customWidth="1"/>
    <col min="4" max="5" width="22.81640625" style="588" customWidth="1"/>
    <col min="6" max="12" width="20.81640625" style="19" customWidth="1"/>
    <col min="13" max="13" width="22.81640625" style="19" customWidth="1"/>
    <col min="14" max="14" width="20.453125" style="19" customWidth="1"/>
    <col min="15" max="15" width="13.1796875" style="19" bestFit="1" customWidth="1"/>
    <col min="16" max="16" width="12.81640625" style="19" bestFit="1" customWidth="1"/>
    <col min="17" max="17" width="11.1796875" style="19" customWidth="1"/>
    <col min="18" max="18" width="6.81640625" style="19" customWidth="1"/>
    <col min="19" max="19" width="13.81640625" style="19" customWidth="1"/>
    <col min="20" max="20" width="10.81640625" style="19" customWidth="1"/>
    <col min="21" max="21" width="11.81640625" style="19" customWidth="1"/>
    <col min="22" max="22" width="14.81640625" style="19" customWidth="1"/>
    <col min="23" max="23" width="10.453125" style="19" customWidth="1"/>
    <col min="24" max="24" width="10.1796875" style="19" customWidth="1"/>
    <col min="25" max="25" width="13.81640625" style="19" customWidth="1"/>
    <col min="26" max="26" width="17.453125" style="19" customWidth="1"/>
    <col min="27" max="27" width="17.1796875" style="19" customWidth="1"/>
    <col min="28" max="266" width="9.1796875" style="19" customWidth="1"/>
    <col min="267" max="267" width="2.453125" style="19" customWidth="1"/>
    <col min="268" max="268" width="61.453125" style="19" customWidth="1"/>
    <col min="269" max="16384" width="19.81640625" style="19"/>
  </cols>
  <sheetData>
    <row r="1" spans="2:27" x14ac:dyDescent="0.25">
      <c r="B1" s="491" t="str">
        <f>'SOCE '!B1</f>
        <v>Paladion Networks Private Limited</v>
      </c>
      <c r="C1" s="491"/>
      <c r="D1" s="574"/>
      <c r="E1" s="574"/>
    </row>
    <row r="2" spans="2:27" x14ac:dyDescent="0.25">
      <c r="B2" s="282" t="s">
        <v>202</v>
      </c>
      <c r="C2" s="282"/>
      <c r="D2" s="575"/>
      <c r="E2" s="575"/>
      <c r="F2" s="194"/>
    </row>
    <row r="3" spans="2:27" ht="12" x14ac:dyDescent="0.3">
      <c r="B3" s="763" t="str">
        <f>'SOCE '!B3</f>
        <v>(Amounts are stated in ₹ lakhs, except share and per share data, unless ottherwise stated)</v>
      </c>
      <c r="C3" s="505"/>
      <c r="D3" s="575"/>
      <c r="E3" s="575"/>
      <c r="F3" s="490"/>
    </row>
    <row r="4" spans="2:27" x14ac:dyDescent="0.25">
      <c r="B4" s="490"/>
      <c r="C4" s="490"/>
      <c r="D4" s="575"/>
      <c r="E4" s="575"/>
      <c r="F4" s="490"/>
    </row>
    <row r="5" spans="2:27" ht="23" x14ac:dyDescent="0.25">
      <c r="B5" s="552" t="s">
        <v>5</v>
      </c>
      <c r="C5" s="552"/>
      <c r="D5" s="596" t="s">
        <v>203</v>
      </c>
      <c r="E5" s="596" t="s">
        <v>204</v>
      </c>
      <c r="F5" s="493"/>
      <c r="G5" s="493"/>
      <c r="H5" s="493"/>
      <c r="I5" s="493"/>
      <c r="J5" s="493"/>
      <c r="K5" s="493"/>
      <c r="L5" s="493"/>
      <c r="M5" s="493"/>
      <c r="O5" s="493"/>
      <c r="P5" s="493"/>
      <c r="Q5" s="493"/>
    </row>
    <row r="6" spans="2:27" x14ac:dyDescent="0.25">
      <c r="B6" s="492"/>
      <c r="C6" s="492"/>
      <c r="D6" s="576"/>
      <c r="E6" s="576"/>
    </row>
    <row r="7" spans="2:27" x14ac:dyDescent="0.25">
      <c r="B7" s="194" t="s">
        <v>205</v>
      </c>
      <c r="C7" s="194"/>
      <c r="D7" s="577"/>
      <c r="E7" s="577"/>
    </row>
    <row r="8" spans="2:27" s="110" customFormat="1" x14ac:dyDescent="0.35">
      <c r="B8" s="110" t="s">
        <v>206</v>
      </c>
      <c r="D8" s="567">
        <f>'Cash flow Working'!B20</f>
        <v>227.09552592998591</v>
      </c>
      <c r="E8" s="567">
        <v>-14942.460385646778</v>
      </c>
      <c r="F8" s="36"/>
      <c r="G8" s="36"/>
      <c r="H8" s="36"/>
      <c r="I8" s="36"/>
      <c r="J8" s="36"/>
      <c r="K8" s="36"/>
      <c r="L8" s="36"/>
      <c r="M8" s="36"/>
      <c r="O8" s="36"/>
      <c r="P8" s="36"/>
      <c r="Q8" s="36"/>
      <c r="R8" s="36"/>
      <c r="S8" s="36"/>
      <c r="T8" s="36"/>
      <c r="AA8" s="36">
        <f>D8-Z8</f>
        <v>227.09552592998591</v>
      </c>
    </row>
    <row r="9" spans="2:27" s="110" customFormat="1" x14ac:dyDescent="0.35">
      <c r="B9" s="34" t="s">
        <v>207</v>
      </c>
      <c r="C9" s="34"/>
      <c r="D9" s="567"/>
      <c r="E9" s="567"/>
      <c r="F9" s="36"/>
      <c r="G9" s="36"/>
      <c r="H9" s="36"/>
      <c r="I9" s="36"/>
      <c r="J9" s="36"/>
      <c r="K9" s="36"/>
      <c r="L9" s="36"/>
      <c r="M9" s="36"/>
      <c r="O9" s="36"/>
      <c r="P9" s="36"/>
      <c r="Q9" s="36"/>
      <c r="S9" s="36"/>
      <c r="T9" s="36"/>
    </row>
    <row r="10" spans="2:27" x14ac:dyDescent="0.25">
      <c r="B10" s="19" t="s">
        <v>115</v>
      </c>
      <c r="D10" s="567">
        <f>'Cash flow Working'!B24</f>
        <v>2477.7009443367479</v>
      </c>
      <c r="E10" s="567">
        <v>740.76390477616701</v>
      </c>
      <c r="F10" s="36"/>
      <c r="G10" s="36"/>
      <c r="H10" s="17"/>
      <c r="I10" s="17"/>
      <c r="J10" s="17"/>
      <c r="K10" s="17"/>
      <c r="L10" s="17"/>
      <c r="M10" s="17"/>
      <c r="O10" s="36"/>
      <c r="P10" s="36"/>
      <c r="Q10" s="36"/>
      <c r="R10" s="27"/>
      <c r="S10" s="17"/>
    </row>
    <row r="11" spans="2:27" x14ac:dyDescent="0.25">
      <c r="B11" s="19" t="s">
        <v>208</v>
      </c>
      <c r="D11" s="567">
        <f>PL!D22</f>
        <v>0</v>
      </c>
      <c r="E11" s="567">
        <v>18242</v>
      </c>
      <c r="F11" s="36"/>
      <c r="G11" s="36"/>
      <c r="H11" s="17"/>
      <c r="I11" s="17"/>
      <c r="J11" s="17"/>
      <c r="K11" s="17"/>
      <c r="L11" s="17"/>
      <c r="M11" s="17"/>
      <c r="O11" s="36"/>
      <c r="P11" s="36"/>
      <c r="Q11" s="36"/>
      <c r="R11" s="27"/>
      <c r="S11" s="17"/>
    </row>
    <row r="12" spans="2:27" x14ac:dyDescent="0.25">
      <c r="B12" s="19" t="s">
        <v>209</v>
      </c>
      <c r="D12" s="567">
        <f>0</f>
        <v>0</v>
      </c>
      <c r="E12" s="567">
        <v>54.567652600000002</v>
      </c>
      <c r="F12" s="36"/>
      <c r="G12" s="36"/>
      <c r="H12" s="17"/>
      <c r="I12" s="17"/>
      <c r="J12" s="17"/>
      <c r="K12" s="17"/>
      <c r="L12" s="17"/>
      <c r="M12" s="17"/>
      <c r="O12" s="36"/>
      <c r="P12" s="36"/>
      <c r="Q12" s="36"/>
      <c r="R12" s="27"/>
      <c r="S12" s="17"/>
    </row>
    <row r="13" spans="2:27" x14ac:dyDescent="0.25">
      <c r="B13" s="19" t="s">
        <v>118</v>
      </c>
      <c r="D13" s="567">
        <f>'Cash flow Working'!B27</f>
        <v>0</v>
      </c>
      <c r="E13" s="567">
        <v>0</v>
      </c>
      <c r="F13" s="36"/>
      <c r="G13" s="36"/>
      <c r="H13" s="17"/>
      <c r="I13" s="17"/>
      <c r="J13" s="17"/>
      <c r="K13" s="17"/>
      <c r="L13" s="17"/>
      <c r="M13" s="17"/>
      <c r="O13" s="36"/>
      <c r="P13" s="36"/>
      <c r="Q13" s="36"/>
      <c r="R13" s="27"/>
      <c r="S13" s="17"/>
    </row>
    <row r="14" spans="2:27" x14ac:dyDescent="0.25">
      <c r="B14" s="19" t="s">
        <v>116</v>
      </c>
      <c r="D14" s="567">
        <f>+'Cash flow Working'!B25</f>
        <v>-27.460329881389299</v>
      </c>
      <c r="E14" s="567">
        <v>-20.082086119738587</v>
      </c>
      <c r="F14" s="36"/>
      <c r="G14" s="36"/>
      <c r="H14" s="17"/>
      <c r="I14" s="17"/>
      <c r="J14" s="17"/>
      <c r="K14" s="17"/>
      <c r="L14" s="17"/>
      <c r="M14" s="17"/>
      <c r="O14" s="36"/>
      <c r="P14" s="36"/>
      <c r="Q14" s="36"/>
      <c r="R14" s="27"/>
      <c r="S14" s="17"/>
    </row>
    <row r="15" spans="2:27" x14ac:dyDescent="0.25">
      <c r="B15" s="19" t="s">
        <v>210</v>
      </c>
      <c r="D15" s="567">
        <f>'Cash flow Working'!B28</f>
        <v>0</v>
      </c>
      <c r="E15" s="567">
        <v>0</v>
      </c>
      <c r="F15" s="36"/>
      <c r="G15" s="36"/>
      <c r="H15" s="17"/>
      <c r="I15" s="17"/>
      <c r="J15" s="17"/>
      <c r="K15" s="17"/>
      <c r="L15" s="17"/>
      <c r="M15" s="17"/>
      <c r="O15" s="36"/>
      <c r="P15" s="36"/>
      <c r="Q15" s="36"/>
      <c r="R15" s="27"/>
      <c r="S15" s="27"/>
      <c r="T15" s="27"/>
      <c r="U15" s="27"/>
      <c r="V15" s="3"/>
    </row>
    <row r="16" spans="2:27" x14ac:dyDescent="0.25">
      <c r="B16" s="19" t="s">
        <v>211</v>
      </c>
      <c r="D16" s="567">
        <f>'Cash flow Working'!B29</f>
        <v>106.28667715479301</v>
      </c>
      <c r="E16" s="567">
        <v>67.661123118596151</v>
      </c>
      <c r="F16" s="36"/>
      <c r="G16" s="36"/>
      <c r="H16" s="17"/>
      <c r="I16" s="17"/>
      <c r="J16" s="17"/>
      <c r="K16" s="17"/>
      <c r="L16" s="17"/>
      <c r="M16" s="17"/>
      <c r="O16" s="36"/>
      <c r="P16" s="36"/>
      <c r="Q16" s="36"/>
      <c r="R16" s="27"/>
      <c r="S16" s="27"/>
      <c r="T16" s="27"/>
      <c r="V16" s="3"/>
    </row>
    <row r="17" spans="2:22" x14ac:dyDescent="0.25">
      <c r="B17" s="19" t="s">
        <v>122</v>
      </c>
      <c r="D17" s="567">
        <f>'Cash flow Working'!B31</f>
        <v>0</v>
      </c>
      <c r="E17" s="567">
        <v>0</v>
      </c>
      <c r="F17" s="36"/>
      <c r="G17" s="36"/>
      <c r="H17" s="17"/>
      <c r="I17" s="17"/>
      <c r="J17" s="17"/>
      <c r="K17" s="17"/>
      <c r="L17" s="17"/>
      <c r="M17" s="17"/>
      <c r="O17" s="36"/>
      <c r="P17" s="36"/>
      <c r="Q17" s="36"/>
      <c r="R17" s="27"/>
      <c r="S17" s="27"/>
      <c r="T17" s="27"/>
      <c r="V17" s="3"/>
    </row>
    <row r="18" spans="2:22" x14ac:dyDescent="0.25">
      <c r="B18" s="19" t="s">
        <v>212</v>
      </c>
      <c r="D18" s="567">
        <f>'17-25'!D177</f>
        <v>26.328630479701321</v>
      </c>
      <c r="E18" s="567">
        <v>-77</v>
      </c>
      <c r="F18" s="36"/>
      <c r="G18" s="36"/>
      <c r="H18" s="17"/>
      <c r="I18" s="17"/>
      <c r="J18" s="17"/>
      <c r="K18" s="17"/>
      <c r="L18" s="17"/>
      <c r="M18" s="17"/>
      <c r="O18" s="36"/>
      <c r="P18" s="36"/>
      <c r="Q18" s="36"/>
      <c r="R18" s="27"/>
      <c r="S18" s="986"/>
      <c r="T18" s="986"/>
      <c r="U18" s="986"/>
    </row>
    <row r="19" spans="2:22" x14ac:dyDescent="0.25">
      <c r="B19" s="19" t="s">
        <v>213</v>
      </c>
      <c r="D19" s="578">
        <f>'Cash flow Working'!B32</f>
        <v>0</v>
      </c>
      <c r="E19" s="578">
        <v>-66.197828466934098</v>
      </c>
      <c r="F19" s="36"/>
      <c r="G19" s="36"/>
      <c r="H19" s="17"/>
      <c r="I19" s="17"/>
      <c r="J19" s="17"/>
      <c r="K19" s="17"/>
      <c r="L19" s="17"/>
      <c r="M19" s="17"/>
      <c r="O19" s="36"/>
      <c r="P19" s="36"/>
      <c r="Q19" s="36"/>
      <c r="R19" s="27"/>
      <c r="S19" s="986"/>
      <c r="T19" s="986"/>
      <c r="U19" s="986"/>
    </row>
    <row r="20" spans="2:22" x14ac:dyDescent="0.25">
      <c r="B20" s="194" t="s">
        <v>214</v>
      </c>
      <c r="C20" s="194"/>
      <c r="D20" s="579">
        <f>SUM(D8:D19)</f>
        <v>2809.9514480198382</v>
      </c>
      <c r="E20" s="579">
        <f>SUM(E8:E19)</f>
        <v>3999.2523802613132</v>
      </c>
      <c r="F20" s="278"/>
      <c r="G20" s="278"/>
      <c r="H20" s="278"/>
      <c r="I20" s="278"/>
      <c r="J20" s="278"/>
      <c r="K20" s="278"/>
      <c r="L20" s="278"/>
      <c r="M20" s="278"/>
      <c r="O20" s="278"/>
      <c r="P20" s="494"/>
      <c r="Q20" s="36"/>
      <c r="S20" s="986"/>
      <c r="T20" s="986"/>
      <c r="U20" s="986"/>
    </row>
    <row r="21" spans="2:22" x14ac:dyDescent="0.25">
      <c r="B21" s="194"/>
      <c r="C21" s="194"/>
      <c r="D21" s="580"/>
      <c r="E21" s="580"/>
      <c r="F21" s="278"/>
      <c r="G21" s="278"/>
      <c r="H21" s="278"/>
      <c r="I21" s="278"/>
      <c r="J21" s="278"/>
      <c r="K21" s="278"/>
      <c r="L21" s="278"/>
      <c r="M21" s="278"/>
      <c r="O21" s="278"/>
      <c r="P21" s="494"/>
      <c r="Q21" s="36"/>
      <c r="S21" s="986"/>
      <c r="T21" s="986"/>
      <c r="U21" s="986"/>
    </row>
    <row r="22" spans="2:22" x14ac:dyDescent="0.25">
      <c r="B22" s="194" t="s">
        <v>215</v>
      </c>
      <c r="C22" s="194"/>
      <c r="D22" s="581"/>
      <c r="E22" s="581"/>
      <c r="F22" s="17"/>
      <c r="G22" s="17"/>
      <c r="H22" s="17"/>
      <c r="I22" s="17"/>
      <c r="J22" s="17"/>
      <c r="K22" s="17"/>
      <c r="L22" s="17"/>
      <c r="M22" s="17"/>
      <c r="O22" s="17"/>
      <c r="P22" s="17"/>
      <c r="Q22" s="17"/>
      <c r="S22" s="986"/>
      <c r="T22" s="986"/>
      <c r="U22" s="986"/>
    </row>
    <row r="23" spans="2:22" x14ac:dyDescent="0.25">
      <c r="B23" s="19" t="s">
        <v>126</v>
      </c>
      <c r="D23" s="582">
        <f>'Cash flow Working'!B36</f>
        <v>2362.2392320569079</v>
      </c>
      <c r="E23" s="567">
        <v>-2659</v>
      </c>
      <c r="F23" s="36"/>
      <c r="G23" s="36"/>
      <c r="H23" s="17"/>
      <c r="I23" s="17"/>
      <c r="J23" s="17"/>
      <c r="K23" s="17"/>
      <c r="L23" s="17"/>
      <c r="M23" s="17"/>
      <c r="O23" s="36"/>
      <c r="P23" s="36"/>
      <c r="Q23" s="36"/>
      <c r="R23" s="27"/>
      <c r="S23" s="17"/>
      <c r="T23" s="17"/>
      <c r="V23" s="17"/>
    </row>
    <row r="24" spans="2:22" x14ac:dyDescent="0.25">
      <c r="B24" s="19" t="s">
        <v>128</v>
      </c>
      <c r="D24" s="582">
        <f>'Cash flow Working'!B38</f>
        <v>19.102757191559999</v>
      </c>
      <c r="E24" s="567">
        <v>-32.413882651959803</v>
      </c>
      <c r="F24" s="36"/>
      <c r="G24" s="36"/>
      <c r="H24" s="17"/>
      <c r="I24" s="17"/>
      <c r="J24" s="17"/>
      <c r="K24" s="17"/>
      <c r="L24" s="17"/>
      <c r="M24" s="17"/>
      <c r="O24" s="36"/>
      <c r="P24" s="36"/>
      <c r="Q24" s="36"/>
      <c r="R24" s="27"/>
      <c r="S24" s="17"/>
      <c r="T24" s="17"/>
      <c r="V24" s="17"/>
    </row>
    <row r="25" spans="2:22" x14ac:dyDescent="0.25">
      <c r="B25" s="19" t="s">
        <v>216</v>
      </c>
      <c r="D25" s="582">
        <f>'Cash flow Working'!B39</f>
        <v>39.614498965349995</v>
      </c>
      <c r="E25" s="567">
        <v>-39.614498965349995</v>
      </c>
      <c r="F25" s="36"/>
      <c r="G25" s="36"/>
      <c r="H25" s="17"/>
      <c r="I25" s="17"/>
      <c r="J25" s="17"/>
      <c r="K25" s="17"/>
      <c r="L25" s="17"/>
      <c r="M25" s="17"/>
      <c r="O25" s="36"/>
      <c r="P25" s="36"/>
      <c r="Q25" s="36"/>
      <c r="R25" s="27"/>
      <c r="S25" s="17"/>
      <c r="T25" s="181"/>
      <c r="V25" s="17"/>
    </row>
    <row r="26" spans="2:22" x14ac:dyDescent="0.25">
      <c r="B26" s="19" t="s">
        <v>130</v>
      </c>
      <c r="D26" s="582">
        <f>'Cash flow Working'!B40</f>
        <v>356.9876387429473</v>
      </c>
      <c r="E26" s="567">
        <v>-1403.3932997681006</v>
      </c>
      <c r="F26" s="36"/>
      <c r="G26" s="36"/>
      <c r="H26" s="17"/>
      <c r="I26" s="17"/>
      <c r="J26" s="17"/>
      <c r="K26" s="17"/>
      <c r="L26" s="17"/>
      <c r="M26" s="17"/>
      <c r="O26" s="36"/>
      <c r="P26" s="36"/>
      <c r="Q26" s="36"/>
      <c r="R26" s="27"/>
      <c r="S26" s="17"/>
      <c r="T26" s="17"/>
      <c r="V26" s="17"/>
    </row>
    <row r="27" spans="2:22" x14ac:dyDescent="0.25">
      <c r="B27" s="19" t="s">
        <v>131</v>
      </c>
      <c r="D27" s="582">
        <f>'Cash flow Working'!B41</f>
        <v>-3245.8030996380867</v>
      </c>
      <c r="E27" s="567">
        <v>1392.988716875202</v>
      </c>
      <c r="F27" s="36"/>
      <c r="G27" s="36"/>
      <c r="H27" s="17"/>
      <c r="I27" s="17"/>
      <c r="J27" s="17"/>
      <c r="K27" s="17"/>
      <c r="L27" s="17"/>
      <c r="M27" s="17"/>
      <c r="O27" s="36"/>
      <c r="P27" s="36"/>
      <c r="Q27" s="36"/>
      <c r="R27" s="27"/>
      <c r="S27" s="17"/>
      <c r="T27" s="17"/>
      <c r="U27" s="17"/>
    </row>
    <row r="28" spans="2:22" x14ac:dyDescent="0.25">
      <c r="B28" s="19" t="s">
        <v>132</v>
      </c>
      <c r="D28" s="582">
        <f>'Cash flow Working'!B42</f>
        <v>-1144.5197594386209</v>
      </c>
      <c r="E28" s="567">
        <v>3733.9803670284628</v>
      </c>
      <c r="F28" s="36"/>
      <c r="G28" s="36"/>
      <c r="H28" s="17"/>
      <c r="I28" s="17"/>
      <c r="J28" s="17"/>
      <c r="K28" s="17"/>
      <c r="L28" s="17"/>
      <c r="M28" s="17"/>
      <c r="O28" s="36"/>
      <c r="P28" s="36"/>
      <c r="Q28" s="36"/>
      <c r="R28" s="27"/>
      <c r="S28" s="17"/>
      <c r="T28" s="17"/>
      <c r="U28" s="17"/>
    </row>
    <row r="29" spans="2:22" x14ac:dyDescent="0.25">
      <c r="B29" s="19" t="s">
        <v>133</v>
      </c>
      <c r="D29" s="582">
        <f>'Cash flow Working'!B43</f>
        <v>-422.6567496217981</v>
      </c>
      <c r="E29" s="567">
        <v>37.297619846907082</v>
      </c>
      <c r="F29" s="36"/>
      <c r="G29" s="36"/>
      <c r="H29" s="17"/>
      <c r="I29" s="17"/>
      <c r="J29" s="17"/>
      <c r="K29" s="17"/>
      <c r="L29" s="17"/>
      <c r="M29" s="17"/>
      <c r="O29" s="36"/>
      <c r="P29" s="36"/>
      <c r="Q29" s="36"/>
      <c r="R29" s="27"/>
      <c r="S29" s="17"/>
      <c r="T29" s="17"/>
      <c r="U29" s="17"/>
    </row>
    <row r="30" spans="2:22" x14ac:dyDescent="0.25">
      <c r="B30" s="19" t="s">
        <v>134</v>
      </c>
      <c r="D30" s="582">
        <f>'Cash flow Working'!B44</f>
        <v>-149.84705516846248</v>
      </c>
      <c r="E30" s="567">
        <v>197.74239859430008</v>
      </c>
      <c r="F30" s="36"/>
      <c r="G30" s="36"/>
      <c r="H30" s="17"/>
      <c r="I30" s="17"/>
      <c r="J30" s="17"/>
      <c r="K30" s="17"/>
      <c r="L30" s="17"/>
      <c r="M30" s="17"/>
      <c r="O30" s="36"/>
      <c r="P30" s="36"/>
      <c r="Q30" s="36"/>
      <c r="R30" s="27"/>
      <c r="S30" s="17"/>
      <c r="T30" s="17"/>
      <c r="U30" s="17"/>
    </row>
    <row r="31" spans="2:22" x14ac:dyDescent="0.25">
      <c r="B31" s="194" t="s">
        <v>217</v>
      </c>
      <c r="C31" s="194"/>
      <c r="D31" s="583">
        <f>SUM(D20:D30)+0.5</f>
        <v>625.56891110963647</v>
      </c>
      <c r="E31" s="583">
        <f>SUM(E20:E30)+0.7</f>
        <v>5227.5398012207743</v>
      </c>
      <c r="F31" s="278"/>
      <c r="G31" s="278"/>
      <c r="H31" s="278"/>
      <c r="I31" s="278"/>
      <c r="J31" s="278"/>
      <c r="K31" s="278"/>
      <c r="L31" s="278"/>
      <c r="M31" s="278"/>
      <c r="O31" s="278"/>
      <c r="P31" s="278"/>
      <c r="Q31" s="36"/>
      <c r="R31" s="17"/>
      <c r="S31" s="17"/>
      <c r="T31" s="17"/>
      <c r="U31" s="17"/>
      <c r="V31" s="17"/>
    </row>
    <row r="32" spans="2:22" x14ac:dyDescent="0.25">
      <c r="B32" s="19" t="s">
        <v>218</v>
      </c>
      <c r="D32" s="578">
        <f>'Cash flow Working'!B46</f>
        <v>868.38858860520952</v>
      </c>
      <c r="E32" s="567">
        <v>5.6546933566000916</v>
      </c>
      <c r="F32" s="36"/>
      <c r="G32" s="36"/>
      <c r="H32" s="17"/>
      <c r="I32" s="17"/>
      <c r="J32" s="17"/>
      <c r="K32" s="17"/>
      <c r="L32" s="17"/>
      <c r="M32" s="17"/>
      <c r="O32" s="36"/>
      <c r="P32" s="36"/>
      <c r="Q32" s="36"/>
      <c r="S32" s="17"/>
      <c r="T32" s="17"/>
    </row>
    <row r="33" spans="2:21" x14ac:dyDescent="0.25">
      <c r="B33" s="194" t="s">
        <v>219</v>
      </c>
      <c r="C33" s="194"/>
      <c r="D33" s="579">
        <f>SUM(D31:D32)+0.4</f>
        <v>1494.3574997148462</v>
      </c>
      <c r="E33" s="579">
        <f>SUM(E31:E32)+1</f>
        <v>5234.1944945773739</v>
      </c>
      <c r="F33" s="278"/>
      <c r="G33" s="278"/>
      <c r="H33" s="278"/>
      <c r="I33" s="278"/>
      <c r="J33" s="278"/>
      <c r="K33" s="278"/>
      <c r="L33" s="278"/>
      <c r="M33" s="278"/>
      <c r="O33" s="278"/>
      <c r="P33" s="278"/>
      <c r="Q33" s="36"/>
      <c r="S33" s="17"/>
      <c r="T33" s="17"/>
      <c r="U33" s="17"/>
    </row>
    <row r="34" spans="2:21" x14ac:dyDescent="0.25">
      <c r="B34" s="39"/>
      <c r="C34" s="39"/>
      <c r="D34" s="584"/>
      <c r="E34" s="584"/>
      <c r="F34" s="17"/>
      <c r="G34" s="17"/>
      <c r="H34" s="17"/>
      <c r="I34" s="17"/>
      <c r="J34" s="17"/>
      <c r="K34" s="17"/>
      <c r="L34" s="17"/>
      <c r="M34" s="17"/>
      <c r="O34" s="17"/>
      <c r="P34" s="17"/>
      <c r="Q34" s="17"/>
    </row>
    <row r="35" spans="2:21" x14ac:dyDescent="0.25">
      <c r="B35" s="194" t="s">
        <v>220</v>
      </c>
      <c r="C35" s="194"/>
      <c r="D35" s="585"/>
      <c r="E35" s="585"/>
      <c r="F35" s="17"/>
      <c r="G35" s="17"/>
      <c r="H35" s="17"/>
      <c r="I35" s="17"/>
      <c r="J35" s="17"/>
      <c r="K35" s="17"/>
      <c r="L35" s="17"/>
      <c r="M35" s="17"/>
      <c r="O35" s="17"/>
      <c r="P35" s="17"/>
      <c r="Q35" s="17"/>
    </row>
    <row r="36" spans="2:21" x14ac:dyDescent="0.25">
      <c r="B36" s="194"/>
      <c r="C36" s="194"/>
      <c r="D36" s="585"/>
      <c r="E36" s="585"/>
      <c r="F36" s="17"/>
      <c r="G36" s="17"/>
      <c r="H36" s="17"/>
      <c r="I36" s="17"/>
      <c r="J36" s="17"/>
      <c r="K36" s="17"/>
      <c r="L36" s="17"/>
      <c r="M36" s="17"/>
      <c r="O36" s="17"/>
      <c r="P36" s="17"/>
      <c r="Q36" s="17"/>
    </row>
    <row r="37" spans="2:21" x14ac:dyDescent="0.25">
      <c r="B37" s="19" t="s">
        <v>137</v>
      </c>
      <c r="D37" s="578">
        <f>'Cash flow Working'!B49</f>
        <v>-2079.3360278999999</v>
      </c>
      <c r="E37" s="567">
        <v>-4216.59084270945</v>
      </c>
      <c r="F37" s="36"/>
      <c r="G37" s="36"/>
      <c r="H37" s="17"/>
      <c r="I37" s="17"/>
      <c r="J37" s="17"/>
      <c r="K37" s="17"/>
      <c r="L37" s="17"/>
      <c r="M37" s="17"/>
      <c r="O37" s="36"/>
      <c r="P37" s="36"/>
      <c r="Q37" s="36"/>
      <c r="S37" s="17"/>
      <c r="T37" s="17"/>
    </row>
    <row r="38" spans="2:21" x14ac:dyDescent="0.25">
      <c r="B38" s="19" t="s">
        <v>221</v>
      </c>
      <c r="D38" s="582">
        <f>'Cash flow Working'!B50</f>
        <v>41.528160000000014</v>
      </c>
      <c r="E38" s="567">
        <v>4.0003500159970704</v>
      </c>
      <c r="F38" s="36"/>
      <c r="G38" s="36"/>
      <c r="H38" s="17"/>
      <c r="I38" s="17"/>
      <c r="J38" s="17"/>
      <c r="K38" s="17"/>
      <c r="L38" s="17"/>
      <c r="M38" s="17"/>
      <c r="O38" s="36"/>
      <c r="P38" s="36"/>
      <c r="Q38" s="36"/>
      <c r="S38" s="17"/>
      <c r="T38" s="17"/>
    </row>
    <row r="39" spans="2:21" x14ac:dyDescent="0.25">
      <c r="B39" s="19" t="s">
        <v>139</v>
      </c>
      <c r="D39" s="578">
        <f>'Cash flow Working'!B51</f>
        <v>17.961626000000003</v>
      </c>
      <c r="E39" s="567">
        <v>3.2090440000000022</v>
      </c>
      <c r="F39" s="36"/>
      <c r="G39" s="36"/>
      <c r="H39" s="17"/>
      <c r="I39" s="17"/>
      <c r="J39" s="17"/>
      <c r="K39" s="17"/>
      <c r="L39" s="17"/>
      <c r="M39" s="17"/>
      <c r="O39" s="36"/>
      <c r="P39" s="36"/>
      <c r="Q39" s="36"/>
      <c r="S39" s="17"/>
      <c r="T39" s="17"/>
    </row>
    <row r="40" spans="2:21" x14ac:dyDescent="0.25">
      <c r="B40" s="19" t="s">
        <v>140</v>
      </c>
      <c r="D40" s="578">
        <f>'Cash flow Working'!B52</f>
        <v>2405.4937888518093</v>
      </c>
      <c r="E40" s="567">
        <v>-2382.0539042870882</v>
      </c>
      <c r="F40" s="36"/>
      <c r="G40" s="36"/>
      <c r="H40" s="17"/>
      <c r="I40" s="17"/>
      <c r="J40" s="17"/>
      <c r="K40" s="17"/>
      <c r="L40" s="17"/>
      <c r="M40" s="17"/>
      <c r="O40" s="36"/>
      <c r="P40" s="36"/>
      <c r="Q40" s="36"/>
      <c r="S40" s="17"/>
      <c r="T40" s="17"/>
    </row>
    <row r="41" spans="2:21" x14ac:dyDescent="0.25">
      <c r="B41" s="194" t="s">
        <v>222</v>
      </c>
      <c r="C41" s="194"/>
      <c r="D41" s="579">
        <f>SUM(D37:D40)-0.1</f>
        <v>385.54754695180952</v>
      </c>
      <c r="E41" s="579">
        <f>SUM(E37:E40)-1</f>
        <v>-6592.4353529805412</v>
      </c>
      <c r="F41" s="36"/>
      <c r="G41" s="36"/>
      <c r="H41" s="17"/>
      <c r="I41" s="17"/>
      <c r="J41" s="17"/>
      <c r="K41" s="17"/>
      <c r="L41" s="17"/>
      <c r="M41" s="17"/>
      <c r="O41" s="36"/>
      <c r="P41" s="36"/>
      <c r="Q41" s="36"/>
      <c r="S41" s="17"/>
      <c r="T41" s="17"/>
    </row>
    <row r="42" spans="2:21" x14ac:dyDescent="0.25">
      <c r="B42" s="39"/>
      <c r="C42" s="39"/>
      <c r="D42" s="584"/>
      <c r="E42" s="584"/>
      <c r="F42" s="36"/>
      <c r="G42" s="36"/>
      <c r="H42" s="17"/>
      <c r="I42" s="17"/>
      <c r="J42" s="17"/>
      <c r="K42" s="17"/>
      <c r="L42" s="17"/>
      <c r="M42" s="17"/>
      <c r="O42" s="36"/>
      <c r="P42" s="36"/>
      <c r="Q42" s="36"/>
      <c r="S42" s="17"/>
      <c r="T42" s="17"/>
    </row>
    <row r="43" spans="2:21" x14ac:dyDescent="0.25">
      <c r="B43" s="194" t="s">
        <v>223</v>
      </c>
      <c r="C43" s="194"/>
      <c r="D43" s="580"/>
      <c r="E43" s="580"/>
      <c r="F43" s="36"/>
      <c r="G43" s="36"/>
      <c r="H43" s="17"/>
      <c r="I43" s="17"/>
      <c r="J43" s="17"/>
      <c r="K43" s="17"/>
      <c r="L43" s="17"/>
      <c r="M43" s="17"/>
      <c r="O43" s="36"/>
      <c r="P43" s="36"/>
      <c r="Q43" s="36"/>
      <c r="S43" s="17"/>
      <c r="T43" s="17"/>
    </row>
    <row r="44" spans="2:21" x14ac:dyDescent="0.25">
      <c r="B44" s="495" t="s">
        <v>224</v>
      </c>
      <c r="C44" s="495"/>
      <c r="D44" s="578">
        <f>'Cash flow Working'!B54</f>
        <v>-432.80306776432542</v>
      </c>
      <c r="E44" s="567">
        <v>-309.16161424999996</v>
      </c>
      <c r="F44" s="36"/>
      <c r="G44" s="36"/>
      <c r="H44" s="17"/>
      <c r="I44" s="17"/>
      <c r="J44" s="17"/>
      <c r="K44" s="17"/>
      <c r="L44" s="17"/>
      <c r="M44" s="17"/>
      <c r="O44" s="36"/>
      <c r="P44" s="36"/>
      <c r="Q44" s="36"/>
      <c r="S44" s="17"/>
      <c r="T44" s="17"/>
    </row>
    <row r="45" spans="2:21" x14ac:dyDescent="0.25">
      <c r="B45" s="495" t="s">
        <v>143</v>
      </c>
      <c r="C45" s="495"/>
      <c r="D45" s="578">
        <f>'Cash flow Working'!B55</f>
        <v>163.465</v>
      </c>
      <c r="E45" s="567"/>
      <c r="F45" s="36"/>
      <c r="G45" s="36"/>
      <c r="H45" s="17"/>
      <c r="I45" s="17"/>
      <c r="J45" s="17"/>
      <c r="K45" s="17"/>
      <c r="L45" s="17"/>
      <c r="M45" s="17"/>
      <c r="O45" s="36"/>
      <c r="P45" s="36"/>
      <c r="Q45" s="36"/>
      <c r="S45" s="17"/>
      <c r="T45" s="17"/>
    </row>
    <row r="46" spans="2:21" x14ac:dyDescent="0.25">
      <c r="B46" s="194" t="s">
        <v>225</v>
      </c>
      <c r="C46" s="194"/>
      <c r="D46" s="579">
        <f>SUM(D44:D45)</f>
        <v>-269.33806776432539</v>
      </c>
      <c r="E46" s="579">
        <f>SUM(E44:E44)</f>
        <v>-309.16161424999996</v>
      </c>
      <c r="F46" s="17"/>
      <c r="G46" s="17"/>
      <c r="H46" s="17"/>
      <c r="I46" s="17"/>
      <c r="J46" s="17"/>
      <c r="K46" s="17"/>
      <c r="L46" s="17"/>
      <c r="M46" s="17"/>
      <c r="O46" s="17"/>
      <c r="P46" s="17"/>
      <c r="Q46" s="17"/>
    </row>
    <row r="47" spans="2:21" x14ac:dyDescent="0.25">
      <c r="B47" s="39"/>
      <c r="C47" s="39"/>
      <c r="D47" s="584"/>
      <c r="E47" s="584"/>
      <c r="F47" s="36"/>
      <c r="G47" s="36"/>
      <c r="H47" s="17"/>
      <c r="I47" s="17"/>
      <c r="J47" s="17"/>
      <c r="K47" s="17"/>
      <c r="L47" s="17"/>
      <c r="M47" s="17"/>
      <c r="O47" s="36"/>
      <c r="P47" s="36"/>
      <c r="Q47" s="36"/>
      <c r="S47" s="17"/>
      <c r="T47" s="17"/>
    </row>
    <row r="48" spans="2:21" x14ac:dyDescent="0.25">
      <c r="B48" s="194" t="s">
        <v>226</v>
      </c>
      <c r="C48" s="194"/>
      <c r="D48" s="580">
        <f>D33+D41+D46</f>
        <v>1610.5669789023304</v>
      </c>
      <c r="E48" s="580">
        <f>E33+E41+E46</f>
        <v>-1667.4024726531673</v>
      </c>
      <c r="F48" s="36"/>
      <c r="G48" s="36"/>
      <c r="H48" s="17"/>
      <c r="I48" s="17"/>
      <c r="J48" s="17"/>
      <c r="K48" s="17"/>
      <c r="L48" s="17"/>
      <c r="M48" s="17"/>
      <c r="O48" s="36"/>
      <c r="P48" s="36"/>
      <c r="Q48" s="36"/>
      <c r="S48" s="17"/>
      <c r="T48" s="17"/>
    </row>
    <row r="49" spans="2:27" x14ac:dyDescent="0.25">
      <c r="B49" s="19" t="s">
        <v>227</v>
      </c>
      <c r="D49" s="578">
        <f>E50</f>
        <v>3886.7764038070027</v>
      </c>
      <c r="E49" s="567">
        <v>5553.6788764601697</v>
      </c>
      <c r="F49" s="36"/>
      <c r="G49" s="36"/>
      <c r="H49" s="17"/>
      <c r="I49" s="17"/>
      <c r="J49" s="17"/>
      <c r="K49" s="17"/>
      <c r="L49" s="17"/>
      <c r="M49" s="17"/>
      <c r="O49" s="36"/>
      <c r="P49" s="36"/>
      <c r="Q49" s="36"/>
      <c r="S49" s="17"/>
      <c r="T49" s="17"/>
    </row>
    <row r="50" spans="2:27" x14ac:dyDescent="0.25">
      <c r="B50" s="194" t="s">
        <v>228</v>
      </c>
      <c r="C50" s="194"/>
      <c r="D50" s="586">
        <f>SUM(D48:D49)</f>
        <v>5497.3433827093331</v>
      </c>
      <c r="E50" s="586">
        <f>SUM(E48:E49)+0.5</f>
        <v>3886.7764038070027</v>
      </c>
      <c r="F50" s="278"/>
      <c r="G50" s="278"/>
      <c r="H50" s="278"/>
      <c r="I50" s="278"/>
      <c r="J50" s="278"/>
      <c r="K50" s="278"/>
      <c r="L50" s="278"/>
      <c r="M50" s="278"/>
      <c r="O50" s="278"/>
      <c r="P50" s="278"/>
      <c r="Q50" s="36"/>
      <c r="S50" s="17"/>
      <c r="T50" s="17"/>
    </row>
    <row r="51" spans="2:27" x14ac:dyDescent="0.25">
      <c r="D51" s="578"/>
      <c r="E51" s="578"/>
      <c r="F51" s="17"/>
      <c r="G51" s="17"/>
      <c r="H51" s="17"/>
      <c r="I51" s="17"/>
      <c r="J51" s="17"/>
      <c r="K51" s="17"/>
      <c r="L51" s="17"/>
      <c r="M51" s="17"/>
      <c r="O51" s="17"/>
      <c r="P51" s="17"/>
      <c r="Q51" s="17"/>
    </row>
    <row r="52" spans="2:27" x14ac:dyDescent="0.25">
      <c r="B52" s="39" t="s">
        <v>229</v>
      </c>
      <c r="C52" s="39"/>
      <c r="D52" s="578"/>
      <c r="E52" s="578"/>
      <c r="F52" s="278"/>
      <c r="G52" s="278"/>
      <c r="H52" s="278"/>
      <c r="I52" s="278"/>
      <c r="J52" s="278"/>
      <c r="K52" s="278"/>
      <c r="L52" s="278"/>
      <c r="M52" s="278"/>
      <c r="O52" s="278"/>
      <c r="P52" s="496"/>
      <c r="Q52" s="497"/>
      <c r="S52" s="17"/>
      <c r="T52" s="17"/>
    </row>
    <row r="53" spans="2:27" x14ac:dyDescent="0.25">
      <c r="B53" s="643" t="s">
        <v>230</v>
      </c>
      <c r="C53" s="498"/>
      <c r="D53" s="568">
        <v>0</v>
      </c>
      <c r="E53" s="568">
        <v>0</v>
      </c>
      <c r="F53" s="36"/>
      <c r="G53" s="36"/>
      <c r="H53" s="17"/>
      <c r="I53" s="17"/>
      <c r="J53" s="17"/>
      <c r="K53" s="17"/>
      <c r="L53" s="17"/>
      <c r="M53" s="17"/>
      <c r="N53" s="17">
        <v>0</v>
      </c>
      <c r="O53" s="36">
        <v>137925490</v>
      </c>
      <c r="P53" s="36"/>
      <c r="Q53" s="36"/>
      <c r="S53" s="17"/>
      <c r="T53" s="17"/>
    </row>
    <row r="54" spans="2:27" x14ac:dyDescent="0.25">
      <c r="B54" s="644" t="s">
        <v>231</v>
      </c>
      <c r="C54" s="499"/>
      <c r="D54" s="578"/>
      <c r="E54" s="578"/>
      <c r="F54" s="3"/>
      <c r="G54" s="3"/>
      <c r="H54" s="3"/>
      <c r="I54" s="3"/>
      <c r="J54" s="3"/>
      <c r="K54" s="3"/>
      <c r="L54" s="3"/>
      <c r="M54" s="3"/>
      <c r="O54" s="3"/>
      <c r="P54" s="15"/>
      <c r="Q54" s="500"/>
      <c r="S54" s="406"/>
      <c r="T54" s="406"/>
      <c r="AA54" s="17"/>
    </row>
    <row r="55" spans="2:27" x14ac:dyDescent="0.25">
      <c r="B55" s="645" t="s">
        <v>232</v>
      </c>
      <c r="C55" s="501"/>
      <c r="D55" s="568">
        <f>'8-10'!I56</f>
        <v>4786.6035737155271</v>
      </c>
      <c r="E55" s="567">
        <v>2722.5791630040003</v>
      </c>
      <c r="F55" s="17"/>
      <c r="G55" s="17"/>
      <c r="H55" s="17"/>
      <c r="I55" s="17"/>
      <c r="J55" s="17"/>
      <c r="K55" s="17"/>
      <c r="L55" s="17"/>
      <c r="M55" s="17"/>
      <c r="O55" s="17"/>
      <c r="P55" s="17"/>
      <c r="Q55" s="17"/>
      <c r="S55" s="17"/>
    </row>
    <row r="56" spans="2:27" x14ac:dyDescent="0.25">
      <c r="B56" s="645" t="s">
        <v>233</v>
      </c>
      <c r="C56" s="501"/>
      <c r="D56" s="568">
        <f>'8-10'!I57</f>
        <v>711.04921469999999</v>
      </c>
      <c r="E56" s="567">
        <v>64.1944163</v>
      </c>
      <c r="F56" s="17"/>
      <c r="G56" s="17"/>
      <c r="H56" s="17"/>
      <c r="I56" s="17"/>
      <c r="J56" s="17"/>
      <c r="K56" s="17"/>
      <c r="L56" s="17"/>
      <c r="M56" s="17"/>
      <c r="O56" s="17"/>
      <c r="P56" s="17"/>
      <c r="Q56" s="17"/>
    </row>
    <row r="57" spans="2:27" x14ac:dyDescent="0.25">
      <c r="B57" s="645" t="s">
        <v>234</v>
      </c>
      <c r="C57" s="501"/>
      <c r="D57" s="568">
        <f>'8-10'!I58</f>
        <v>0</v>
      </c>
      <c r="E57" s="567">
        <v>1100</v>
      </c>
      <c r="F57" s="17"/>
      <c r="G57" s="17"/>
      <c r="H57" s="17"/>
      <c r="I57" s="17"/>
      <c r="J57" s="17"/>
      <c r="K57" s="17"/>
      <c r="L57" s="17"/>
      <c r="M57" s="17"/>
      <c r="O57" s="36"/>
      <c r="P57" s="36"/>
      <c r="Q57" s="36"/>
      <c r="S57" s="17"/>
      <c r="T57" s="17"/>
    </row>
    <row r="58" spans="2:27" ht="12" thickBot="1" x14ac:dyDescent="0.3">
      <c r="B58" s="490" t="s">
        <v>235</v>
      </c>
      <c r="C58" s="490"/>
      <c r="D58" s="587">
        <f>SUM(D53:D57)</f>
        <v>5497.6527884155275</v>
      </c>
      <c r="E58" s="587">
        <f>SUM(E53:E57)</f>
        <v>3886.7735793040001</v>
      </c>
      <c r="F58" s="17"/>
      <c r="G58" s="17"/>
      <c r="H58" s="17"/>
      <c r="I58" s="17"/>
      <c r="J58" s="17"/>
      <c r="K58" s="17"/>
      <c r="L58" s="17"/>
      <c r="M58" s="17"/>
      <c r="O58" s="36"/>
      <c r="P58" s="181"/>
      <c r="Q58" s="502"/>
      <c r="S58" s="17"/>
      <c r="T58" s="17"/>
    </row>
    <row r="59" spans="2:27" ht="12" thickTop="1" x14ac:dyDescent="0.25">
      <c r="B59" s="122"/>
      <c r="C59" s="122"/>
      <c r="D59" s="578"/>
      <c r="E59" s="578"/>
      <c r="F59" s="17"/>
      <c r="G59" s="17"/>
      <c r="H59" s="17"/>
      <c r="I59" s="17"/>
      <c r="J59" s="17"/>
      <c r="K59" s="17"/>
      <c r="L59" s="17"/>
      <c r="M59" s="17"/>
      <c r="O59" s="36"/>
      <c r="P59" s="36"/>
      <c r="Q59" s="502"/>
      <c r="S59" s="17"/>
      <c r="T59" s="17"/>
    </row>
    <row r="60" spans="2:27" s="447" customFormat="1" x14ac:dyDescent="0.35">
      <c r="B60" s="428" t="s">
        <v>55</v>
      </c>
      <c r="C60" s="428"/>
      <c r="D60" s="388" t="s">
        <v>56</v>
      </c>
      <c r="E60" s="590"/>
      <c r="F60" s="846"/>
      <c r="G60" s="846"/>
      <c r="H60" s="846"/>
      <c r="I60" s="91"/>
      <c r="J60" s="846"/>
      <c r="K60" s="430"/>
      <c r="L60" s="430"/>
      <c r="M60" s="846"/>
      <c r="N60" s="846"/>
      <c r="O60" s="846"/>
      <c r="P60" s="846"/>
      <c r="Q60" s="846"/>
      <c r="R60" s="846"/>
      <c r="S60" s="846"/>
      <c r="T60" s="846"/>
      <c r="U60" s="846"/>
      <c r="V60" s="846"/>
      <c r="W60" s="846"/>
      <c r="X60" s="846"/>
      <c r="Y60" s="846"/>
      <c r="Z60" s="846"/>
      <c r="AA60" s="846"/>
    </row>
    <row r="61" spans="2:27" s="447" customFormat="1" ht="12" x14ac:dyDescent="0.25">
      <c r="B61" s="431" t="s">
        <v>57</v>
      </c>
      <c r="C61" s="431"/>
      <c r="D61" s="764" t="s">
        <v>0</v>
      </c>
      <c r="E61" s="592"/>
      <c r="F61" s="846"/>
      <c r="G61" s="846"/>
      <c r="H61" s="846"/>
      <c r="I61" s="846"/>
      <c r="J61" s="846"/>
      <c r="K61" s="433"/>
      <c r="L61" s="433"/>
      <c r="M61" s="846"/>
      <c r="N61" s="846"/>
      <c r="O61" s="846"/>
      <c r="P61" s="846"/>
      <c r="Q61" s="846"/>
      <c r="R61" s="846"/>
      <c r="S61" s="846"/>
      <c r="T61" s="846"/>
      <c r="U61" s="846"/>
      <c r="V61" s="846"/>
      <c r="W61" s="846"/>
      <c r="X61" s="846"/>
      <c r="Y61" s="846"/>
      <c r="Z61" s="846"/>
      <c r="AA61" s="846"/>
    </row>
    <row r="62" spans="2:27" s="447" customFormat="1" x14ac:dyDescent="0.25">
      <c r="B62" s="941" t="s">
        <v>58</v>
      </c>
      <c r="C62" s="941"/>
      <c r="D62" s="744" t="s">
        <v>59</v>
      </c>
      <c r="E62" s="593"/>
      <c r="F62" s="432"/>
      <c r="G62" s="432"/>
      <c r="H62" s="846"/>
      <c r="I62" s="846"/>
      <c r="J62" s="846"/>
      <c r="K62" s="986"/>
      <c r="L62" s="846"/>
      <c r="M62" s="846"/>
      <c r="N62" s="846"/>
      <c r="O62" s="846"/>
      <c r="P62" s="846"/>
      <c r="Q62" s="846"/>
      <c r="R62" s="846"/>
      <c r="S62" s="846"/>
      <c r="T62" s="846"/>
      <c r="U62" s="846"/>
      <c r="V62" s="846"/>
      <c r="W62" s="846"/>
      <c r="X62" s="846"/>
      <c r="Y62" s="846"/>
      <c r="Z62" s="846"/>
      <c r="AA62" s="846"/>
    </row>
    <row r="63" spans="2:27" s="447" customFormat="1" x14ac:dyDescent="0.25">
      <c r="B63" s="941"/>
      <c r="C63" s="941"/>
      <c r="D63" s="591"/>
      <c r="E63" s="591"/>
      <c r="F63" s="432"/>
      <c r="G63" s="432"/>
      <c r="H63" s="432"/>
      <c r="I63" s="846"/>
      <c r="J63" s="846"/>
      <c r="K63" s="986"/>
      <c r="L63" s="846"/>
      <c r="M63" s="846"/>
      <c r="N63" s="846"/>
      <c r="O63" s="846"/>
      <c r="P63" s="846"/>
      <c r="Q63" s="846"/>
      <c r="R63" s="846"/>
      <c r="S63" s="846"/>
      <c r="T63" s="846"/>
      <c r="U63" s="846"/>
      <c r="V63" s="846"/>
      <c r="W63" s="846"/>
      <c r="X63" s="846"/>
      <c r="Y63" s="846"/>
      <c r="Z63" s="846"/>
      <c r="AA63" s="846"/>
    </row>
    <row r="64" spans="2:27" s="447" customFormat="1" x14ac:dyDescent="0.25">
      <c r="B64" s="941"/>
      <c r="C64" s="941"/>
      <c r="D64" s="591"/>
      <c r="E64" s="591"/>
      <c r="F64" s="432"/>
      <c r="G64" s="432"/>
      <c r="H64" s="432"/>
      <c r="I64" s="846"/>
      <c r="J64" s="846"/>
      <c r="K64" s="986"/>
      <c r="L64" s="846"/>
      <c r="M64" s="846"/>
      <c r="N64" s="846"/>
      <c r="O64" s="846"/>
      <c r="P64" s="846"/>
      <c r="Q64" s="846"/>
      <c r="R64" s="846"/>
      <c r="S64" s="846"/>
      <c r="T64" s="846"/>
      <c r="U64" s="846"/>
      <c r="V64" s="846"/>
      <c r="W64" s="846"/>
      <c r="X64" s="846"/>
      <c r="Y64" s="846"/>
      <c r="Z64" s="846"/>
      <c r="AA64" s="846"/>
    </row>
    <row r="65" spans="2:27" s="447" customFormat="1" x14ac:dyDescent="0.25">
      <c r="B65" s="941"/>
      <c r="C65" s="941"/>
      <c r="D65" s="591"/>
      <c r="E65" s="591"/>
      <c r="F65" s="432"/>
      <c r="G65" s="432"/>
      <c r="H65" s="432"/>
      <c r="I65" s="846"/>
      <c r="J65" s="846"/>
      <c r="K65" s="986"/>
      <c r="L65" s="846"/>
      <c r="M65" s="846"/>
      <c r="N65" s="846"/>
      <c r="O65" s="846"/>
      <c r="P65" s="846"/>
      <c r="Q65" s="846"/>
      <c r="R65" s="846"/>
      <c r="S65" s="846"/>
      <c r="T65" s="846"/>
      <c r="U65" s="846"/>
      <c r="V65" s="846"/>
      <c r="W65" s="846"/>
      <c r="X65" s="846"/>
      <c r="Y65" s="846"/>
      <c r="Z65" s="846"/>
      <c r="AA65" s="846"/>
    </row>
    <row r="66" spans="2:27" s="447" customFormat="1" x14ac:dyDescent="0.25">
      <c r="B66" s="846"/>
      <c r="C66" s="846"/>
      <c r="D66" s="591"/>
      <c r="E66" s="591"/>
      <c r="F66" s="432"/>
      <c r="G66" s="846"/>
      <c r="H66" s="443"/>
      <c r="I66" s="846"/>
      <c r="J66" s="846"/>
      <c r="K66" s="986"/>
      <c r="L66" s="846"/>
      <c r="M66" s="846"/>
      <c r="N66" s="846"/>
      <c r="O66" s="846"/>
      <c r="P66" s="846"/>
      <c r="Q66" s="846"/>
      <c r="R66" s="846"/>
      <c r="S66" s="846"/>
      <c r="T66" s="846"/>
      <c r="U66" s="846"/>
      <c r="V66" s="846"/>
      <c r="W66" s="846"/>
      <c r="X66" s="846"/>
      <c r="Y66" s="846"/>
      <c r="Z66" s="846"/>
      <c r="AA66" s="846"/>
    </row>
    <row r="67" spans="2:27" s="447" customFormat="1" x14ac:dyDescent="0.25">
      <c r="B67" s="846"/>
      <c r="C67" s="846"/>
      <c r="D67" s="1008"/>
      <c r="E67" s="1008"/>
      <c r="F67" s="846"/>
      <c r="G67" s="846"/>
      <c r="H67" s="1009"/>
      <c r="I67" s="846"/>
      <c r="J67" s="846"/>
      <c r="K67" s="986"/>
      <c r="L67" s="846"/>
      <c r="M67" s="846"/>
      <c r="N67" s="846"/>
      <c r="O67" s="846"/>
      <c r="P67" s="846"/>
      <c r="Q67" s="846"/>
      <c r="R67" s="846"/>
      <c r="S67" s="846"/>
      <c r="T67" s="846"/>
      <c r="U67" s="846"/>
      <c r="V67" s="846"/>
      <c r="W67" s="846"/>
      <c r="X67" s="846"/>
      <c r="Y67" s="846"/>
      <c r="Z67" s="846"/>
      <c r="AA67" s="846"/>
    </row>
    <row r="68" spans="2:27" s="447" customFormat="1" x14ac:dyDescent="0.25">
      <c r="B68" s="388" t="e">
        <f>'SOCE '!B50</f>
        <v>#REF!</v>
      </c>
      <c r="C68" s="388"/>
      <c r="D68" s="801" t="s">
        <v>61</v>
      </c>
      <c r="E68" s="766" t="e">
        <f>'SOCE '!G50</f>
        <v>#REF!</v>
      </c>
      <c r="F68" s="39"/>
      <c r="G68" s="846"/>
      <c r="H68" s="1009"/>
      <c r="I68" s="836"/>
      <c r="J68" s="234"/>
      <c r="K68" s="986"/>
      <c r="L68" s="846"/>
      <c r="M68" s="846"/>
      <c r="N68" s="846"/>
      <c r="O68" s="846"/>
      <c r="P68" s="846"/>
      <c r="Q68" s="846"/>
      <c r="R68" s="846"/>
      <c r="S68" s="846"/>
      <c r="T68" s="846"/>
      <c r="U68" s="846"/>
      <c r="V68" s="846"/>
      <c r="W68" s="846"/>
      <c r="X68" s="846"/>
      <c r="Y68" s="846"/>
      <c r="Z68" s="846"/>
      <c r="AA68" s="846"/>
    </row>
    <row r="69" spans="2:27" s="447" customFormat="1" x14ac:dyDescent="0.25">
      <c r="B69" s="941" t="e">
        <f>'SOCE '!B51</f>
        <v>#REF!</v>
      </c>
      <c r="C69" s="941"/>
      <c r="D69" s="799" t="s">
        <v>63</v>
      </c>
      <c r="E69" s="765" t="e">
        <f>'SOCE '!G51</f>
        <v>#REF!</v>
      </c>
      <c r="F69" s="19"/>
      <c r="G69" s="235"/>
      <c r="H69" s="836"/>
      <c r="I69" s="836"/>
      <c r="J69" s="122"/>
      <c r="K69" s="986"/>
      <c r="L69" s="846"/>
      <c r="M69" s="846"/>
      <c r="N69" s="846"/>
      <c r="O69" s="846"/>
      <c r="P69" s="846"/>
      <c r="Q69" s="846"/>
      <c r="R69" s="846"/>
      <c r="S69" s="846"/>
      <c r="T69" s="846"/>
      <c r="U69" s="846"/>
      <c r="V69" s="846"/>
      <c r="W69" s="846"/>
      <c r="X69" s="846"/>
      <c r="Y69" s="846"/>
      <c r="Z69" s="846"/>
      <c r="AA69" s="846"/>
    </row>
    <row r="70" spans="2:27" s="447" customFormat="1" x14ac:dyDescent="0.25">
      <c r="B70" s="941" t="e">
        <f>'SOCE '!B52</f>
        <v>#REF!</v>
      </c>
      <c r="C70" s="941"/>
      <c r="D70" s="800" t="s">
        <v>64</v>
      </c>
      <c r="E70" s="765" t="e">
        <f>'SOCE '!G52</f>
        <v>#REF!</v>
      </c>
      <c r="F70" s="19"/>
      <c r="G70" s="235"/>
      <c r="H70" s="836"/>
      <c r="I70" s="836"/>
      <c r="J70" s="122"/>
      <c r="K70" s="986"/>
      <c r="L70" s="846"/>
      <c r="M70" s="846"/>
      <c r="N70" s="846"/>
      <c r="O70" s="846"/>
      <c r="P70" s="846"/>
      <c r="Q70" s="846"/>
      <c r="R70" s="846"/>
      <c r="S70" s="846"/>
      <c r="T70" s="846"/>
      <c r="U70" s="846"/>
      <c r="V70" s="846"/>
      <c r="W70" s="846"/>
      <c r="X70" s="846"/>
      <c r="Y70" s="846"/>
      <c r="Z70" s="846"/>
      <c r="AA70" s="846"/>
    </row>
    <row r="71" spans="2:27" s="447" customFormat="1" x14ac:dyDescent="0.25">
      <c r="B71" s="941"/>
      <c r="C71" s="941"/>
      <c r="D71" s="1010"/>
      <c r="E71" s="594"/>
      <c r="F71" s="19"/>
      <c r="G71" s="235"/>
      <c r="H71" s="836"/>
      <c r="I71" s="836"/>
      <c r="J71" s="122"/>
      <c r="K71" s="986"/>
      <c r="L71" s="846"/>
      <c r="M71" s="846"/>
      <c r="N71" s="846"/>
      <c r="O71" s="846"/>
      <c r="P71" s="846"/>
      <c r="Q71" s="846"/>
      <c r="R71" s="846"/>
      <c r="S71" s="846"/>
      <c r="T71" s="846"/>
      <c r="U71" s="846"/>
      <c r="V71" s="846"/>
      <c r="W71" s="846"/>
      <c r="X71" s="846"/>
      <c r="Y71" s="846"/>
      <c r="Z71" s="846"/>
      <c r="AA71" s="846"/>
    </row>
    <row r="72" spans="2:27" s="39" customFormat="1" x14ac:dyDescent="0.25">
      <c r="B72" s="941" t="e">
        <f>'SOCE '!B54</f>
        <v>#REF!</v>
      </c>
      <c r="C72" s="941"/>
      <c r="D72" s="1011" t="s">
        <v>179</v>
      </c>
      <c r="E72" s="1012" t="s">
        <v>179</v>
      </c>
      <c r="F72" s="3"/>
      <c r="G72" s="3"/>
      <c r="H72" s="3"/>
      <c r="I72" s="3"/>
      <c r="J72" s="3"/>
      <c r="K72" s="3"/>
      <c r="L72" s="3"/>
      <c r="M72" s="3"/>
      <c r="O72" s="3"/>
      <c r="Q72" s="503"/>
      <c r="R72" s="3"/>
      <c r="S72" s="3"/>
      <c r="T72" s="3"/>
      <c r="Z72" s="3">
        <f>D58-D50</f>
        <v>0.30940570619441132</v>
      </c>
      <c r="AA72" s="3"/>
    </row>
    <row r="73" spans="2:27" outlineLevel="1" x14ac:dyDescent="0.25">
      <c r="B73" s="941" t="e">
        <f>'SOCE '!B55</f>
        <v>#REF!</v>
      </c>
      <c r="C73" s="941"/>
      <c r="D73" s="1011" t="e">
        <f>B73</f>
        <v>#REF!</v>
      </c>
      <c r="E73" s="1012" t="e">
        <f>B73</f>
        <v>#REF!</v>
      </c>
      <c r="F73" s="17"/>
      <c r="G73" s="17"/>
      <c r="H73" s="17"/>
      <c r="I73" s="17"/>
      <c r="J73" s="17"/>
      <c r="K73" s="17"/>
      <c r="L73" s="17"/>
      <c r="M73" s="17"/>
    </row>
    <row r="74" spans="2:27" x14ac:dyDescent="0.25">
      <c r="P74" s="15"/>
      <c r="Q74" s="27"/>
      <c r="R74" s="27"/>
      <c r="S74" s="17"/>
    </row>
    <row r="75" spans="2:27" x14ac:dyDescent="0.25">
      <c r="P75" s="15"/>
      <c r="Q75" s="27"/>
      <c r="R75" s="27"/>
      <c r="S75" s="17"/>
    </row>
    <row r="76" spans="2:27" x14ac:dyDescent="0.25">
      <c r="B76" s="504"/>
      <c r="C76" s="504"/>
      <c r="D76" s="595"/>
      <c r="E76" s="595"/>
      <c r="P76" s="15"/>
      <c r="Q76" s="27"/>
      <c r="R76" s="27"/>
      <c r="S76" s="17"/>
    </row>
    <row r="77" spans="2:27" x14ac:dyDescent="0.25">
      <c r="B77" s="110"/>
      <c r="C77" s="110"/>
      <c r="D77" s="595"/>
      <c r="E77" s="595"/>
    </row>
    <row r="80" spans="2:27" s="110" customFormat="1" x14ac:dyDescent="0.25">
      <c r="B80" s="19"/>
      <c r="C80" s="19"/>
      <c r="D80" s="588"/>
      <c r="E80" s="588"/>
    </row>
    <row r="81" spans="2:5" s="110" customFormat="1" x14ac:dyDescent="0.25">
      <c r="B81" s="19"/>
      <c r="C81" s="19"/>
      <c r="D81" s="588"/>
      <c r="E81" s="588"/>
    </row>
  </sheetData>
  <pageMargins left="0.23622047244094491" right="0.23622047244094491" top="0.74803149606299213" bottom="0.74803149606299213" header="0.31496062992125984" footer="0.31496062992125984"/>
  <pageSetup paperSize="9" scale="8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BC6D5-C372-4F96-BDA9-518FEDF33346}">
  <sheetPr>
    <tabColor rgb="FF7030A0"/>
  </sheetPr>
  <dimension ref="A1:J398"/>
  <sheetViews>
    <sheetView showGridLines="0" view="pageBreakPreview" topLeftCell="A334" zoomScale="90" zoomScaleNormal="85" zoomScaleSheetLayoutView="90" workbookViewId="0">
      <selection activeCell="K334" sqref="K334"/>
    </sheetView>
  </sheetViews>
  <sheetFormatPr defaultColWidth="9.1796875" defaultRowHeight="11.5" x14ac:dyDescent="0.35"/>
  <cols>
    <col min="1" max="1" width="2.81640625" style="110" customWidth="1"/>
    <col min="2" max="2" width="5.54296875" style="210" customWidth="1"/>
    <col min="3" max="3" width="4.81640625" style="110" bestFit="1" customWidth="1"/>
    <col min="4" max="4" width="64.1796875" style="110" customWidth="1"/>
    <col min="5" max="6" width="24.1796875" style="110" customWidth="1"/>
    <col min="7" max="9" width="0" style="36" hidden="1" customWidth="1"/>
    <col min="10" max="16384" width="9.1796875" style="110"/>
  </cols>
  <sheetData>
    <row r="1" spans="1:10" s="200" customFormat="1" x14ac:dyDescent="0.35">
      <c r="B1" s="34" t="s">
        <v>0</v>
      </c>
      <c r="C1" s="34"/>
      <c r="D1" s="34"/>
      <c r="E1" s="34"/>
      <c r="F1" s="201"/>
      <c r="G1" s="202"/>
      <c r="H1" s="203"/>
      <c r="I1" s="203"/>
      <c r="J1" s="203"/>
    </row>
    <row r="2" spans="1:10" s="200" customFormat="1" x14ac:dyDescent="0.35">
      <c r="A2" s="38"/>
      <c r="B2" s="34" t="s">
        <v>236</v>
      </c>
      <c r="C2" s="204"/>
      <c r="D2" s="205"/>
      <c r="E2" s="205"/>
      <c r="F2" s="205"/>
      <c r="G2" s="205"/>
      <c r="H2" s="203"/>
      <c r="I2" s="203"/>
      <c r="J2" s="203"/>
    </row>
    <row r="3" spans="1:10" s="200" customFormat="1" x14ac:dyDescent="0.35">
      <c r="B3" s="206"/>
      <c r="C3" s="207"/>
      <c r="D3" s="208"/>
      <c r="E3" s="208"/>
      <c r="F3" s="208"/>
      <c r="G3" s="208"/>
      <c r="H3" s="203"/>
      <c r="I3" s="203"/>
      <c r="J3" s="203"/>
    </row>
    <row r="4" spans="1:10" s="200" customFormat="1" x14ac:dyDescent="0.35">
      <c r="B4" s="209"/>
      <c r="C4" s="210"/>
      <c r="D4" s="205"/>
      <c r="E4" s="205"/>
      <c r="F4" s="205"/>
      <c r="G4" s="205"/>
      <c r="H4" s="203"/>
      <c r="I4" s="203"/>
      <c r="J4" s="203"/>
    </row>
    <row r="5" spans="1:10" s="200" customFormat="1" x14ac:dyDescent="0.35">
      <c r="B5" s="202">
        <v>1</v>
      </c>
      <c r="C5" s="1100" t="s">
        <v>237</v>
      </c>
      <c r="D5" s="1100"/>
      <c r="E5" s="1100"/>
      <c r="F5" s="1100"/>
      <c r="G5" s="40"/>
      <c r="H5" s="203"/>
      <c r="I5" s="203"/>
      <c r="J5" s="203"/>
    </row>
    <row r="6" spans="1:10" s="200" customFormat="1" ht="52.5" customHeight="1" x14ac:dyDescent="0.35">
      <c r="B6" s="210"/>
      <c r="C6" s="1115" t="s">
        <v>238</v>
      </c>
      <c r="D6" s="1115"/>
      <c r="E6" s="1115"/>
      <c r="F6" s="1115"/>
      <c r="G6" s="978"/>
      <c r="H6" s="203"/>
      <c r="I6" s="203"/>
      <c r="J6" s="203"/>
    </row>
    <row r="7" spans="1:10" s="200" customFormat="1" ht="14.25" customHeight="1" x14ac:dyDescent="0.35">
      <c r="B7" s="202">
        <v>2</v>
      </c>
      <c r="C7" s="1100" t="s">
        <v>239</v>
      </c>
      <c r="D7" s="1100"/>
      <c r="E7" s="1100"/>
      <c r="F7" s="1100"/>
      <c r="G7" s="1006"/>
      <c r="H7" s="203"/>
      <c r="I7" s="203"/>
      <c r="J7" s="203"/>
    </row>
    <row r="8" spans="1:10" ht="12.65" customHeight="1" x14ac:dyDescent="0.35">
      <c r="C8" s="212"/>
      <c r="D8" s="310"/>
      <c r="E8" s="310"/>
      <c r="F8" s="310"/>
    </row>
    <row r="9" spans="1:10" x14ac:dyDescent="0.35">
      <c r="B9" s="202">
        <v>2.1</v>
      </c>
      <c r="C9" s="1100" t="s">
        <v>240</v>
      </c>
      <c r="D9" s="1100"/>
      <c r="E9" s="1100"/>
      <c r="F9" s="1006"/>
    </row>
    <row r="10" spans="1:10" ht="37" customHeight="1" x14ac:dyDescent="0.35">
      <c r="B10" s="202"/>
      <c r="C10" s="1097" t="s">
        <v>241</v>
      </c>
      <c r="D10" s="1114"/>
      <c r="E10" s="1114"/>
      <c r="F10" s="1114"/>
    </row>
    <row r="11" spans="1:10" ht="25" customHeight="1" x14ac:dyDescent="0.35">
      <c r="B11" s="202"/>
      <c r="C11" s="1097" t="s">
        <v>242</v>
      </c>
      <c r="D11" s="1097"/>
      <c r="E11" s="1097"/>
      <c r="F11" s="1097"/>
      <c r="G11" s="846"/>
    </row>
    <row r="12" spans="1:10" ht="37" customHeight="1" x14ac:dyDescent="0.35">
      <c r="B12" s="202"/>
      <c r="C12" s="1097" t="s">
        <v>243</v>
      </c>
      <c r="D12" s="1097"/>
      <c r="E12" s="1097"/>
      <c r="F12" s="1097"/>
      <c r="G12" s="846"/>
    </row>
    <row r="13" spans="1:10" ht="11.5" customHeight="1" x14ac:dyDescent="0.35">
      <c r="B13" s="202"/>
      <c r="C13" s="303"/>
      <c r="D13" s="303"/>
      <c r="E13" s="303"/>
      <c r="F13" s="303"/>
      <c r="G13" s="846"/>
    </row>
    <row r="14" spans="1:10" x14ac:dyDescent="0.35">
      <c r="B14" s="202">
        <v>2.2000000000000002</v>
      </c>
      <c r="C14" s="1100" t="s">
        <v>244</v>
      </c>
      <c r="D14" s="1100"/>
      <c r="E14" s="1100"/>
      <c r="F14" s="1006"/>
    </row>
    <row r="15" spans="1:10" x14ac:dyDescent="0.35">
      <c r="B15" s="202"/>
      <c r="C15" s="40"/>
      <c r="D15" s="1006"/>
      <c r="E15" s="1006"/>
      <c r="F15" s="1006"/>
    </row>
    <row r="16" spans="1:10" ht="70" customHeight="1" x14ac:dyDescent="0.35">
      <c r="B16" s="202"/>
      <c r="C16" s="1098" t="s">
        <v>245</v>
      </c>
      <c r="D16" s="1098"/>
      <c r="E16" s="1098"/>
      <c r="F16" s="1098"/>
      <c r="G16" s="846"/>
      <c r="J16" s="803"/>
    </row>
    <row r="17" spans="2:9" x14ac:dyDescent="0.35">
      <c r="B17" s="202"/>
      <c r="C17" s="303"/>
      <c r="D17" s="303"/>
      <c r="E17" s="303"/>
      <c r="F17" s="303"/>
    </row>
    <row r="18" spans="2:9" ht="25.4" customHeight="1" x14ac:dyDescent="0.35">
      <c r="B18" s="213"/>
      <c r="C18" s="1098" t="s">
        <v>246</v>
      </c>
      <c r="D18" s="1098"/>
      <c r="E18" s="1098"/>
      <c r="F18" s="1098"/>
      <c r="G18" s="110"/>
      <c r="H18" s="110"/>
      <c r="I18" s="110"/>
    </row>
    <row r="19" spans="2:9" hidden="1" x14ac:dyDescent="0.35">
      <c r="B19" s="213"/>
      <c r="C19" s="808"/>
      <c r="D19" s="303"/>
      <c r="E19" s="303"/>
      <c r="F19" s="303"/>
      <c r="G19" s="110"/>
      <c r="H19" s="110"/>
      <c r="I19" s="110"/>
    </row>
    <row r="20" spans="2:9" ht="13.4" hidden="1" customHeight="1" x14ac:dyDescent="0.35">
      <c r="B20" s="213"/>
      <c r="C20" s="1096" t="s">
        <v>247</v>
      </c>
      <c r="D20" s="1096"/>
      <c r="E20" s="1096"/>
      <c r="F20" s="1096"/>
      <c r="G20" s="110"/>
      <c r="H20" s="110"/>
      <c r="I20" s="110"/>
    </row>
    <row r="21" spans="2:9" ht="70.400000000000006" hidden="1" customHeight="1" x14ac:dyDescent="0.35">
      <c r="B21" s="213"/>
      <c r="C21" s="1098" t="s">
        <v>248</v>
      </c>
      <c r="D21" s="1098"/>
      <c r="E21" s="1098"/>
      <c r="F21" s="1098"/>
      <c r="G21" s="803"/>
      <c r="H21" s="110"/>
      <c r="I21" s="110"/>
    </row>
    <row r="22" spans="2:9" x14ac:dyDescent="0.35">
      <c r="B22" s="803"/>
      <c r="C22" s="808"/>
      <c r="D22" s="303"/>
      <c r="E22" s="303"/>
      <c r="F22" s="303"/>
      <c r="G22" s="110"/>
      <c r="H22" s="110"/>
      <c r="I22" s="110"/>
    </row>
    <row r="23" spans="2:9" ht="13.4" hidden="1" customHeight="1" x14ac:dyDescent="0.35">
      <c r="B23" s="213"/>
      <c r="C23" s="1096" t="s">
        <v>249</v>
      </c>
      <c r="D23" s="1096"/>
      <c r="E23" s="1096"/>
      <c r="F23" s="1096"/>
      <c r="G23" s="110"/>
      <c r="H23" s="110"/>
      <c r="I23" s="110"/>
    </row>
    <row r="24" spans="2:9" ht="25.4" hidden="1" customHeight="1" x14ac:dyDescent="0.35">
      <c r="B24" s="213"/>
      <c r="C24" s="1098" t="s">
        <v>250</v>
      </c>
      <c r="D24" s="1098"/>
      <c r="E24" s="1098"/>
      <c r="F24" s="1098"/>
      <c r="G24" s="803"/>
      <c r="H24" s="110"/>
      <c r="I24" s="110"/>
    </row>
    <row r="25" spans="2:9" hidden="1" x14ac:dyDescent="0.35">
      <c r="B25" s="213"/>
      <c r="C25" s="808"/>
      <c r="D25" s="303"/>
      <c r="E25" s="303"/>
      <c r="F25" s="303"/>
      <c r="G25" s="110"/>
      <c r="H25" s="110"/>
      <c r="I25" s="110"/>
    </row>
    <row r="26" spans="2:9" hidden="1" x14ac:dyDescent="0.35">
      <c r="B26" s="202"/>
      <c r="C26" s="40" t="s">
        <v>251</v>
      </c>
      <c r="D26" s="117"/>
      <c r="E26" s="117"/>
      <c r="F26" s="117"/>
      <c r="G26" s="110"/>
      <c r="H26" s="110"/>
      <c r="I26" s="110"/>
    </row>
    <row r="27" spans="2:9" ht="37.4" hidden="1" customHeight="1" x14ac:dyDescent="0.35">
      <c r="B27" s="202"/>
      <c r="C27" s="1116" t="s">
        <v>252</v>
      </c>
      <c r="D27" s="1116"/>
      <c r="E27" s="1116"/>
      <c r="F27" s="1116"/>
      <c r="G27" s="803"/>
      <c r="H27" s="110"/>
      <c r="I27" s="110"/>
    </row>
    <row r="28" spans="2:9" hidden="1" x14ac:dyDescent="0.35">
      <c r="B28" s="202"/>
      <c r="C28" s="304"/>
      <c r="D28" s="304"/>
      <c r="E28" s="304"/>
      <c r="F28" s="304"/>
      <c r="G28" s="110"/>
      <c r="H28" s="110"/>
      <c r="I28" s="110"/>
    </row>
    <row r="29" spans="2:9" hidden="1" x14ac:dyDescent="0.35">
      <c r="B29" s="202"/>
      <c r="C29" s="306" t="s">
        <v>253</v>
      </c>
      <c r="D29" s="1101" t="s">
        <v>254</v>
      </c>
      <c r="E29" s="1101"/>
      <c r="F29" s="1101"/>
      <c r="G29" s="110"/>
      <c r="H29" s="110"/>
      <c r="I29" s="110"/>
    </row>
    <row r="30" spans="2:9" hidden="1" x14ac:dyDescent="0.35">
      <c r="B30" s="202"/>
      <c r="C30" s="306" t="s">
        <v>255</v>
      </c>
      <c r="D30" s="1101" t="s">
        <v>256</v>
      </c>
      <c r="E30" s="1101"/>
      <c r="F30" s="1101"/>
      <c r="G30" s="110"/>
      <c r="H30" s="110"/>
      <c r="I30" s="110"/>
    </row>
    <row r="31" spans="2:9" ht="37.4" hidden="1" customHeight="1" x14ac:dyDescent="0.35">
      <c r="B31" s="202"/>
      <c r="C31" s="976" t="s">
        <v>257</v>
      </c>
      <c r="D31" s="1101" t="s">
        <v>258</v>
      </c>
      <c r="E31" s="1101"/>
      <c r="F31" s="1101"/>
      <c r="G31" s="110"/>
      <c r="H31" s="110"/>
      <c r="I31" s="110"/>
    </row>
    <row r="32" spans="2:9" hidden="1" x14ac:dyDescent="0.35">
      <c r="B32" s="202"/>
      <c r="C32" s="976"/>
      <c r="D32" s="306"/>
      <c r="E32" s="306"/>
      <c r="F32" s="306"/>
      <c r="G32" s="110"/>
      <c r="H32" s="110"/>
      <c r="I32" s="110"/>
    </row>
    <row r="33" spans="2:9" x14ac:dyDescent="0.35">
      <c r="B33" s="202"/>
      <c r="C33" s="40" t="s">
        <v>259</v>
      </c>
      <c r="D33" s="117"/>
      <c r="E33" s="117"/>
      <c r="F33" s="117"/>
      <c r="G33" s="110"/>
      <c r="H33" s="110"/>
      <c r="I33" s="110"/>
    </row>
    <row r="34" spans="2:9" ht="13.4" customHeight="1" x14ac:dyDescent="0.35">
      <c r="B34" s="202"/>
      <c r="C34" s="1103" t="s">
        <v>260</v>
      </c>
      <c r="D34" s="1103"/>
      <c r="E34" s="1103"/>
      <c r="F34" s="1103"/>
      <c r="G34" s="803"/>
      <c r="H34" s="110"/>
      <c r="I34" s="110"/>
    </row>
    <row r="35" spans="2:9" x14ac:dyDescent="0.35">
      <c r="B35" s="202"/>
      <c r="C35" s="1103"/>
      <c r="D35" s="1103"/>
      <c r="E35" s="1103"/>
      <c r="F35" s="1103"/>
      <c r="G35" s="803"/>
      <c r="H35" s="110"/>
      <c r="I35" s="110"/>
    </row>
    <row r="36" spans="2:9" x14ac:dyDescent="0.35">
      <c r="B36" s="202"/>
      <c r="C36" s="117"/>
      <c r="D36" s="117"/>
      <c r="E36" s="117"/>
      <c r="F36" s="117"/>
      <c r="G36" s="110"/>
      <c r="H36" s="110"/>
      <c r="I36" s="110"/>
    </row>
    <row r="37" spans="2:9" ht="13.4" customHeight="1" x14ac:dyDescent="0.35">
      <c r="B37" s="213"/>
      <c r="C37" s="1096" t="s">
        <v>261</v>
      </c>
      <c r="D37" s="1096"/>
      <c r="E37" s="1096"/>
      <c r="F37" s="1096"/>
    </row>
    <row r="38" spans="2:9" ht="25.4" customHeight="1" x14ac:dyDescent="0.35">
      <c r="B38" s="213"/>
      <c r="C38" s="1097" t="s">
        <v>262</v>
      </c>
      <c r="D38" s="1097"/>
      <c r="E38" s="1097"/>
      <c r="F38" s="1097"/>
      <c r="G38" s="846"/>
    </row>
    <row r="39" spans="2:9" x14ac:dyDescent="0.35">
      <c r="B39" s="213"/>
      <c r="C39" s="303"/>
      <c r="D39" s="303"/>
      <c r="E39" s="303"/>
      <c r="F39" s="303"/>
      <c r="G39" s="846"/>
    </row>
    <row r="40" spans="2:9" ht="13.4" customHeight="1" x14ac:dyDescent="0.35">
      <c r="B40" s="110"/>
      <c r="C40" s="1096" t="s">
        <v>263</v>
      </c>
      <c r="D40" s="1096"/>
      <c r="E40" s="1096"/>
      <c r="F40" s="1096"/>
    </row>
    <row r="41" spans="2:9" ht="37.4" customHeight="1" x14ac:dyDescent="0.35">
      <c r="B41" s="110"/>
      <c r="C41" s="1097" t="s">
        <v>264</v>
      </c>
      <c r="D41" s="1097"/>
      <c r="E41" s="1097"/>
      <c r="F41" s="1097"/>
      <c r="G41" s="846"/>
    </row>
    <row r="42" spans="2:9" x14ac:dyDescent="0.35">
      <c r="B42" s="213"/>
      <c r="C42" s="1097"/>
      <c r="D42" s="1097"/>
      <c r="E42" s="1097"/>
      <c r="F42" s="1097"/>
    </row>
    <row r="43" spans="2:9" ht="13.4" customHeight="1" x14ac:dyDescent="0.35">
      <c r="B43" s="110"/>
      <c r="C43" s="1096" t="s">
        <v>265</v>
      </c>
      <c r="D43" s="1096"/>
      <c r="E43" s="1096"/>
      <c r="F43" s="1096"/>
      <c r="G43" s="110"/>
      <c r="H43" s="110"/>
      <c r="I43" s="110"/>
    </row>
    <row r="44" spans="2:9" ht="37.4" customHeight="1" x14ac:dyDescent="0.35">
      <c r="B44" s="110"/>
      <c r="C44" s="1097" t="s">
        <v>266</v>
      </c>
      <c r="D44" s="1097"/>
      <c r="E44" s="1097"/>
      <c r="F44" s="1097"/>
      <c r="G44" s="803"/>
      <c r="H44" s="110"/>
      <c r="I44" s="110"/>
    </row>
    <row r="45" spans="2:9" x14ac:dyDescent="0.35">
      <c r="B45" s="213"/>
      <c r="C45" s="1097"/>
      <c r="D45" s="1097"/>
      <c r="E45" s="1097"/>
      <c r="F45" s="1097"/>
      <c r="G45" s="110"/>
      <c r="H45" s="110"/>
      <c r="I45" s="110"/>
    </row>
    <row r="46" spans="2:9" ht="13.4" customHeight="1" x14ac:dyDescent="0.35">
      <c r="B46" s="110"/>
      <c r="C46" s="1096" t="s">
        <v>267</v>
      </c>
      <c r="D46" s="1096"/>
      <c r="E46" s="1096"/>
      <c r="F46" s="1096"/>
      <c r="G46" s="110"/>
      <c r="H46" s="110"/>
      <c r="I46" s="110"/>
    </row>
    <row r="47" spans="2:9" ht="50.15" customHeight="1" x14ac:dyDescent="0.35">
      <c r="B47" s="110"/>
      <c r="C47" s="1118" t="s">
        <v>268</v>
      </c>
      <c r="D47" s="1118"/>
      <c r="E47" s="1118"/>
      <c r="F47" s="1118"/>
      <c r="G47" s="803"/>
      <c r="H47" s="110"/>
      <c r="I47" s="110"/>
    </row>
    <row r="48" spans="2:9" x14ac:dyDescent="0.35">
      <c r="B48" s="213"/>
      <c r="C48" s="303"/>
      <c r="D48" s="306"/>
      <c r="E48" s="306"/>
      <c r="F48" s="117"/>
      <c r="G48" s="110"/>
      <c r="H48" s="110"/>
      <c r="I48" s="110"/>
    </row>
    <row r="49" spans="1:10" x14ac:dyDescent="0.35">
      <c r="B49" s="213"/>
      <c r="C49" s="40" t="s">
        <v>269</v>
      </c>
      <c r="D49" s="211"/>
      <c r="E49" s="211"/>
      <c r="F49" s="211"/>
      <c r="G49" s="110"/>
      <c r="H49" s="110"/>
      <c r="I49" s="110"/>
    </row>
    <row r="50" spans="1:10" ht="50.15" customHeight="1" x14ac:dyDescent="0.35">
      <c r="B50" s="803"/>
      <c r="C50" s="1097" t="s">
        <v>270</v>
      </c>
      <c r="D50" s="1097"/>
      <c r="E50" s="1097"/>
      <c r="F50" s="1097"/>
      <c r="G50" s="803"/>
      <c r="H50" s="110"/>
      <c r="I50" s="110"/>
    </row>
    <row r="51" spans="1:10" x14ac:dyDescent="0.35">
      <c r="B51" s="803"/>
      <c r="C51" s="303"/>
      <c r="D51" s="303"/>
      <c r="E51" s="303"/>
      <c r="F51" s="303"/>
      <c r="G51" s="803"/>
      <c r="H51" s="110"/>
      <c r="I51" s="110"/>
    </row>
    <row r="52" spans="1:10" x14ac:dyDescent="0.35">
      <c r="B52" s="803"/>
      <c r="C52" s="214" t="s">
        <v>271</v>
      </c>
      <c r="D52" s="303"/>
      <c r="E52" s="303"/>
      <c r="F52" s="303"/>
      <c r="G52" s="110"/>
      <c r="H52" s="110"/>
      <c r="I52" s="110"/>
    </row>
    <row r="53" spans="1:10" ht="37.4" customHeight="1" x14ac:dyDescent="0.35">
      <c r="B53" s="213"/>
      <c r="C53" s="1098" t="s">
        <v>272</v>
      </c>
      <c r="D53" s="1098"/>
      <c r="E53" s="1098"/>
      <c r="F53" s="1098"/>
      <c r="G53" s="803"/>
      <c r="H53" s="110"/>
      <c r="I53" s="110"/>
    </row>
    <row r="54" spans="1:10" x14ac:dyDescent="0.35">
      <c r="B54" s="213"/>
      <c r="C54" s="808"/>
      <c r="D54" s="303"/>
      <c r="E54" s="303"/>
      <c r="F54" s="303"/>
      <c r="G54" s="110"/>
      <c r="H54" s="110"/>
      <c r="I54" s="110"/>
    </row>
    <row r="55" spans="1:10" x14ac:dyDescent="0.35">
      <c r="B55" s="803"/>
      <c r="C55" s="233" t="s">
        <v>273</v>
      </c>
      <c r="D55" s="1006"/>
      <c r="E55" s="1006"/>
      <c r="F55" s="1006"/>
      <c r="G55" s="110"/>
      <c r="H55" s="110"/>
      <c r="I55" s="110"/>
    </row>
    <row r="56" spans="1:10" ht="37.4" customHeight="1" x14ac:dyDescent="0.35">
      <c r="B56" s="803"/>
      <c r="C56" s="1097" t="s">
        <v>274</v>
      </c>
      <c r="D56" s="1097"/>
      <c r="E56" s="1097"/>
      <c r="F56" s="1097"/>
      <c r="G56" s="803"/>
      <c r="H56" s="110"/>
      <c r="I56" s="110"/>
    </row>
    <row r="57" spans="1:10" ht="13.4" hidden="1" customHeight="1" x14ac:dyDescent="0.35">
      <c r="B57" s="803"/>
      <c r="C57" s="233" t="s">
        <v>275</v>
      </c>
      <c r="D57" s="303"/>
      <c r="E57" s="303"/>
      <c r="F57" s="303"/>
      <c r="G57" s="803"/>
      <c r="H57" s="110"/>
      <c r="I57" s="110"/>
    </row>
    <row r="58" spans="1:10" ht="12.65" hidden="1" customHeight="1" x14ac:dyDescent="0.35">
      <c r="B58" s="803"/>
      <c r="C58" s="1117" t="s">
        <v>276</v>
      </c>
      <c r="D58" s="1117"/>
      <c r="E58" s="1117"/>
      <c r="F58" s="1117"/>
      <c r="G58" s="803"/>
      <c r="H58" s="110"/>
      <c r="I58" s="110"/>
    </row>
    <row r="59" spans="1:10" hidden="1" x14ac:dyDescent="0.35">
      <c r="B59" s="803"/>
      <c r="C59" s="303"/>
      <c r="D59" s="303"/>
      <c r="E59" s="303"/>
      <c r="F59" s="303"/>
      <c r="G59" s="803"/>
      <c r="H59" s="110"/>
      <c r="I59" s="110"/>
    </row>
    <row r="60" spans="1:10" s="200" customFormat="1" x14ac:dyDescent="0.35">
      <c r="B60" s="34" t="s">
        <v>0</v>
      </c>
      <c r="C60" s="34"/>
      <c r="D60" s="34"/>
      <c r="E60" s="34"/>
      <c r="F60" s="201"/>
      <c r="G60" s="202"/>
      <c r="H60" s="203"/>
      <c r="I60" s="203"/>
      <c r="J60" s="203"/>
    </row>
    <row r="61" spans="1:10" s="200" customFormat="1" x14ac:dyDescent="0.35">
      <c r="A61" s="38"/>
      <c r="B61" s="34" t="s">
        <v>236</v>
      </c>
      <c r="C61" s="204"/>
      <c r="D61" s="205"/>
      <c r="E61" s="205"/>
      <c r="F61" s="205"/>
      <c r="G61" s="205"/>
      <c r="H61" s="203"/>
      <c r="I61" s="203"/>
      <c r="J61" s="203"/>
    </row>
    <row r="62" spans="1:10" s="200" customFormat="1" x14ac:dyDescent="0.35">
      <c r="B62" s="206"/>
      <c r="C62" s="207"/>
      <c r="D62" s="208"/>
      <c r="E62" s="208"/>
      <c r="F62" s="208"/>
      <c r="G62" s="208"/>
      <c r="H62" s="203"/>
      <c r="I62" s="203"/>
      <c r="J62" s="203"/>
    </row>
    <row r="63" spans="1:10" x14ac:dyDescent="0.35">
      <c r="B63" s="803"/>
      <c r="C63" s="303"/>
      <c r="D63" s="303"/>
      <c r="E63" s="303"/>
      <c r="F63" s="303"/>
      <c r="G63" s="803"/>
      <c r="H63" s="110"/>
      <c r="I63" s="110"/>
    </row>
    <row r="64" spans="1:10" x14ac:dyDescent="0.35">
      <c r="B64" s="34">
        <v>2.2000000000000002</v>
      </c>
      <c r="C64" s="1096" t="s">
        <v>277</v>
      </c>
      <c r="D64" s="1096"/>
      <c r="E64" s="1096"/>
      <c r="F64" s="1096"/>
    </row>
    <row r="65" spans="2:9" x14ac:dyDescent="0.35">
      <c r="B65" s="803"/>
      <c r="C65" s="303"/>
      <c r="D65" s="303"/>
      <c r="E65" s="303"/>
      <c r="F65" s="303"/>
      <c r="G65" s="803"/>
      <c r="H65" s="110"/>
      <c r="I65" s="110"/>
    </row>
    <row r="66" spans="2:9" x14ac:dyDescent="0.35">
      <c r="B66" s="803"/>
      <c r="C66" s="233" t="s">
        <v>278</v>
      </c>
      <c r="D66" s="303"/>
      <c r="E66" s="303"/>
      <c r="F66" s="303"/>
      <c r="G66" s="803"/>
      <c r="H66" s="110"/>
      <c r="I66" s="110"/>
    </row>
    <row r="67" spans="2:9" ht="94.5" customHeight="1" x14ac:dyDescent="0.35">
      <c r="B67" s="803"/>
      <c r="C67" s="1098" t="s">
        <v>279</v>
      </c>
      <c r="D67" s="1098"/>
      <c r="E67" s="1098"/>
      <c r="F67" s="1098"/>
      <c r="G67" s="803"/>
      <c r="H67" s="110"/>
      <c r="I67" s="110"/>
    </row>
    <row r="68" spans="2:9" hidden="1" x14ac:dyDescent="0.35">
      <c r="B68" s="803"/>
      <c r="C68" s="808"/>
      <c r="D68" s="808"/>
      <c r="E68" s="808"/>
      <c r="F68" s="808"/>
      <c r="G68" s="803"/>
      <c r="H68" s="110"/>
      <c r="I68" s="110"/>
    </row>
    <row r="69" spans="2:9" hidden="1" x14ac:dyDescent="0.35">
      <c r="B69" s="803"/>
      <c r="C69" s="808"/>
      <c r="D69" s="808"/>
      <c r="E69" s="808"/>
      <c r="F69" s="808"/>
      <c r="G69" s="803"/>
      <c r="H69" s="110"/>
      <c r="I69" s="110"/>
    </row>
    <row r="70" spans="2:9" hidden="1" x14ac:dyDescent="0.35">
      <c r="B70" s="803"/>
      <c r="C70" s="808"/>
      <c r="D70" s="808"/>
      <c r="E70" s="808"/>
      <c r="F70" s="808"/>
      <c r="G70" s="803"/>
      <c r="H70" s="110"/>
      <c r="I70" s="110"/>
    </row>
    <row r="71" spans="2:9" hidden="1" x14ac:dyDescent="0.35">
      <c r="B71" s="803"/>
      <c r="C71" s="808"/>
      <c r="D71" s="808"/>
      <c r="E71" s="808"/>
      <c r="F71" s="808"/>
      <c r="G71" s="803"/>
      <c r="H71" s="110"/>
      <c r="I71" s="110"/>
    </row>
    <row r="72" spans="2:9" hidden="1" x14ac:dyDescent="0.35">
      <c r="B72" s="803"/>
      <c r="C72" s="808"/>
      <c r="D72" s="808"/>
      <c r="E72" s="808"/>
      <c r="F72" s="808"/>
      <c r="G72" s="803"/>
      <c r="H72" s="110"/>
      <c r="I72" s="110"/>
    </row>
    <row r="73" spans="2:9" hidden="1" x14ac:dyDescent="0.35">
      <c r="B73" s="803"/>
      <c r="C73" s="808"/>
      <c r="D73" s="808"/>
      <c r="E73" s="808"/>
      <c r="F73" s="808"/>
      <c r="G73" s="803"/>
      <c r="H73" s="110"/>
      <c r="I73" s="110"/>
    </row>
    <row r="74" spans="2:9" hidden="1" x14ac:dyDescent="0.35">
      <c r="B74" s="803"/>
      <c r="C74" s="808"/>
      <c r="D74" s="808"/>
      <c r="E74" s="808"/>
      <c r="F74" s="808"/>
      <c r="G74" s="803"/>
      <c r="H74" s="110"/>
      <c r="I74" s="110"/>
    </row>
    <row r="75" spans="2:9" hidden="1" x14ac:dyDescent="0.35">
      <c r="B75" s="803"/>
      <c r="C75" s="808"/>
      <c r="D75" s="808"/>
      <c r="E75" s="808"/>
      <c r="F75" s="808"/>
      <c r="G75" s="803"/>
      <c r="H75" s="110"/>
      <c r="I75" s="110"/>
    </row>
    <row r="76" spans="2:9" hidden="1" x14ac:dyDescent="0.35">
      <c r="B76" s="803"/>
      <c r="C76" s="808"/>
      <c r="D76" s="808"/>
      <c r="E76" s="808"/>
      <c r="F76" s="808"/>
      <c r="G76" s="803"/>
      <c r="H76" s="110"/>
      <c r="I76" s="110"/>
    </row>
    <row r="77" spans="2:9" hidden="1" x14ac:dyDescent="0.35">
      <c r="B77" s="803"/>
      <c r="C77" s="808"/>
      <c r="D77" s="808"/>
      <c r="E77" s="808"/>
      <c r="F77" s="808"/>
      <c r="G77" s="803"/>
      <c r="H77" s="110"/>
      <c r="I77" s="110"/>
    </row>
    <row r="78" spans="2:9" hidden="1" x14ac:dyDescent="0.35">
      <c r="B78" s="803"/>
      <c r="C78" s="808"/>
      <c r="D78" s="808"/>
      <c r="E78" s="808"/>
      <c r="F78" s="808"/>
      <c r="G78" s="803"/>
      <c r="H78" s="110"/>
      <c r="I78" s="110"/>
    </row>
    <row r="79" spans="2:9" hidden="1" x14ac:dyDescent="0.35">
      <c r="B79" s="803"/>
      <c r="C79" s="808"/>
      <c r="D79" s="808"/>
      <c r="E79" s="808"/>
      <c r="F79" s="808"/>
      <c r="G79" s="803"/>
      <c r="H79" s="110"/>
      <c r="I79" s="110"/>
    </row>
    <row r="80" spans="2:9" hidden="1" x14ac:dyDescent="0.35">
      <c r="B80" s="803"/>
      <c r="C80" s="808"/>
      <c r="D80" s="808"/>
      <c r="E80" s="808"/>
      <c r="F80" s="808"/>
      <c r="G80" s="803"/>
      <c r="H80" s="110"/>
      <c r="I80" s="110"/>
    </row>
    <row r="81" spans="2:9" s="217" customFormat="1" hidden="1" x14ac:dyDescent="0.35">
      <c r="B81" s="1111" t="s">
        <v>280</v>
      </c>
      <c r="C81" s="1111"/>
      <c r="D81" s="1111"/>
      <c r="E81" s="1111"/>
      <c r="F81" s="1111"/>
      <c r="G81" s="215"/>
      <c r="H81" s="216"/>
      <c r="I81" s="216"/>
    </row>
    <row r="82" spans="2:9" hidden="1" x14ac:dyDescent="0.35">
      <c r="B82" s="803"/>
      <c r="C82" s="808"/>
      <c r="D82" s="303"/>
      <c r="E82" s="303"/>
      <c r="F82" s="303"/>
      <c r="G82" s="110"/>
      <c r="H82" s="110"/>
      <c r="I82" s="110"/>
    </row>
    <row r="83" spans="2:9" x14ac:dyDescent="0.35">
      <c r="B83" s="202">
        <v>2.2999999999999998</v>
      </c>
      <c r="C83" s="1100" t="s">
        <v>281</v>
      </c>
      <c r="D83" s="1100"/>
      <c r="E83" s="1100"/>
      <c r="F83" s="1006"/>
      <c r="G83" s="110"/>
      <c r="H83" s="110"/>
      <c r="I83" s="110"/>
    </row>
    <row r="84" spans="2:9" x14ac:dyDescent="0.35">
      <c r="B84" s="202"/>
      <c r="C84" s="40"/>
      <c r="D84" s="117"/>
      <c r="E84" s="117"/>
      <c r="F84" s="117"/>
      <c r="G84" s="110"/>
      <c r="H84" s="110"/>
      <c r="I84" s="110"/>
    </row>
    <row r="85" spans="2:9" ht="90" customHeight="1" x14ac:dyDescent="0.35">
      <c r="B85" s="110"/>
      <c r="C85" s="1098" t="s">
        <v>282</v>
      </c>
      <c r="D85" s="1098"/>
      <c r="E85" s="1098"/>
      <c r="F85" s="1098"/>
      <c r="G85" s="803"/>
      <c r="H85" s="110"/>
      <c r="I85" s="110"/>
    </row>
    <row r="86" spans="2:9" x14ac:dyDescent="0.35">
      <c r="B86" s="218"/>
      <c r="C86" s="219" t="s">
        <v>283</v>
      </c>
      <c r="D86" s="117"/>
      <c r="E86" s="117"/>
      <c r="G86" s="110"/>
      <c r="H86" s="110"/>
      <c r="I86" s="110"/>
    </row>
    <row r="87" spans="2:9" ht="25" customHeight="1" x14ac:dyDescent="0.35">
      <c r="B87" s="110"/>
      <c r="C87" s="1097" t="s">
        <v>284</v>
      </c>
      <c r="D87" s="1097"/>
      <c r="E87" s="1097"/>
      <c r="F87" s="1097"/>
      <c r="G87" s="803"/>
      <c r="H87" s="110"/>
      <c r="I87" s="110"/>
    </row>
    <row r="88" spans="2:9" x14ac:dyDescent="0.35">
      <c r="B88" s="110"/>
      <c r="C88" s="218" t="s">
        <v>285</v>
      </c>
      <c r="D88" s="220" t="s">
        <v>286</v>
      </c>
      <c r="E88" s="117"/>
      <c r="F88" s="117"/>
      <c r="G88" s="110"/>
      <c r="H88" s="110"/>
      <c r="I88" s="110"/>
    </row>
    <row r="89" spans="2:9" ht="18.649999999999999" customHeight="1" x14ac:dyDescent="0.35">
      <c r="B89" s="308"/>
      <c r="C89" s="308"/>
      <c r="D89" s="1098" t="s">
        <v>287</v>
      </c>
      <c r="E89" s="1098"/>
      <c r="F89" s="1098"/>
      <c r="G89" s="803"/>
      <c r="H89" s="110"/>
      <c r="I89" s="110"/>
    </row>
    <row r="90" spans="2:9" x14ac:dyDescent="0.35">
      <c r="B90" s="110"/>
      <c r="C90" s="218" t="s">
        <v>288</v>
      </c>
      <c r="D90" s="220" t="s">
        <v>289</v>
      </c>
      <c r="E90" s="117"/>
      <c r="F90" s="117"/>
      <c r="G90" s="110"/>
      <c r="H90" s="110"/>
      <c r="I90" s="110"/>
    </row>
    <row r="91" spans="2:9" ht="92.15" customHeight="1" x14ac:dyDescent="0.35">
      <c r="B91" s="308"/>
      <c r="C91" s="308"/>
      <c r="D91" s="1098" t="s">
        <v>290</v>
      </c>
      <c r="E91" s="1098"/>
      <c r="F91" s="1098"/>
      <c r="G91" s="803"/>
      <c r="H91" s="110"/>
      <c r="I91" s="110"/>
    </row>
    <row r="92" spans="2:9" x14ac:dyDescent="0.35">
      <c r="B92" s="308"/>
      <c r="C92" s="308"/>
      <c r="D92" s="808"/>
      <c r="E92" s="808"/>
      <c r="F92" s="808"/>
      <c r="G92" s="803"/>
      <c r="H92" s="110"/>
      <c r="I92" s="110"/>
    </row>
    <row r="93" spans="2:9" x14ac:dyDescent="0.35">
      <c r="B93" s="308"/>
      <c r="C93" s="218" t="s">
        <v>291</v>
      </c>
      <c r="D93" s="305" t="s">
        <v>292</v>
      </c>
      <c r="E93" s="303"/>
      <c r="F93" s="303"/>
      <c r="G93" s="803"/>
      <c r="H93" s="110"/>
      <c r="I93" s="110"/>
    </row>
    <row r="94" spans="2:9" ht="93" customHeight="1" x14ac:dyDescent="0.35">
      <c r="B94" s="308"/>
      <c r="D94" s="1098" t="s">
        <v>293</v>
      </c>
      <c r="E94" s="1098"/>
      <c r="F94" s="1098"/>
      <c r="G94" s="110"/>
      <c r="H94" s="110"/>
      <c r="I94" s="110"/>
    </row>
    <row r="95" spans="2:9" x14ac:dyDescent="0.35">
      <c r="B95" s="308"/>
      <c r="D95" s="808"/>
      <c r="E95" s="808"/>
      <c r="F95" s="808"/>
      <c r="G95" s="110"/>
      <c r="H95" s="110"/>
      <c r="I95" s="110"/>
    </row>
    <row r="96" spans="2:9" x14ac:dyDescent="0.35">
      <c r="B96" s="218"/>
      <c r="C96" s="218" t="s">
        <v>294</v>
      </c>
      <c r="D96" s="220" t="s">
        <v>295</v>
      </c>
      <c r="E96" s="117"/>
      <c r="F96" s="117"/>
      <c r="G96" s="110"/>
      <c r="H96" s="110"/>
      <c r="I96" s="110"/>
    </row>
    <row r="97" spans="2:9" ht="37" customHeight="1" x14ac:dyDescent="0.35">
      <c r="B97" s="308"/>
      <c r="D97" s="1098" t="s">
        <v>296</v>
      </c>
      <c r="E97" s="1098"/>
      <c r="F97" s="1098"/>
      <c r="G97" s="110"/>
      <c r="H97" s="110"/>
      <c r="I97" s="110"/>
    </row>
    <row r="98" spans="2:9" x14ac:dyDescent="0.35">
      <c r="B98" s="202"/>
      <c r="C98" s="40"/>
      <c r="D98" s="40"/>
      <c r="E98" s="40"/>
      <c r="F98" s="1006"/>
      <c r="G98" s="110"/>
      <c r="H98" s="110"/>
      <c r="I98" s="110"/>
    </row>
    <row r="99" spans="2:9" x14ac:dyDescent="0.35">
      <c r="B99" s="218"/>
      <c r="C99" s="88" t="s">
        <v>297</v>
      </c>
      <c r="D99" s="220" t="s">
        <v>298</v>
      </c>
      <c r="E99" s="117"/>
      <c r="F99" s="117"/>
      <c r="G99" s="110"/>
      <c r="H99" s="110"/>
      <c r="I99" s="110"/>
    </row>
    <row r="100" spans="2:9" ht="37" customHeight="1" x14ac:dyDescent="0.35">
      <c r="B100" s="308"/>
      <c r="C100" s="636"/>
      <c r="D100" s="1097" t="s">
        <v>299</v>
      </c>
      <c r="E100" s="1097"/>
      <c r="F100" s="1097"/>
      <c r="G100" s="803"/>
      <c r="H100" s="110"/>
      <c r="I100" s="110"/>
    </row>
    <row r="101" spans="2:9" hidden="1" x14ac:dyDescent="0.35">
      <c r="B101" s="308"/>
      <c r="C101" s="636"/>
      <c r="D101" s="303"/>
      <c r="E101" s="303"/>
      <c r="F101" s="303"/>
      <c r="G101" s="803"/>
      <c r="H101" s="110"/>
      <c r="I101" s="110"/>
    </row>
    <row r="102" spans="2:9" x14ac:dyDescent="0.35">
      <c r="B102" s="308"/>
      <c r="C102" s="636"/>
      <c r="D102" s="303"/>
      <c r="E102" s="303"/>
      <c r="F102" s="303"/>
      <c r="G102" s="803"/>
      <c r="H102" s="110"/>
      <c r="I102" s="110"/>
    </row>
    <row r="103" spans="2:9" hidden="1" x14ac:dyDescent="0.35">
      <c r="B103" s="110"/>
      <c r="C103" s="471"/>
      <c r="D103" s="308"/>
      <c r="E103" s="117"/>
      <c r="F103" s="117"/>
      <c r="G103" s="110"/>
      <c r="H103" s="110"/>
      <c r="I103" s="110"/>
    </row>
    <row r="104" spans="2:9" x14ac:dyDescent="0.35">
      <c r="B104" s="218"/>
      <c r="C104" s="88" t="s">
        <v>300</v>
      </c>
      <c r="D104" s="220" t="s">
        <v>301</v>
      </c>
      <c r="E104" s="117"/>
      <c r="F104" s="117"/>
      <c r="G104" s="110"/>
      <c r="H104" s="110"/>
      <c r="I104" s="110"/>
    </row>
    <row r="105" spans="2:9" ht="25.4" customHeight="1" x14ac:dyDescent="0.35">
      <c r="B105" s="110"/>
      <c r="C105" s="471"/>
      <c r="D105" s="1097" t="s">
        <v>302</v>
      </c>
      <c r="E105" s="1097"/>
      <c r="F105" s="1097"/>
      <c r="G105" s="803"/>
      <c r="H105" s="110"/>
      <c r="I105" s="110"/>
    </row>
    <row r="106" spans="2:9" hidden="1" x14ac:dyDescent="0.35">
      <c r="B106" s="110"/>
      <c r="C106" s="471"/>
      <c r="E106" s="117"/>
      <c r="F106" s="117"/>
      <c r="G106" s="110"/>
      <c r="H106" s="110"/>
      <c r="I106" s="110"/>
    </row>
    <row r="107" spans="2:9" x14ac:dyDescent="0.35">
      <c r="B107" s="110"/>
      <c r="C107" s="471"/>
      <c r="E107" s="117"/>
      <c r="F107" s="117"/>
      <c r="G107" s="110"/>
      <c r="H107" s="110"/>
      <c r="I107" s="110"/>
    </row>
    <row r="108" spans="2:9" x14ac:dyDescent="0.35">
      <c r="B108" s="218"/>
      <c r="C108" s="88" t="s">
        <v>303</v>
      </c>
      <c r="D108" s="307" t="s">
        <v>304</v>
      </c>
      <c r="E108" s="117"/>
      <c r="F108" s="117"/>
      <c r="G108" s="110"/>
      <c r="H108" s="110"/>
      <c r="I108" s="110"/>
    </row>
    <row r="109" spans="2:9" ht="24.65" customHeight="1" x14ac:dyDescent="0.35">
      <c r="B109" s="110"/>
      <c r="C109" s="471"/>
      <c r="D109" s="1097" t="s">
        <v>305</v>
      </c>
      <c r="E109" s="1097"/>
      <c r="F109" s="1097"/>
      <c r="G109" s="803"/>
      <c r="H109" s="110"/>
      <c r="I109" s="110"/>
    </row>
    <row r="110" spans="2:9" x14ac:dyDescent="0.35">
      <c r="B110" s="110"/>
      <c r="C110" s="471"/>
      <c r="D110" s="303"/>
      <c r="E110" s="303"/>
      <c r="F110" s="303"/>
      <c r="G110" s="803"/>
      <c r="H110" s="110"/>
      <c r="I110" s="110"/>
    </row>
    <row r="111" spans="2:9" x14ac:dyDescent="0.35">
      <c r="B111" s="110"/>
      <c r="C111" s="88" t="s">
        <v>306</v>
      </c>
      <c r="D111" s="305" t="s">
        <v>307</v>
      </c>
      <c r="E111" s="303"/>
      <c r="F111" s="303"/>
      <c r="G111" s="803"/>
      <c r="H111" s="110"/>
      <c r="I111" s="110"/>
    </row>
    <row r="112" spans="2:9" ht="46.4" customHeight="1" x14ac:dyDescent="0.35">
      <c r="B112" s="110"/>
      <c r="C112" s="471"/>
      <c r="D112" s="1097" t="s">
        <v>308</v>
      </c>
      <c r="E112" s="1097"/>
      <c r="F112" s="1097"/>
      <c r="G112" s="803"/>
      <c r="H112" s="110"/>
      <c r="I112" s="110"/>
    </row>
    <row r="113" spans="1:10" x14ac:dyDescent="0.35">
      <c r="B113" s="110"/>
      <c r="C113" s="471"/>
      <c r="D113" s="1097"/>
      <c r="E113" s="1097"/>
      <c r="F113" s="1097"/>
      <c r="G113" s="803"/>
      <c r="H113" s="110"/>
      <c r="I113" s="110"/>
    </row>
    <row r="114" spans="1:10" x14ac:dyDescent="0.35">
      <c r="B114" s="218"/>
      <c r="C114" s="88" t="s">
        <v>309</v>
      </c>
      <c r="D114" s="220" t="s">
        <v>310</v>
      </c>
      <c r="E114" s="117"/>
      <c r="F114" s="117"/>
      <c r="G114" s="110"/>
      <c r="H114" s="110"/>
      <c r="I114" s="110"/>
    </row>
    <row r="115" spans="1:10" ht="13.4" customHeight="1" x14ac:dyDescent="0.35">
      <c r="B115" s="110"/>
      <c r="C115" s="471"/>
      <c r="D115" s="1097" t="s">
        <v>311</v>
      </c>
      <c r="E115" s="1097"/>
      <c r="F115" s="1097"/>
      <c r="G115" s="803"/>
      <c r="H115" s="110"/>
      <c r="I115" s="110"/>
    </row>
    <row r="116" spans="1:10" s="200" customFormat="1" x14ac:dyDescent="0.35">
      <c r="B116" s="34" t="s">
        <v>0</v>
      </c>
      <c r="C116" s="34"/>
      <c r="D116" s="34"/>
      <c r="E116" s="34"/>
      <c r="F116" s="201"/>
      <c r="G116" s="202"/>
      <c r="H116" s="203"/>
      <c r="I116" s="203"/>
      <c r="J116" s="203"/>
    </row>
    <row r="117" spans="1:10" s="200" customFormat="1" x14ac:dyDescent="0.35">
      <c r="A117" s="38"/>
      <c r="B117" s="34" t="s">
        <v>236</v>
      </c>
      <c r="C117" s="204"/>
      <c r="D117" s="205"/>
      <c r="E117" s="205"/>
      <c r="F117" s="205"/>
      <c r="G117" s="205"/>
      <c r="H117" s="203"/>
      <c r="I117" s="203"/>
      <c r="J117" s="203"/>
    </row>
    <row r="118" spans="1:10" s="200" customFormat="1" x14ac:dyDescent="0.35">
      <c r="B118" s="206"/>
      <c r="C118" s="207"/>
      <c r="D118" s="208"/>
      <c r="E118" s="208"/>
      <c r="F118" s="208"/>
      <c r="G118" s="208"/>
      <c r="H118" s="203"/>
      <c r="I118" s="203"/>
      <c r="J118" s="203"/>
    </row>
    <row r="119" spans="1:10" x14ac:dyDescent="0.35">
      <c r="B119" s="110"/>
      <c r="C119" s="471"/>
      <c r="D119" s="303"/>
      <c r="E119" s="303"/>
      <c r="F119" s="303"/>
      <c r="G119" s="110"/>
      <c r="H119" s="110"/>
      <c r="I119" s="110"/>
    </row>
    <row r="120" spans="1:10" x14ac:dyDescent="0.35">
      <c r="B120" s="202">
        <v>2.4</v>
      </c>
      <c r="C120" s="1100" t="s">
        <v>312</v>
      </c>
      <c r="D120" s="1100"/>
      <c r="E120" s="1100"/>
      <c r="F120" s="1006"/>
      <c r="G120" s="110"/>
      <c r="H120" s="110"/>
      <c r="I120" s="110"/>
    </row>
    <row r="121" spans="1:10" x14ac:dyDescent="0.35">
      <c r="B121" s="202"/>
      <c r="C121" s="1103" t="s">
        <v>313</v>
      </c>
      <c r="D121" s="1103"/>
      <c r="E121" s="1103"/>
      <c r="F121" s="1103"/>
      <c r="G121" s="803"/>
      <c r="H121" s="110"/>
      <c r="I121" s="110"/>
    </row>
    <row r="122" spans="1:10" x14ac:dyDescent="0.35">
      <c r="B122" s="202"/>
      <c r="C122" s="978"/>
      <c r="D122" s="978"/>
      <c r="E122" s="978"/>
      <c r="F122" s="978"/>
      <c r="G122" s="803"/>
      <c r="H122" s="110"/>
      <c r="I122" s="110"/>
    </row>
    <row r="123" spans="1:10" x14ac:dyDescent="0.35">
      <c r="B123" s="213"/>
      <c r="C123" s="1100" t="s">
        <v>314</v>
      </c>
      <c r="D123" s="1100"/>
      <c r="E123" s="1100"/>
      <c r="F123" s="117"/>
      <c r="G123" s="110"/>
      <c r="H123" s="110"/>
      <c r="I123" s="110"/>
    </row>
    <row r="124" spans="1:10" ht="75.650000000000006" customHeight="1" x14ac:dyDescent="0.35">
      <c r="B124" s="213"/>
      <c r="C124" s="1098" t="s">
        <v>315</v>
      </c>
      <c r="D124" s="1098"/>
      <c r="E124" s="1098"/>
      <c r="F124" s="1098"/>
      <c r="G124" s="110"/>
      <c r="H124" s="110"/>
      <c r="I124" s="110"/>
    </row>
    <row r="125" spans="1:10" ht="31.4" customHeight="1" x14ac:dyDescent="0.35">
      <c r="B125" s="213"/>
      <c r="C125" s="1098" t="s">
        <v>316</v>
      </c>
      <c r="D125" s="1098"/>
      <c r="E125" s="1098"/>
      <c r="F125" s="1098"/>
      <c r="G125" s="110"/>
      <c r="H125" s="110"/>
      <c r="I125" s="110"/>
    </row>
    <row r="126" spans="1:10" ht="48" customHeight="1" x14ac:dyDescent="0.35">
      <c r="B126" s="213"/>
      <c r="C126" s="1098" t="s">
        <v>317</v>
      </c>
      <c r="D126" s="1098"/>
      <c r="E126" s="1098"/>
      <c r="F126" s="1098"/>
      <c r="G126" s="110"/>
      <c r="H126" s="110"/>
      <c r="I126" s="110"/>
    </row>
    <row r="127" spans="1:10" ht="7.4" customHeight="1" x14ac:dyDescent="0.35">
      <c r="B127" s="213"/>
      <c r="C127" s="808"/>
      <c r="D127" s="808"/>
      <c r="E127" s="808"/>
      <c r="F127" s="808"/>
      <c r="G127" s="110"/>
      <c r="H127" s="110"/>
      <c r="I127" s="110"/>
    </row>
    <row r="128" spans="1:10" ht="61.4" customHeight="1" x14ac:dyDescent="0.35">
      <c r="B128" s="213"/>
      <c r="C128" s="1098" t="s">
        <v>318</v>
      </c>
      <c r="D128" s="1098"/>
      <c r="E128" s="1098"/>
      <c r="F128" s="1098"/>
      <c r="G128" s="110"/>
      <c r="H128" s="110"/>
      <c r="I128" s="110"/>
    </row>
    <row r="129" spans="2:9" hidden="1" x14ac:dyDescent="0.35">
      <c r="B129" s="202">
        <v>2.4</v>
      </c>
      <c r="C129" s="1100" t="s">
        <v>319</v>
      </c>
      <c r="D129" s="1100"/>
      <c r="E129" s="1100"/>
      <c r="F129" s="808"/>
      <c r="G129" s="110"/>
      <c r="H129" s="110"/>
      <c r="I129" s="110"/>
    </row>
    <row r="130" spans="2:9" hidden="1" x14ac:dyDescent="0.35">
      <c r="B130" s="202">
        <v>2.4</v>
      </c>
      <c r="C130" s="1100" t="s">
        <v>319</v>
      </c>
      <c r="D130" s="1100"/>
      <c r="E130" s="1100"/>
      <c r="F130" s="1006"/>
      <c r="G130" s="110"/>
      <c r="H130" s="110"/>
      <c r="I130" s="110"/>
    </row>
    <row r="131" spans="2:9" ht="177.65" customHeight="1" x14ac:dyDescent="0.35">
      <c r="B131" s="213"/>
      <c r="C131" s="1098" t="s">
        <v>320</v>
      </c>
      <c r="D131" s="1098"/>
      <c r="E131" s="1098"/>
      <c r="F131" s="1098"/>
      <c r="G131" s="110"/>
      <c r="H131" s="110"/>
      <c r="I131" s="110"/>
    </row>
    <row r="132" spans="2:9" x14ac:dyDescent="0.35">
      <c r="B132" s="213"/>
      <c r="C132" s="303"/>
      <c r="D132" s="306"/>
      <c r="E132" s="306"/>
      <c r="F132" s="117"/>
      <c r="G132" s="110"/>
      <c r="H132" s="110"/>
      <c r="I132" s="110"/>
    </row>
    <row r="133" spans="2:9" x14ac:dyDescent="0.35">
      <c r="B133" s="202">
        <v>2.5</v>
      </c>
      <c r="C133" s="1100" t="s">
        <v>188</v>
      </c>
      <c r="D133" s="1100"/>
      <c r="E133" s="1100"/>
      <c r="F133" s="1006"/>
      <c r="G133" s="110"/>
      <c r="H133" s="110"/>
      <c r="I133" s="110"/>
    </row>
    <row r="134" spans="2:9" ht="60" customHeight="1" x14ac:dyDescent="0.35">
      <c r="B134" s="202"/>
      <c r="C134" s="1103" t="s">
        <v>321</v>
      </c>
      <c r="D134" s="1103"/>
      <c r="E134" s="1103"/>
      <c r="F134" s="1103"/>
      <c r="G134" s="803"/>
      <c r="H134" s="110"/>
      <c r="I134" s="110"/>
    </row>
    <row r="135" spans="2:9" hidden="1" x14ac:dyDescent="0.35">
      <c r="B135" s="213"/>
      <c r="C135" s="303"/>
      <c r="D135" s="306"/>
      <c r="E135" s="306"/>
      <c r="F135" s="117"/>
      <c r="G135" s="110"/>
      <c r="H135" s="110"/>
      <c r="I135" s="110"/>
    </row>
    <row r="136" spans="2:9" ht="8.15" customHeight="1" x14ac:dyDescent="0.35">
      <c r="B136" s="213"/>
      <c r="C136" s="303"/>
      <c r="D136" s="306"/>
      <c r="E136" s="306"/>
      <c r="F136" s="117"/>
      <c r="G136" s="110"/>
      <c r="H136" s="110"/>
      <c r="I136" s="110"/>
    </row>
    <row r="137" spans="2:9" ht="37.4" customHeight="1" x14ac:dyDescent="0.35">
      <c r="B137" s="202"/>
      <c r="C137" s="1103" t="s">
        <v>322</v>
      </c>
      <c r="D137" s="1103"/>
      <c r="E137" s="1103"/>
      <c r="F137" s="1103"/>
      <c r="G137" s="803"/>
      <c r="H137" s="110"/>
      <c r="I137" s="110"/>
    </row>
    <row r="138" spans="2:9" hidden="1" x14ac:dyDescent="0.35">
      <c r="B138" s="213"/>
      <c r="C138" s="303"/>
      <c r="D138" s="306"/>
      <c r="E138" s="306"/>
      <c r="F138" s="117"/>
      <c r="G138" s="110"/>
      <c r="H138" s="110"/>
      <c r="I138" s="110"/>
    </row>
    <row r="139" spans="2:9" ht="8.15" customHeight="1" x14ac:dyDescent="0.35">
      <c r="B139" s="213"/>
      <c r="C139" s="303"/>
      <c r="D139" s="306"/>
      <c r="E139" s="306"/>
      <c r="F139" s="117"/>
      <c r="G139" s="110"/>
      <c r="H139" s="110"/>
      <c r="I139" s="110"/>
    </row>
    <row r="140" spans="2:9" ht="25.4" customHeight="1" x14ac:dyDescent="0.35">
      <c r="B140" s="202"/>
      <c r="C140" s="1098" t="s">
        <v>323</v>
      </c>
      <c r="D140" s="1098"/>
      <c r="E140" s="1098"/>
      <c r="F140" s="1098"/>
      <c r="G140" s="803"/>
      <c r="H140" s="110"/>
      <c r="I140" s="110"/>
    </row>
    <row r="141" spans="2:9" hidden="1" x14ac:dyDescent="0.35">
      <c r="B141" s="213"/>
      <c r="C141" s="303"/>
      <c r="D141" s="306"/>
      <c r="E141" s="306"/>
      <c r="F141" s="117"/>
      <c r="G141" s="110"/>
      <c r="H141" s="110"/>
      <c r="I141" s="110"/>
    </row>
    <row r="142" spans="2:9" ht="8.15" customHeight="1" x14ac:dyDescent="0.35">
      <c r="B142" s="213"/>
      <c r="C142" s="303"/>
      <c r="D142" s="306"/>
      <c r="E142" s="306"/>
      <c r="F142" s="117"/>
      <c r="G142" s="110"/>
      <c r="H142" s="110"/>
      <c r="I142" s="110"/>
    </row>
    <row r="143" spans="2:9" ht="37.4" customHeight="1" x14ac:dyDescent="0.35">
      <c r="B143" s="202"/>
      <c r="C143" s="1098" t="s">
        <v>324</v>
      </c>
      <c r="D143" s="1098"/>
      <c r="E143" s="1098"/>
      <c r="F143" s="1098"/>
      <c r="G143" s="803"/>
      <c r="H143" s="110"/>
      <c r="I143" s="110"/>
    </row>
    <row r="144" spans="2:9" ht="13.4" hidden="1" customHeight="1" x14ac:dyDescent="0.35">
      <c r="B144" s="202"/>
      <c r="C144" s="1117" t="s">
        <v>325</v>
      </c>
      <c r="D144" s="1117"/>
      <c r="E144" s="1117"/>
      <c r="F144" s="1117"/>
      <c r="G144" s="803"/>
      <c r="H144" s="110"/>
      <c r="I144" s="110"/>
    </row>
    <row r="145" spans="2:9" ht="8.15" customHeight="1" x14ac:dyDescent="0.35">
      <c r="B145" s="213"/>
      <c r="C145" s="303"/>
      <c r="D145" s="306"/>
      <c r="E145" s="306"/>
      <c r="F145" s="117"/>
      <c r="G145" s="110"/>
      <c r="H145" s="110"/>
      <c r="I145" s="110"/>
    </row>
    <row r="146" spans="2:9" x14ac:dyDescent="0.35">
      <c r="B146" s="202">
        <v>2.6</v>
      </c>
      <c r="C146" s="1100" t="s">
        <v>326</v>
      </c>
      <c r="D146" s="1100"/>
      <c r="E146" s="1100"/>
      <c r="F146" s="1006"/>
      <c r="G146" s="110"/>
      <c r="H146" s="110"/>
      <c r="I146" s="110"/>
    </row>
    <row r="147" spans="2:9" ht="61.4" customHeight="1" x14ac:dyDescent="0.35">
      <c r="B147" s="202"/>
      <c r="C147" s="1103" t="s">
        <v>327</v>
      </c>
      <c r="D147" s="1103"/>
      <c r="E147" s="1103"/>
      <c r="F147" s="1103"/>
      <c r="G147" s="803"/>
      <c r="H147" s="110"/>
      <c r="I147" s="110"/>
    </row>
    <row r="148" spans="2:9" ht="13.4" hidden="1" customHeight="1" x14ac:dyDescent="0.35">
      <c r="B148" s="202"/>
      <c r="C148" s="1104" t="s">
        <v>328</v>
      </c>
      <c r="D148" s="1104"/>
      <c r="E148" s="1104"/>
      <c r="F148" s="1104"/>
      <c r="G148" s="803"/>
      <c r="H148" s="110"/>
      <c r="I148" s="110"/>
    </row>
    <row r="149" spans="2:9" x14ac:dyDescent="0.35">
      <c r="B149" s="803"/>
      <c r="C149" s="808"/>
      <c r="D149" s="808"/>
      <c r="E149" s="808"/>
      <c r="F149" s="808"/>
      <c r="G149" s="803"/>
      <c r="H149" s="110"/>
      <c r="I149" s="110"/>
    </row>
    <row r="150" spans="2:9" hidden="1" x14ac:dyDescent="0.35">
      <c r="B150" s="803"/>
      <c r="C150" s="808"/>
      <c r="D150" s="808"/>
      <c r="E150" s="808"/>
      <c r="F150" s="808"/>
      <c r="G150" s="803"/>
      <c r="H150" s="110"/>
      <c r="I150" s="110"/>
    </row>
    <row r="151" spans="2:9" hidden="1" x14ac:dyDescent="0.35">
      <c r="B151" s="803"/>
      <c r="C151" s="808"/>
      <c r="D151" s="808"/>
      <c r="E151" s="808"/>
      <c r="F151" s="808"/>
      <c r="G151" s="803"/>
      <c r="H151" s="110"/>
      <c r="I151" s="110"/>
    </row>
    <row r="152" spans="2:9" hidden="1" x14ac:dyDescent="0.35">
      <c r="B152" s="803"/>
      <c r="C152" s="808"/>
      <c r="D152" s="808"/>
      <c r="E152" s="808"/>
      <c r="F152" s="808"/>
      <c r="G152" s="803"/>
      <c r="H152" s="110"/>
      <c r="I152" s="110"/>
    </row>
    <row r="153" spans="2:9" hidden="1" x14ac:dyDescent="0.35">
      <c r="B153" s="803"/>
      <c r="C153" s="808"/>
      <c r="D153" s="808"/>
      <c r="E153" s="808"/>
      <c r="F153" s="808"/>
      <c r="G153" s="803"/>
      <c r="H153" s="110"/>
      <c r="I153" s="110"/>
    </row>
    <row r="154" spans="2:9" hidden="1" x14ac:dyDescent="0.35">
      <c r="B154" s="803"/>
      <c r="C154" s="808"/>
      <c r="D154" s="808"/>
      <c r="E154" s="808"/>
      <c r="F154" s="808"/>
      <c r="G154" s="803"/>
      <c r="H154" s="110"/>
      <c r="I154" s="110"/>
    </row>
    <row r="155" spans="2:9" hidden="1" x14ac:dyDescent="0.35">
      <c r="B155" s="803"/>
      <c r="C155" s="808"/>
      <c r="D155" s="808"/>
      <c r="E155" s="808"/>
      <c r="F155" s="808"/>
      <c r="G155" s="803"/>
      <c r="H155" s="110"/>
      <c r="I155" s="110"/>
    </row>
    <row r="156" spans="2:9" hidden="1" x14ac:dyDescent="0.35">
      <c r="B156" s="803"/>
      <c r="C156" s="808"/>
      <c r="D156" s="808"/>
      <c r="E156" s="808"/>
      <c r="F156" s="808"/>
      <c r="G156" s="803"/>
      <c r="H156" s="110"/>
      <c r="I156" s="110"/>
    </row>
    <row r="157" spans="2:9" hidden="1" x14ac:dyDescent="0.35">
      <c r="B157" s="803"/>
      <c r="C157" s="808"/>
      <c r="D157" s="808"/>
      <c r="E157" s="808"/>
      <c r="F157" s="808"/>
      <c r="G157" s="803"/>
      <c r="H157" s="110"/>
      <c r="I157" s="110"/>
    </row>
    <row r="158" spans="2:9" hidden="1" x14ac:dyDescent="0.35">
      <c r="B158" s="803"/>
      <c r="C158" s="808"/>
      <c r="D158" s="808"/>
      <c r="E158" s="808"/>
      <c r="F158" s="808"/>
      <c r="G158" s="803"/>
      <c r="H158" s="110"/>
      <c r="I158" s="110"/>
    </row>
    <row r="159" spans="2:9" hidden="1" x14ac:dyDescent="0.35">
      <c r="B159" s="803"/>
      <c r="C159" s="808"/>
      <c r="D159" s="808"/>
      <c r="E159" s="808"/>
      <c r="F159" s="808"/>
      <c r="G159" s="803"/>
      <c r="H159" s="110"/>
      <c r="I159" s="110"/>
    </row>
    <row r="160" spans="2:9" s="217" customFormat="1" hidden="1" x14ac:dyDescent="0.35">
      <c r="B160" s="1111" t="s">
        <v>280</v>
      </c>
      <c r="C160" s="1111"/>
      <c r="D160" s="1111"/>
      <c r="E160" s="1111"/>
      <c r="F160" s="1111"/>
      <c r="G160" s="215"/>
      <c r="H160" s="216"/>
      <c r="I160" s="216"/>
    </row>
    <row r="161" spans="1:10" hidden="1" x14ac:dyDescent="0.35">
      <c r="B161" s="202"/>
      <c r="C161" s="978"/>
      <c r="D161" s="978"/>
      <c r="E161" s="978"/>
      <c r="F161" s="978"/>
      <c r="G161" s="803"/>
      <c r="H161" s="110"/>
      <c r="I161" s="110"/>
    </row>
    <row r="162" spans="1:10" s="200" customFormat="1" x14ac:dyDescent="0.35">
      <c r="B162" s="34" t="s">
        <v>0</v>
      </c>
      <c r="C162" s="34"/>
      <c r="D162" s="34"/>
      <c r="E162" s="34"/>
      <c r="F162" s="201"/>
      <c r="G162" s="202"/>
      <c r="H162" s="203"/>
      <c r="I162" s="203"/>
      <c r="J162" s="203"/>
    </row>
    <row r="163" spans="1:10" s="200" customFormat="1" x14ac:dyDescent="0.35">
      <c r="A163" s="38"/>
      <c r="B163" s="34" t="s">
        <v>236</v>
      </c>
      <c r="C163" s="204"/>
      <c r="D163" s="205"/>
      <c r="E163" s="205"/>
      <c r="F163" s="205"/>
      <c r="G163" s="205"/>
      <c r="H163" s="203"/>
      <c r="I163" s="203"/>
      <c r="J163" s="203"/>
    </row>
    <row r="164" spans="1:10" s="200" customFormat="1" x14ac:dyDescent="0.35">
      <c r="B164" s="206"/>
      <c r="C164" s="207"/>
      <c r="D164" s="208"/>
      <c r="E164" s="208"/>
      <c r="F164" s="208"/>
      <c r="G164" s="208"/>
      <c r="H164" s="203"/>
      <c r="I164" s="203"/>
      <c r="J164" s="203"/>
    </row>
    <row r="165" spans="1:10" x14ac:dyDescent="0.35">
      <c r="B165" s="202"/>
      <c r="C165" s="978"/>
      <c r="D165" s="978"/>
      <c r="E165" s="978"/>
      <c r="F165" s="978"/>
      <c r="G165" s="803"/>
      <c r="H165" s="110"/>
      <c r="I165" s="110"/>
    </row>
    <row r="166" spans="1:10" x14ac:dyDescent="0.35">
      <c r="B166" s="202">
        <v>2.7</v>
      </c>
      <c r="C166" s="221" t="s">
        <v>157</v>
      </c>
      <c r="D166" s="1013"/>
      <c r="E166" s="1013"/>
      <c r="F166" s="1013"/>
      <c r="G166" s="110"/>
      <c r="H166" s="110"/>
      <c r="I166" s="110"/>
    </row>
    <row r="167" spans="1:10" x14ac:dyDescent="0.35">
      <c r="B167" s="202"/>
      <c r="C167" s="1098" t="s">
        <v>329</v>
      </c>
      <c r="D167" s="1098"/>
      <c r="E167" s="1098"/>
      <c r="F167" s="1098"/>
      <c r="G167" s="803"/>
      <c r="H167" s="110"/>
      <c r="I167" s="110"/>
    </row>
    <row r="168" spans="1:10" ht="45" hidden="1" customHeight="1" x14ac:dyDescent="0.35">
      <c r="B168" s="202"/>
      <c r="C168" s="1098" t="s">
        <v>330</v>
      </c>
      <c r="D168" s="1098"/>
      <c r="E168" s="1098"/>
      <c r="F168" s="1098"/>
      <c r="G168" s="803"/>
      <c r="H168" s="110"/>
      <c r="I168" s="110"/>
    </row>
    <row r="169" spans="1:10" ht="13.4" hidden="1" customHeight="1" x14ac:dyDescent="0.35">
      <c r="B169" s="202"/>
      <c r="C169" s="1098" t="s">
        <v>331</v>
      </c>
      <c r="D169" s="1098"/>
      <c r="E169" s="1098"/>
      <c r="F169" s="1098"/>
      <c r="G169" s="803"/>
      <c r="H169" s="110"/>
      <c r="I169" s="110"/>
    </row>
    <row r="170" spans="1:10" x14ac:dyDescent="0.35">
      <c r="B170" s="202"/>
      <c r="C170" s="1098" t="s">
        <v>332</v>
      </c>
      <c r="D170" s="1098"/>
      <c r="E170" s="1098"/>
      <c r="F170" s="1098"/>
      <c r="G170" s="803"/>
      <c r="H170" s="110"/>
      <c r="I170" s="110"/>
    </row>
    <row r="171" spans="1:10" x14ac:dyDescent="0.35">
      <c r="B171" s="213"/>
      <c r="C171" s="303"/>
      <c r="D171" s="306"/>
      <c r="E171" s="306"/>
      <c r="F171" s="117"/>
      <c r="G171" s="110"/>
      <c r="H171" s="110"/>
      <c r="I171" s="110"/>
    </row>
    <row r="172" spans="1:10" s="34" customFormat="1" x14ac:dyDescent="0.25">
      <c r="B172" s="201"/>
      <c r="C172" s="451" t="s">
        <v>333</v>
      </c>
      <c r="D172" s="451"/>
      <c r="E172" s="451"/>
      <c r="F172" s="452" t="s">
        <v>334</v>
      </c>
    </row>
    <row r="173" spans="1:10" x14ac:dyDescent="0.25">
      <c r="B173" s="213"/>
      <c r="C173" s="986" t="s">
        <v>335</v>
      </c>
      <c r="D173" s="986"/>
      <c r="E173" s="986"/>
      <c r="F173" s="1014" t="s">
        <v>336</v>
      </c>
      <c r="G173" s="110"/>
      <c r="H173" s="110"/>
      <c r="I173" s="110"/>
    </row>
    <row r="174" spans="1:10" x14ac:dyDescent="0.25">
      <c r="B174" s="213"/>
      <c r="C174" s="986" t="s">
        <v>337</v>
      </c>
      <c r="D174" s="986"/>
      <c r="E174" s="986"/>
      <c r="F174" s="1014" t="s">
        <v>338</v>
      </c>
      <c r="G174" s="110"/>
      <c r="H174" s="110"/>
      <c r="I174" s="110"/>
    </row>
    <row r="175" spans="1:10" x14ac:dyDescent="0.25">
      <c r="B175" s="213"/>
      <c r="C175" s="986" t="s">
        <v>339</v>
      </c>
      <c r="D175" s="986"/>
      <c r="E175" s="986"/>
      <c r="F175" s="1014"/>
      <c r="G175" s="110"/>
      <c r="H175" s="110"/>
      <c r="I175" s="110"/>
    </row>
    <row r="176" spans="1:10" x14ac:dyDescent="0.25">
      <c r="B176" s="213"/>
      <c r="C176" s="986" t="s">
        <v>340</v>
      </c>
      <c r="D176" s="986"/>
      <c r="E176" s="986"/>
      <c r="F176" s="1014" t="s">
        <v>338</v>
      </c>
      <c r="G176" s="110"/>
      <c r="H176" s="110"/>
      <c r="I176" s="110"/>
    </row>
    <row r="177" spans="2:9" x14ac:dyDescent="0.25">
      <c r="B177" s="213"/>
      <c r="C177" s="986" t="s">
        <v>341</v>
      </c>
      <c r="D177" s="986"/>
      <c r="E177" s="986"/>
      <c r="F177" s="1014" t="s">
        <v>338</v>
      </c>
      <c r="G177" s="110"/>
      <c r="H177" s="110"/>
      <c r="I177" s="110"/>
    </row>
    <row r="178" spans="2:9" x14ac:dyDescent="0.25">
      <c r="B178" s="213"/>
      <c r="C178" s="986" t="s">
        <v>342</v>
      </c>
      <c r="D178" s="986"/>
      <c r="E178" s="986"/>
      <c r="F178" s="1014" t="s">
        <v>338</v>
      </c>
      <c r="G178" s="110"/>
      <c r="H178" s="110"/>
      <c r="I178" s="110"/>
    </row>
    <row r="179" spans="2:9" x14ac:dyDescent="0.25">
      <c r="B179" s="213"/>
      <c r="C179" s="986" t="s">
        <v>343</v>
      </c>
      <c r="D179" s="986"/>
      <c r="E179" s="986"/>
      <c r="F179" s="1014" t="s">
        <v>338</v>
      </c>
      <c r="G179" s="110"/>
      <c r="H179" s="110"/>
      <c r="I179" s="110"/>
    </row>
    <row r="180" spans="2:9" x14ac:dyDescent="0.25">
      <c r="B180" s="213"/>
      <c r="C180" s="986" t="s">
        <v>344</v>
      </c>
      <c r="D180" s="986"/>
      <c r="E180" s="986"/>
      <c r="F180" s="1014" t="s">
        <v>345</v>
      </c>
      <c r="G180" s="110"/>
      <c r="H180" s="110"/>
      <c r="I180" s="110"/>
    </row>
    <row r="181" spans="2:9" x14ac:dyDescent="0.35">
      <c r="B181" s="213"/>
      <c r="C181" s="303"/>
      <c r="D181" s="306"/>
      <c r="E181" s="306"/>
      <c r="F181" s="117"/>
      <c r="G181" s="110"/>
      <c r="H181" s="110"/>
      <c r="I181" s="110"/>
    </row>
    <row r="182" spans="2:9" ht="50.15" customHeight="1" x14ac:dyDescent="0.35">
      <c r="B182" s="213"/>
      <c r="C182" s="1097" t="s">
        <v>346</v>
      </c>
      <c r="D182" s="1097"/>
      <c r="E182" s="1097"/>
      <c r="F182" s="1097"/>
      <c r="G182" s="110"/>
      <c r="H182" s="110"/>
      <c r="I182" s="110"/>
    </row>
    <row r="183" spans="2:9" ht="13.4" hidden="1" customHeight="1" x14ac:dyDescent="0.35">
      <c r="B183" s="202">
        <v>2.7</v>
      </c>
      <c r="C183" s="221" t="s">
        <v>347</v>
      </c>
      <c r="D183" s="808"/>
      <c r="E183" s="808"/>
      <c r="F183" s="808"/>
      <c r="G183" s="803"/>
      <c r="H183" s="110"/>
      <c r="I183" s="110"/>
    </row>
    <row r="184" spans="2:9" x14ac:dyDescent="0.25">
      <c r="C184" s="451" t="s">
        <v>333</v>
      </c>
      <c r="D184" s="222"/>
      <c r="E184" s="223"/>
      <c r="F184" s="223" t="s">
        <v>334</v>
      </c>
      <c r="G184" s="803"/>
      <c r="H184" s="110"/>
      <c r="I184" s="110"/>
    </row>
    <row r="185" spans="2:9" x14ac:dyDescent="0.25">
      <c r="C185" s="986" t="s">
        <v>335</v>
      </c>
      <c r="D185" s="1015"/>
      <c r="E185" s="210"/>
      <c r="F185" s="210" t="s">
        <v>336</v>
      </c>
      <c r="G185" s="110"/>
      <c r="H185" s="110"/>
      <c r="I185" s="110"/>
    </row>
    <row r="186" spans="2:9" x14ac:dyDescent="0.25">
      <c r="C186" s="986" t="s">
        <v>337</v>
      </c>
      <c r="D186" s="1015"/>
      <c r="E186" s="1016"/>
      <c r="F186" s="1016" t="s">
        <v>345</v>
      </c>
      <c r="G186" s="110"/>
      <c r="H186" s="110"/>
      <c r="I186" s="110"/>
    </row>
    <row r="187" spans="2:9" x14ac:dyDescent="0.25">
      <c r="C187" s="986" t="s">
        <v>339</v>
      </c>
      <c r="D187" s="978"/>
      <c r="E187" s="1017"/>
      <c r="F187" s="1017"/>
      <c r="G187" s="110"/>
      <c r="H187" s="110"/>
      <c r="I187" s="110"/>
    </row>
    <row r="188" spans="2:9" x14ac:dyDescent="0.25">
      <c r="C188" s="986" t="s">
        <v>340</v>
      </c>
      <c r="D188" s="978"/>
      <c r="E188" s="210"/>
      <c r="F188" s="210" t="s">
        <v>348</v>
      </c>
      <c r="G188" s="110"/>
      <c r="H188" s="110"/>
      <c r="I188" s="110"/>
    </row>
    <row r="189" spans="2:9" x14ac:dyDescent="0.25">
      <c r="C189" s="986" t="s">
        <v>341</v>
      </c>
      <c r="D189" s="978"/>
      <c r="E189" s="210"/>
      <c r="F189" s="210" t="s">
        <v>348</v>
      </c>
      <c r="G189" s="110"/>
      <c r="H189" s="110"/>
      <c r="I189" s="110"/>
    </row>
    <row r="190" spans="2:9" x14ac:dyDescent="0.25">
      <c r="C190" s="986" t="s">
        <v>342</v>
      </c>
      <c r="D190" s="976"/>
      <c r="E190" s="210"/>
      <c r="F190" s="210" t="s">
        <v>345</v>
      </c>
      <c r="G190" s="110"/>
      <c r="H190" s="110"/>
      <c r="I190" s="110"/>
    </row>
    <row r="191" spans="2:9" x14ac:dyDescent="0.25">
      <c r="C191" s="986" t="s">
        <v>343</v>
      </c>
      <c r="D191" s="976"/>
      <c r="E191" s="210"/>
      <c r="F191" s="210" t="s">
        <v>345</v>
      </c>
      <c r="G191" s="110"/>
      <c r="H191" s="110"/>
      <c r="I191" s="110"/>
    </row>
    <row r="192" spans="2:9" x14ac:dyDescent="0.25">
      <c r="C192" s="986" t="s">
        <v>344</v>
      </c>
      <c r="D192" s="976"/>
      <c r="E192" s="210"/>
      <c r="F192" s="210" t="s">
        <v>349</v>
      </c>
      <c r="G192" s="110"/>
      <c r="H192" s="110"/>
      <c r="I192" s="110"/>
    </row>
    <row r="193" spans="2:9" hidden="1" x14ac:dyDescent="0.35">
      <c r="B193" s="213"/>
      <c r="C193" s="303"/>
      <c r="D193" s="303"/>
      <c r="E193" s="303"/>
      <c r="F193" s="303"/>
      <c r="G193" s="110"/>
      <c r="H193" s="110"/>
      <c r="I193" s="110"/>
    </row>
    <row r="194" spans="2:9" x14ac:dyDescent="0.35">
      <c r="B194" s="213"/>
      <c r="C194" s="303"/>
      <c r="D194" s="303"/>
      <c r="E194" s="303"/>
      <c r="F194" s="303"/>
      <c r="G194" s="110"/>
      <c r="H194" s="110"/>
      <c r="I194" s="110"/>
    </row>
    <row r="195" spans="2:9" ht="25.4" customHeight="1" x14ac:dyDescent="0.35">
      <c r="C195" s="1101" t="s">
        <v>350</v>
      </c>
      <c r="D195" s="1101"/>
      <c r="E195" s="1101"/>
      <c r="F195" s="1101"/>
      <c r="G195" s="110"/>
      <c r="H195" s="110"/>
      <c r="I195" s="110"/>
    </row>
    <row r="196" spans="2:9" x14ac:dyDescent="0.35">
      <c r="C196" s="1113" t="s">
        <v>351</v>
      </c>
      <c r="D196" s="1113"/>
      <c r="E196" s="1113"/>
      <c r="F196" s="1113"/>
      <c r="G196" s="110"/>
      <c r="H196" s="110"/>
      <c r="I196" s="110"/>
    </row>
    <row r="197" spans="2:9" x14ac:dyDescent="0.35">
      <c r="B197" s="1109"/>
      <c r="C197" s="1109"/>
      <c r="D197" s="1109"/>
      <c r="E197" s="1109"/>
      <c r="F197" s="1109"/>
      <c r="G197" s="110"/>
      <c r="H197" s="110"/>
      <c r="I197" s="110"/>
    </row>
    <row r="198" spans="2:9" hidden="1" x14ac:dyDescent="0.35">
      <c r="C198" s="308"/>
      <c r="D198" s="308"/>
      <c r="E198" s="308"/>
      <c r="F198" s="308"/>
      <c r="G198" s="110"/>
      <c r="H198" s="110"/>
      <c r="I198" s="110"/>
    </row>
    <row r="199" spans="2:9" hidden="1" x14ac:dyDescent="0.35">
      <c r="C199" s="308"/>
      <c r="D199" s="308"/>
      <c r="E199" s="308"/>
      <c r="F199" s="308"/>
      <c r="G199" s="110"/>
      <c r="H199" s="110"/>
      <c r="I199" s="110"/>
    </row>
    <row r="200" spans="2:9" hidden="1" x14ac:dyDescent="0.35">
      <c r="D200" s="976"/>
      <c r="E200" s="210"/>
      <c r="G200" s="110"/>
      <c r="H200" s="110"/>
      <c r="I200" s="110"/>
    </row>
    <row r="201" spans="2:9" x14ac:dyDescent="0.35">
      <c r="B201" s="202">
        <v>2.8</v>
      </c>
      <c r="C201" s="1100" t="s">
        <v>352</v>
      </c>
      <c r="D201" s="1100"/>
      <c r="E201" s="1100"/>
      <c r="F201" s="1006"/>
      <c r="G201" s="110"/>
      <c r="H201" s="110"/>
      <c r="I201" s="110"/>
    </row>
    <row r="202" spans="2:9" x14ac:dyDescent="0.35">
      <c r="B202" s="202"/>
      <c r="C202" s="40"/>
      <c r="D202" s="40"/>
      <c r="E202" s="40"/>
      <c r="F202" s="1006"/>
      <c r="G202" s="110"/>
      <c r="H202" s="110"/>
      <c r="I202" s="110"/>
    </row>
    <row r="203" spans="2:9" ht="60" customHeight="1" x14ac:dyDescent="0.35">
      <c r="C203" s="1097" t="s">
        <v>353</v>
      </c>
      <c r="D203" s="1097"/>
      <c r="E203" s="1097"/>
      <c r="F203" s="1097"/>
      <c r="G203" s="803"/>
      <c r="H203" s="110"/>
      <c r="I203" s="110"/>
    </row>
    <row r="204" spans="2:9" x14ac:dyDescent="0.35">
      <c r="C204" s="306"/>
      <c r="D204" s="306"/>
      <c r="E204" s="306"/>
      <c r="F204" s="306"/>
      <c r="G204" s="110"/>
      <c r="H204" s="110"/>
      <c r="I204" s="110"/>
    </row>
    <row r="205" spans="2:9" x14ac:dyDescent="0.35">
      <c r="B205" s="88" t="s">
        <v>354</v>
      </c>
      <c r="C205" s="1100" t="s">
        <v>16</v>
      </c>
      <c r="D205" s="1100"/>
      <c r="E205" s="1100"/>
      <c r="F205" s="1006"/>
      <c r="G205" s="110"/>
      <c r="H205" s="110"/>
      <c r="I205" s="110"/>
    </row>
    <row r="206" spans="2:9" x14ac:dyDescent="0.35">
      <c r="B206" s="88"/>
      <c r="C206" s="40"/>
      <c r="D206" s="1006"/>
      <c r="E206" s="1006"/>
      <c r="F206" s="1006"/>
      <c r="G206" s="110"/>
      <c r="H206" s="110"/>
      <c r="I206" s="110"/>
    </row>
    <row r="207" spans="2:9" ht="13.4" customHeight="1" x14ac:dyDescent="0.35">
      <c r="B207" s="202"/>
      <c r="C207" s="1106" t="s">
        <v>355</v>
      </c>
      <c r="D207" s="1106"/>
      <c r="E207" s="1106"/>
      <c r="F207" s="309"/>
      <c r="G207" s="110"/>
      <c r="H207" s="110"/>
      <c r="I207" s="110"/>
    </row>
    <row r="208" spans="2:9" ht="24" customHeight="1" x14ac:dyDescent="0.35">
      <c r="B208" s="202"/>
      <c r="C208" s="1097" t="s">
        <v>356</v>
      </c>
      <c r="D208" s="1097"/>
      <c r="E208" s="1097"/>
      <c r="F208" s="1097"/>
      <c r="G208" s="110"/>
      <c r="H208" s="110"/>
      <c r="I208" s="110"/>
    </row>
    <row r="209" spans="1:10" ht="13.4" customHeight="1" x14ac:dyDescent="0.35">
      <c r="C209" s="1106" t="s">
        <v>357</v>
      </c>
      <c r="D209" s="1106"/>
      <c r="E209" s="1106"/>
      <c r="F209" s="309"/>
      <c r="G209" s="110"/>
      <c r="H209" s="110"/>
      <c r="I209" s="110"/>
    </row>
    <row r="210" spans="1:10" x14ac:dyDescent="0.35">
      <c r="C210" s="88" t="s">
        <v>358</v>
      </c>
      <c r="D210" s="1106" t="s">
        <v>359</v>
      </c>
      <c r="E210" s="1106"/>
      <c r="F210" s="976"/>
      <c r="G210" s="110"/>
      <c r="H210" s="110"/>
      <c r="I210" s="110"/>
    </row>
    <row r="211" spans="1:10" ht="39.75" customHeight="1" x14ac:dyDescent="0.35">
      <c r="C211" s="224"/>
      <c r="D211" s="1097" t="s">
        <v>360</v>
      </c>
      <c r="E211" s="1097"/>
      <c r="F211" s="1097"/>
      <c r="G211" s="803"/>
      <c r="H211" s="110"/>
      <c r="I211" s="110"/>
    </row>
    <row r="212" spans="1:10" x14ac:dyDescent="0.35">
      <c r="B212" s="213"/>
      <c r="C212" s="303"/>
      <c r="D212" s="306"/>
      <c r="E212" s="306"/>
      <c r="F212" s="117"/>
      <c r="G212" s="110"/>
      <c r="H212" s="110"/>
      <c r="I212" s="110"/>
    </row>
    <row r="213" spans="1:10" x14ac:dyDescent="0.35">
      <c r="C213" s="88" t="s">
        <v>361</v>
      </c>
      <c r="D213" s="1106" t="s">
        <v>362</v>
      </c>
      <c r="E213" s="1106"/>
      <c r="F213" s="225"/>
      <c r="G213" s="110"/>
      <c r="H213" s="110"/>
      <c r="I213" s="110"/>
    </row>
    <row r="214" spans="1:10" ht="37" customHeight="1" x14ac:dyDescent="0.35">
      <c r="C214" s="88"/>
      <c r="D214" s="1097" t="s">
        <v>363</v>
      </c>
      <c r="E214" s="1097"/>
      <c r="F214" s="1097"/>
      <c r="G214" s="803"/>
      <c r="H214" s="110"/>
      <c r="I214" s="110"/>
    </row>
    <row r="215" spans="1:10" x14ac:dyDescent="0.35">
      <c r="B215" s="213"/>
      <c r="C215" s="303"/>
      <c r="D215" s="306"/>
      <c r="E215" s="306"/>
      <c r="F215" s="117"/>
      <c r="G215" s="110"/>
      <c r="H215" s="110"/>
      <c r="I215" s="110"/>
    </row>
    <row r="216" spans="1:10" x14ac:dyDescent="0.35">
      <c r="C216" s="88" t="s">
        <v>364</v>
      </c>
      <c r="D216" s="1106" t="s">
        <v>365</v>
      </c>
      <c r="E216" s="1106"/>
      <c r="F216" s="309"/>
      <c r="G216" s="110"/>
      <c r="H216" s="110"/>
      <c r="I216" s="110"/>
    </row>
    <row r="217" spans="1:10" x14ac:dyDescent="0.35">
      <c r="C217" s="226"/>
      <c r="D217" s="1112" t="s">
        <v>366</v>
      </c>
      <c r="E217" s="1112"/>
      <c r="F217" s="1112"/>
      <c r="G217" s="803"/>
      <c r="H217" s="110"/>
      <c r="I217" s="110"/>
    </row>
    <row r="218" spans="1:10" x14ac:dyDescent="0.35">
      <c r="B218" s="213"/>
      <c r="C218" s="303"/>
      <c r="D218" s="306"/>
      <c r="E218" s="306"/>
      <c r="F218" s="117"/>
      <c r="G218" s="110"/>
      <c r="H218" s="110"/>
      <c r="I218" s="110"/>
    </row>
    <row r="219" spans="1:10" ht="13.4" customHeight="1" x14ac:dyDescent="0.35">
      <c r="C219" s="1096" t="s">
        <v>367</v>
      </c>
      <c r="D219" s="1096"/>
      <c r="E219" s="1096"/>
      <c r="F219" s="1096"/>
      <c r="G219" s="110"/>
      <c r="H219" s="110"/>
      <c r="I219" s="110"/>
    </row>
    <row r="220" spans="1:10" ht="26.5" customHeight="1" x14ac:dyDescent="0.35">
      <c r="C220" s="1097" t="s">
        <v>368</v>
      </c>
      <c r="D220" s="1097"/>
      <c r="E220" s="1097"/>
      <c r="F220" s="1097"/>
      <c r="G220" s="803"/>
      <c r="H220" s="110"/>
      <c r="I220" s="110"/>
    </row>
    <row r="221" spans="1:10" x14ac:dyDescent="0.35">
      <c r="B221" s="213"/>
      <c r="C221" s="303"/>
      <c r="D221" s="306"/>
      <c r="E221" s="306"/>
      <c r="F221" s="117"/>
      <c r="G221" s="110"/>
      <c r="H221" s="110"/>
      <c r="I221" s="110"/>
    </row>
    <row r="222" spans="1:10" s="200" customFormat="1" x14ac:dyDescent="0.35">
      <c r="B222" s="34" t="s">
        <v>0</v>
      </c>
      <c r="C222" s="34"/>
      <c r="D222" s="34"/>
      <c r="E222" s="34"/>
      <c r="F222" s="201"/>
      <c r="G222" s="202"/>
      <c r="H222" s="203"/>
      <c r="I222" s="203"/>
      <c r="J222" s="203"/>
    </row>
    <row r="223" spans="1:10" s="200" customFormat="1" x14ac:dyDescent="0.35">
      <c r="A223" s="38"/>
      <c r="B223" s="34" t="s">
        <v>236</v>
      </c>
      <c r="C223" s="204"/>
      <c r="D223" s="205"/>
      <c r="E223" s="205"/>
      <c r="F223" s="205"/>
      <c r="G223" s="205"/>
      <c r="H223" s="203"/>
      <c r="I223" s="203"/>
      <c r="J223" s="203"/>
    </row>
    <row r="224" spans="1:10" s="200" customFormat="1" x14ac:dyDescent="0.35">
      <c r="B224" s="206"/>
      <c r="C224" s="207"/>
      <c r="D224" s="208"/>
      <c r="E224" s="208"/>
      <c r="F224" s="208"/>
      <c r="G224" s="208"/>
      <c r="H224" s="203"/>
      <c r="I224" s="203"/>
      <c r="J224" s="203"/>
    </row>
    <row r="225" spans="2:9" x14ac:dyDescent="0.35">
      <c r="B225" s="88" t="s">
        <v>369</v>
      </c>
      <c r="C225" s="1100" t="s">
        <v>38</v>
      </c>
      <c r="D225" s="1100"/>
      <c r="E225" s="1100"/>
      <c r="F225" s="1006"/>
      <c r="G225" s="110"/>
      <c r="H225" s="110"/>
      <c r="I225" s="110"/>
    </row>
    <row r="226" spans="2:9" x14ac:dyDescent="0.35">
      <c r="B226" s="88"/>
      <c r="C226" s="40"/>
      <c r="D226" s="1006"/>
      <c r="E226" s="1006"/>
      <c r="F226" s="1006"/>
      <c r="G226" s="110"/>
      <c r="H226" s="110"/>
      <c r="I226" s="110"/>
    </row>
    <row r="227" spans="2:9" ht="13.4" customHeight="1" x14ac:dyDescent="0.35">
      <c r="B227" s="88"/>
      <c r="C227" s="1096" t="s">
        <v>370</v>
      </c>
      <c r="D227" s="1096"/>
      <c r="E227" s="1096"/>
      <c r="F227" s="1096"/>
      <c r="G227" s="110"/>
      <c r="H227" s="110"/>
      <c r="I227" s="110"/>
    </row>
    <row r="228" spans="2:9" hidden="1" x14ac:dyDescent="0.35">
      <c r="B228" s="803"/>
      <c r="C228" s="808"/>
      <c r="D228" s="808"/>
      <c r="E228" s="808"/>
      <c r="F228" s="808"/>
      <c r="G228" s="803"/>
      <c r="H228" s="110"/>
      <c r="I228" s="110"/>
    </row>
    <row r="229" spans="2:9" ht="25.4" customHeight="1" x14ac:dyDescent="0.35">
      <c r="C229" s="1097" t="s">
        <v>371</v>
      </c>
      <c r="D229" s="1097"/>
      <c r="E229" s="1097"/>
      <c r="F229" s="1097"/>
      <c r="G229" s="803"/>
      <c r="H229" s="110"/>
      <c r="I229" s="110"/>
    </row>
    <row r="230" spans="2:9" x14ac:dyDescent="0.35">
      <c r="C230" s="303"/>
      <c r="D230" s="303"/>
      <c r="E230" s="303"/>
      <c r="F230" s="303"/>
      <c r="G230" s="803"/>
      <c r="H230" s="110"/>
      <c r="I230" s="110"/>
    </row>
    <row r="231" spans="2:9" ht="13.4" customHeight="1" x14ac:dyDescent="0.35">
      <c r="C231" s="1106" t="s">
        <v>357</v>
      </c>
      <c r="D231" s="1106"/>
      <c r="E231" s="1106"/>
      <c r="F231" s="309"/>
      <c r="G231" s="110"/>
      <c r="H231" s="110"/>
      <c r="I231" s="110"/>
    </row>
    <row r="232" spans="2:9" ht="37" customHeight="1" x14ac:dyDescent="0.35">
      <c r="C232" s="1101" t="s">
        <v>372</v>
      </c>
      <c r="D232" s="1101"/>
      <c r="E232" s="1101"/>
      <c r="F232" s="1101"/>
      <c r="G232" s="803"/>
      <c r="H232" s="110"/>
      <c r="I232" s="110"/>
    </row>
    <row r="233" spans="2:9" x14ac:dyDescent="0.35">
      <c r="B233" s="213"/>
      <c r="C233" s="303"/>
      <c r="D233" s="306"/>
      <c r="E233" s="306"/>
      <c r="F233" s="117"/>
      <c r="G233" s="110"/>
      <c r="H233" s="110"/>
      <c r="I233" s="110"/>
    </row>
    <row r="234" spans="2:9" x14ac:dyDescent="0.35">
      <c r="C234" s="1100" t="s">
        <v>373</v>
      </c>
      <c r="D234" s="1100"/>
      <c r="E234" s="1100"/>
      <c r="F234" s="1006"/>
      <c r="G234" s="110"/>
      <c r="H234" s="110"/>
      <c r="I234" s="110"/>
    </row>
    <row r="235" spans="2:9" ht="39" customHeight="1" x14ac:dyDescent="0.35">
      <c r="C235" s="1101" t="s">
        <v>374</v>
      </c>
      <c r="D235" s="1101"/>
      <c r="E235" s="1101"/>
      <c r="F235" s="1101"/>
      <c r="G235" s="803"/>
      <c r="H235" s="110"/>
      <c r="I235" s="110"/>
    </row>
    <row r="236" spans="2:9" x14ac:dyDescent="0.35">
      <c r="C236" s="306"/>
      <c r="D236" s="306"/>
      <c r="E236" s="306"/>
      <c r="F236" s="306"/>
      <c r="G236" s="803"/>
      <c r="H236" s="110"/>
      <c r="I236" s="110"/>
    </row>
    <row r="237" spans="2:9" x14ac:dyDescent="0.35">
      <c r="B237" s="202">
        <v>2.8</v>
      </c>
      <c r="C237" s="1100" t="s">
        <v>375</v>
      </c>
      <c r="D237" s="1100"/>
      <c r="E237" s="1100"/>
      <c r="F237" s="306"/>
      <c r="G237" s="110"/>
      <c r="H237" s="110"/>
      <c r="I237" s="110"/>
    </row>
    <row r="238" spans="2:9" x14ac:dyDescent="0.35">
      <c r="C238" s="306"/>
      <c r="D238" s="306"/>
      <c r="E238" s="306"/>
      <c r="F238" s="306"/>
      <c r="G238" s="110"/>
      <c r="H238" s="110"/>
      <c r="I238" s="110"/>
    </row>
    <row r="239" spans="2:9" ht="13.4" customHeight="1" x14ac:dyDescent="0.35">
      <c r="B239" s="88" t="s">
        <v>376</v>
      </c>
      <c r="C239" s="1106" t="s">
        <v>267</v>
      </c>
      <c r="D239" s="1106"/>
      <c r="E239" s="1106"/>
      <c r="F239" s="309"/>
      <c r="G239" s="110"/>
      <c r="H239" s="110"/>
      <c r="I239" s="110"/>
    </row>
    <row r="240" spans="2:9" x14ac:dyDescent="0.35">
      <c r="B240" s="213"/>
      <c r="C240" s="303"/>
      <c r="D240" s="306"/>
      <c r="E240" s="306"/>
      <c r="F240" s="117"/>
      <c r="G240" s="110"/>
      <c r="H240" s="110"/>
      <c r="I240" s="110"/>
    </row>
    <row r="241" spans="2:9" ht="25" customHeight="1" x14ac:dyDescent="0.35">
      <c r="C241" s="1097" t="s">
        <v>377</v>
      </c>
      <c r="D241" s="1097"/>
      <c r="E241" s="1097"/>
      <c r="F241" s="1097"/>
      <c r="G241" s="803"/>
      <c r="H241" s="110"/>
      <c r="I241" s="110"/>
    </row>
    <row r="242" spans="2:9" ht="23.5" customHeight="1" x14ac:dyDescent="0.35">
      <c r="C242" s="224" t="s">
        <v>358</v>
      </c>
      <c r="D242" s="1101" t="s">
        <v>378</v>
      </c>
      <c r="E242" s="1101"/>
      <c r="F242" s="1101"/>
      <c r="G242" s="803"/>
      <c r="H242" s="110"/>
      <c r="I242" s="110"/>
    </row>
    <row r="243" spans="2:9" ht="25.4" customHeight="1" x14ac:dyDescent="0.35">
      <c r="C243" s="224" t="s">
        <v>361</v>
      </c>
      <c r="D243" s="1101" t="s">
        <v>379</v>
      </c>
      <c r="E243" s="1101"/>
      <c r="F243" s="1101"/>
      <c r="G243" s="803"/>
      <c r="H243" s="110"/>
      <c r="I243" s="110"/>
    </row>
    <row r="244" spans="2:9" x14ac:dyDescent="0.35">
      <c r="C244" s="88" t="s">
        <v>364</v>
      </c>
      <c r="D244" s="1101" t="s">
        <v>380</v>
      </c>
      <c r="E244" s="1101"/>
      <c r="F244" s="1101"/>
      <c r="G244" s="803"/>
      <c r="H244" s="110"/>
      <c r="I244" s="110"/>
    </row>
    <row r="245" spans="2:9" x14ac:dyDescent="0.35">
      <c r="C245" s="224"/>
      <c r="D245" s="306"/>
      <c r="E245" s="306"/>
      <c r="F245" s="306"/>
      <c r="G245" s="110"/>
      <c r="H245" s="110"/>
      <c r="I245" s="110"/>
    </row>
    <row r="246" spans="2:9" x14ac:dyDescent="0.35">
      <c r="B246" s="88" t="s">
        <v>381</v>
      </c>
      <c r="C246" s="1100" t="s">
        <v>382</v>
      </c>
      <c r="D246" s="1100"/>
      <c r="E246" s="1100"/>
      <c r="F246" s="1006"/>
      <c r="G246" s="110"/>
      <c r="H246" s="110"/>
      <c r="I246" s="110"/>
    </row>
    <row r="247" spans="2:9" x14ac:dyDescent="0.35">
      <c r="B247" s="88"/>
      <c r="C247" s="40"/>
      <c r="D247" s="1006"/>
      <c r="E247" s="1006"/>
      <c r="F247" s="1006"/>
      <c r="G247" s="110"/>
      <c r="H247" s="110"/>
      <c r="I247" s="110"/>
    </row>
    <row r="248" spans="2:9" ht="85" customHeight="1" x14ac:dyDescent="0.35">
      <c r="C248" s="1103" t="s">
        <v>383</v>
      </c>
      <c r="D248" s="1103"/>
      <c r="E248" s="1103"/>
      <c r="F248" s="1103"/>
      <c r="G248" s="803"/>
      <c r="H248" s="110"/>
      <c r="I248" s="110"/>
    </row>
    <row r="249" spans="2:9" x14ac:dyDescent="0.35">
      <c r="B249" s="213"/>
      <c r="C249" s="303"/>
      <c r="D249" s="306"/>
      <c r="E249" s="306"/>
      <c r="F249" s="117"/>
      <c r="G249" s="110"/>
      <c r="H249" s="110"/>
      <c r="I249" s="110"/>
    </row>
    <row r="250" spans="2:9" x14ac:dyDescent="0.35">
      <c r="B250" s="227">
        <v>2.9</v>
      </c>
      <c r="C250" s="1100" t="s">
        <v>384</v>
      </c>
      <c r="D250" s="1100"/>
      <c r="E250" s="1100"/>
      <c r="F250" s="1006"/>
      <c r="G250" s="110"/>
      <c r="H250" s="110"/>
      <c r="I250" s="110"/>
    </row>
    <row r="251" spans="2:9" ht="60" customHeight="1" x14ac:dyDescent="0.35">
      <c r="B251" s="202"/>
      <c r="C251" s="1098" t="s">
        <v>385</v>
      </c>
      <c r="D251" s="1098"/>
      <c r="E251" s="1098"/>
      <c r="F251" s="1098"/>
      <c r="G251" s="803"/>
      <c r="H251" s="110"/>
      <c r="I251" s="110"/>
    </row>
    <row r="252" spans="2:9" x14ac:dyDescent="0.35">
      <c r="B252" s="213"/>
      <c r="C252" s="303"/>
      <c r="D252" s="306"/>
      <c r="E252" s="306"/>
      <c r="F252" s="117"/>
      <c r="G252" s="110"/>
      <c r="H252" s="110"/>
      <c r="I252" s="110"/>
    </row>
    <row r="253" spans="2:9" ht="13.4" customHeight="1" x14ac:dyDescent="0.35">
      <c r="B253" s="202"/>
      <c r="C253" s="1096" t="s">
        <v>386</v>
      </c>
      <c r="D253" s="1096"/>
      <c r="E253" s="1096"/>
      <c r="F253" s="1096"/>
      <c r="G253" s="110"/>
      <c r="H253" s="110"/>
      <c r="I253" s="110"/>
    </row>
    <row r="254" spans="2:9" ht="37" customHeight="1" x14ac:dyDescent="0.35">
      <c r="B254" s="202"/>
      <c r="C254" s="1097" t="s">
        <v>387</v>
      </c>
      <c r="D254" s="1097"/>
      <c r="E254" s="1097"/>
      <c r="F254" s="1097"/>
      <c r="G254" s="803"/>
      <c r="H254" s="110"/>
      <c r="I254" s="110"/>
    </row>
    <row r="255" spans="2:9" x14ac:dyDescent="0.35">
      <c r="B255" s="213"/>
      <c r="C255" s="303"/>
      <c r="D255" s="306"/>
      <c r="E255" s="306"/>
      <c r="F255" s="117"/>
      <c r="G255" s="110"/>
      <c r="H255" s="110"/>
      <c r="I255" s="110"/>
    </row>
    <row r="256" spans="2:9" ht="13.4" customHeight="1" x14ac:dyDescent="0.35">
      <c r="B256" s="202"/>
      <c r="C256" s="1096" t="s">
        <v>388</v>
      </c>
      <c r="D256" s="1096"/>
      <c r="E256" s="1096"/>
      <c r="F256" s="1096"/>
      <c r="G256" s="110"/>
      <c r="H256" s="110"/>
      <c r="I256" s="110"/>
    </row>
    <row r="257" spans="1:10" ht="13.4" customHeight="1" x14ac:dyDescent="0.35">
      <c r="B257" s="202"/>
      <c r="C257" s="1096" t="s">
        <v>389</v>
      </c>
      <c r="D257" s="1096"/>
      <c r="E257" s="1096"/>
      <c r="F257" s="1096"/>
      <c r="G257" s="110"/>
      <c r="H257" s="110"/>
      <c r="I257" s="110"/>
    </row>
    <row r="258" spans="1:10" ht="62.25" customHeight="1" x14ac:dyDescent="0.35">
      <c r="B258" s="202"/>
      <c r="C258" s="1098" t="s">
        <v>390</v>
      </c>
      <c r="D258" s="1098"/>
      <c r="E258" s="1098"/>
      <c r="F258" s="1098"/>
      <c r="G258" s="803"/>
      <c r="H258" s="110"/>
      <c r="I258" s="110"/>
    </row>
    <row r="259" spans="1:10" ht="75" customHeight="1" x14ac:dyDescent="0.35">
      <c r="B259" s="202"/>
      <c r="C259" s="1097" t="s">
        <v>391</v>
      </c>
      <c r="D259" s="1097"/>
      <c r="E259" s="1097"/>
      <c r="F259" s="1097"/>
      <c r="G259" s="803"/>
      <c r="H259" s="110"/>
      <c r="I259" s="110"/>
    </row>
    <row r="260" spans="1:10" hidden="1" x14ac:dyDescent="0.35">
      <c r="B260" s="202"/>
      <c r="C260" s="303"/>
      <c r="D260" s="303"/>
      <c r="E260" s="303"/>
      <c r="F260" s="303"/>
      <c r="G260" s="803"/>
      <c r="H260" s="110"/>
      <c r="I260" s="110"/>
    </row>
    <row r="261" spans="1:10" hidden="1" x14ac:dyDescent="0.35">
      <c r="B261" s="202"/>
      <c r="C261" s="303"/>
      <c r="D261" s="303"/>
      <c r="E261" s="303"/>
      <c r="F261" s="303"/>
      <c r="G261" s="803"/>
      <c r="H261" s="110"/>
      <c r="I261" s="110"/>
    </row>
    <row r="262" spans="1:10" hidden="1" x14ac:dyDescent="0.35">
      <c r="B262" s="202"/>
      <c r="C262" s="303"/>
      <c r="D262" s="303"/>
      <c r="E262" s="303"/>
      <c r="F262" s="303"/>
      <c r="G262" s="803"/>
      <c r="H262" s="110"/>
      <c r="I262" s="110"/>
    </row>
    <row r="263" spans="1:10" hidden="1" x14ac:dyDescent="0.35">
      <c r="B263" s="202"/>
      <c r="C263" s="303"/>
      <c r="D263" s="303"/>
      <c r="E263" s="303"/>
      <c r="F263" s="303"/>
      <c r="G263" s="803"/>
      <c r="H263" s="110"/>
      <c r="I263" s="110"/>
    </row>
    <row r="264" spans="1:10" hidden="1" x14ac:dyDescent="0.35">
      <c r="B264" s="202"/>
      <c r="C264" s="303"/>
      <c r="D264" s="303"/>
      <c r="E264" s="303"/>
      <c r="F264" s="303"/>
      <c r="G264" s="803"/>
      <c r="H264" s="110"/>
      <c r="I264" s="110"/>
    </row>
    <row r="265" spans="1:10" s="217" customFormat="1" ht="14.9" hidden="1" customHeight="1" x14ac:dyDescent="0.35">
      <c r="B265" s="1111" t="s">
        <v>280</v>
      </c>
      <c r="C265" s="1111"/>
      <c r="D265" s="1111"/>
      <c r="E265" s="1111"/>
      <c r="F265" s="1111"/>
      <c r="G265" s="215"/>
      <c r="H265" s="216"/>
      <c r="I265" s="216"/>
    </row>
    <row r="266" spans="1:10" hidden="1" x14ac:dyDescent="0.35">
      <c r="B266" s="213"/>
      <c r="C266" s="303"/>
      <c r="D266" s="306"/>
      <c r="E266" s="306"/>
      <c r="F266" s="117"/>
      <c r="G266" s="110"/>
      <c r="H266" s="110"/>
      <c r="I266" s="110"/>
    </row>
    <row r="267" spans="1:10" s="200" customFormat="1" x14ac:dyDescent="0.35">
      <c r="B267" s="34" t="s">
        <v>0</v>
      </c>
      <c r="C267" s="34"/>
      <c r="D267" s="34"/>
      <c r="E267" s="34"/>
      <c r="F267" s="201"/>
      <c r="G267" s="202"/>
      <c r="H267" s="203"/>
      <c r="I267" s="203"/>
      <c r="J267" s="203"/>
    </row>
    <row r="268" spans="1:10" s="200" customFormat="1" x14ac:dyDescent="0.35">
      <c r="A268" s="38"/>
      <c r="B268" s="34" t="s">
        <v>236</v>
      </c>
      <c r="C268" s="204"/>
      <c r="D268" s="205"/>
      <c r="E268" s="205"/>
      <c r="F268" s="205"/>
      <c r="G268" s="205"/>
      <c r="H268" s="203"/>
      <c r="I268" s="203"/>
      <c r="J268" s="203"/>
    </row>
    <row r="269" spans="1:10" s="200" customFormat="1" x14ac:dyDescent="0.35">
      <c r="B269" s="206"/>
      <c r="C269" s="207"/>
      <c r="D269" s="208"/>
      <c r="E269" s="208"/>
      <c r="F269" s="208"/>
      <c r="G269" s="208"/>
      <c r="H269" s="203"/>
      <c r="I269" s="203"/>
      <c r="J269" s="203"/>
    </row>
    <row r="270" spans="1:10" x14ac:dyDescent="0.35">
      <c r="C270" s="306"/>
      <c r="D270" s="306"/>
      <c r="E270" s="306"/>
      <c r="F270" s="306"/>
      <c r="G270" s="110"/>
      <c r="H270" s="110"/>
      <c r="I270" s="110"/>
    </row>
    <row r="271" spans="1:10" ht="13.4" customHeight="1" x14ac:dyDescent="0.35">
      <c r="B271" s="202"/>
      <c r="C271" s="1096" t="s">
        <v>392</v>
      </c>
      <c r="D271" s="1096"/>
      <c r="E271" s="1096"/>
      <c r="F271" s="1096"/>
      <c r="G271" s="110"/>
      <c r="H271" s="110"/>
      <c r="I271" s="110"/>
    </row>
    <row r="272" spans="1:10" ht="30" customHeight="1" x14ac:dyDescent="0.35">
      <c r="B272" s="202"/>
      <c r="C272" s="1098" t="s">
        <v>393</v>
      </c>
      <c r="D272" s="1098"/>
      <c r="E272" s="1098"/>
      <c r="F272" s="1098"/>
      <c r="G272" s="803"/>
      <c r="H272" s="110"/>
      <c r="I272" s="110"/>
    </row>
    <row r="273" spans="2:9" ht="58.4" customHeight="1" x14ac:dyDescent="0.35">
      <c r="B273" s="202"/>
      <c r="C273" s="1098" t="s">
        <v>394</v>
      </c>
      <c r="D273" s="1098"/>
      <c r="E273" s="1098"/>
      <c r="F273" s="1098"/>
      <c r="G273" s="803"/>
      <c r="H273" s="110"/>
      <c r="I273" s="110"/>
    </row>
    <row r="274" spans="2:9" x14ac:dyDescent="0.35">
      <c r="B274" s="202"/>
      <c r="C274" s="808"/>
      <c r="D274" s="808"/>
      <c r="E274" s="808"/>
      <c r="F274" s="808"/>
      <c r="G274" s="803"/>
      <c r="H274" s="110"/>
      <c r="I274" s="110"/>
    </row>
    <row r="275" spans="2:9" ht="46.75" customHeight="1" x14ac:dyDescent="0.35">
      <c r="B275" s="202"/>
      <c r="C275" s="1098" t="s">
        <v>395</v>
      </c>
      <c r="D275" s="1098"/>
      <c r="E275" s="1098"/>
      <c r="F275" s="1098"/>
      <c r="G275" s="803"/>
      <c r="H275" s="110"/>
      <c r="I275" s="110"/>
    </row>
    <row r="276" spans="2:9" x14ac:dyDescent="0.35">
      <c r="B276" s="202"/>
      <c r="C276" s="808"/>
      <c r="D276" s="808"/>
      <c r="E276" s="808"/>
      <c r="F276" s="808"/>
      <c r="G276" s="803"/>
      <c r="H276" s="110"/>
      <c r="I276" s="110"/>
    </row>
    <row r="277" spans="2:9" hidden="1" x14ac:dyDescent="0.35">
      <c r="B277" s="227">
        <v>2.9</v>
      </c>
      <c r="C277" s="1100" t="s">
        <v>396</v>
      </c>
      <c r="D277" s="1100"/>
      <c r="E277" s="1100"/>
      <c r="F277" s="117"/>
      <c r="G277" s="110"/>
      <c r="H277" s="110"/>
      <c r="I277" s="110"/>
    </row>
    <row r="278" spans="2:9" ht="13.4" customHeight="1" x14ac:dyDescent="0.35">
      <c r="B278" s="202"/>
      <c r="C278" s="1096" t="s">
        <v>397</v>
      </c>
      <c r="D278" s="1096"/>
      <c r="E278" s="1096"/>
      <c r="F278" s="1096"/>
      <c r="G278" s="110"/>
      <c r="H278" s="110"/>
      <c r="I278" s="110"/>
    </row>
    <row r="279" spans="2:9" ht="25.4" customHeight="1" x14ac:dyDescent="0.35">
      <c r="B279" s="202"/>
      <c r="C279" s="1097" t="s">
        <v>398</v>
      </c>
      <c r="D279" s="1097"/>
      <c r="E279" s="1097"/>
      <c r="F279" s="1097"/>
      <c r="G279" s="803"/>
      <c r="H279" s="110"/>
      <c r="I279" s="110"/>
    </row>
    <row r="280" spans="2:9" x14ac:dyDescent="0.35">
      <c r="C280" s="306"/>
      <c r="D280" s="306"/>
      <c r="E280" s="306"/>
      <c r="F280" s="306"/>
      <c r="G280" s="110"/>
      <c r="H280" s="110"/>
      <c r="I280" s="110"/>
    </row>
    <row r="281" spans="2:9" x14ac:dyDescent="0.35">
      <c r="B281" s="228">
        <v>2.1</v>
      </c>
      <c r="C281" s="1100" t="s">
        <v>399</v>
      </c>
      <c r="D281" s="1100"/>
      <c r="E281" s="1100"/>
      <c r="F281" s="1006"/>
      <c r="G281" s="110"/>
      <c r="H281" s="110"/>
      <c r="I281" s="110"/>
    </row>
    <row r="282" spans="2:9" x14ac:dyDescent="0.35">
      <c r="B282" s="202"/>
      <c r="C282" s="1100" t="s">
        <v>400</v>
      </c>
      <c r="D282" s="1100"/>
      <c r="E282" s="1100"/>
      <c r="F282" s="40"/>
      <c r="G282" s="110"/>
      <c r="H282" s="110"/>
      <c r="I282" s="110"/>
    </row>
    <row r="283" spans="2:9" ht="25" customHeight="1" x14ac:dyDescent="0.35">
      <c r="B283" s="202"/>
      <c r="C283" s="1101" t="s">
        <v>401</v>
      </c>
      <c r="D283" s="1101"/>
      <c r="E283" s="1101"/>
      <c r="F283" s="1101"/>
      <c r="G283" s="803"/>
      <c r="H283" s="110"/>
      <c r="I283" s="110"/>
    </row>
    <row r="284" spans="2:9" hidden="1" x14ac:dyDescent="0.35">
      <c r="B284" s="202"/>
      <c r="C284" s="184"/>
      <c r="G284" s="110"/>
      <c r="H284" s="110"/>
      <c r="I284" s="110"/>
    </row>
    <row r="285" spans="2:9" x14ac:dyDescent="0.35">
      <c r="B285" s="202"/>
      <c r="C285" s="184"/>
      <c r="G285" s="110"/>
      <c r="H285" s="110"/>
      <c r="I285" s="110"/>
    </row>
    <row r="286" spans="2:9" x14ac:dyDescent="0.35">
      <c r="B286" s="202"/>
      <c r="C286" s="1100" t="s">
        <v>402</v>
      </c>
      <c r="D286" s="1100"/>
      <c r="E286" s="1100"/>
      <c r="F286" s="40"/>
      <c r="G286" s="110"/>
      <c r="H286" s="110"/>
      <c r="I286" s="110"/>
    </row>
    <row r="287" spans="2:9" ht="58.75" customHeight="1" x14ac:dyDescent="0.35">
      <c r="C287" s="1101" t="s">
        <v>403</v>
      </c>
      <c r="D287" s="1101"/>
      <c r="E287" s="1101"/>
      <c r="F287" s="1101"/>
      <c r="G287" s="803"/>
      <c r="H287" s="110"/>
      <c r="I287" s="110"/>
    </row>
    <row r="288" spans="2:9" x14ac:dyDescent="0.35">
      <c r="C288" s="311"/>
      <c r="G288" s="110"/>
      <c r="H288" s="110"/>
      <c r="I288" s="110"/>
    </row>
    <row r="289" spans="2:10" ht="15" customHeight="1" x14ac:dyDescent="0.35">
      <c r="B289" s="228">
        <v>2.11</v>
      </c>
      <c r="C289" s="1102" t="s">
        <v>404</v>
      </c>
      <c r="D289" s="1102"/>
      <c r="E289" s="1102"/>
      <c r="F289" s="1006"/>
      <c r="G289" s="110"/>
      <c r="H289" s="110"/>
      <c r="I289" s="110"/>
    </row>
    <row r="290" spans="2:10" hidden="1" x14ac:dyDescent="0.35">
      <c r="B290" s="227"/>
      <c r="C290" s="233"/>
      <c r="D290" s="1006"/>
      <c r="E290" s="1006"/>
      <c r="F290" s="1006"/>
      <c r="G290" s="110"/>
      <c r="H290" s="110"/>
      <c r="I290" s="110"/>
    </row>
    <row r="291" spans="2:10" ht="25.4" customHeight="1" x14ac:dyDescent="0.35">
      <c r="C291" s="1103" t="s">
        <v>405</v>
      </c>
      <c r="D291" s="1103"/>
      <c r="E291" s="1103"/>
      <c r="F291" s="1103"/>
      <c r="G291" s="803"/>
      <c r="H291" s="110"/>
      <c r="I291" s="110"/>
    </row>
    <row r="292" spans="2:10" x14ac:dyDescent="0.35">
      <c r="C292" s="306"/>
      <c r="D292" s="306"/>
      <c r="G292" s="110"/>
      <c r="H292" s="110"/>
      <c r="I292" s="110"/>
    </row>
    <row r="293" spans="2:10" ht="15" customHeight="1" x14ac:dyDescent="0.35">
      <c r="B293" s="227">
        <v>2.12</v>
      </c>
      <c r="C293" s="1100" t="s">
        <v>406</v>
      </c>
      <c r="D293" s="1100"/>
      <c r="E293" s="1100"/>
      <c r="F293" s="1006"/>
      <c r="G293" s="110"/>
      <c r="H293" s="110"/>
      <c r="I293" s="110"/>
    </row>
    <row r="294" spans="2:10" hidden="1" x14ac:dyDescent="0.35">
      <c r="B294" s="227"/>
      <c r="C294" s="40"/>
      <c r="D294" s="1006"/>
      <c r="E294" s="1006"/>
      <c r="F294" s="1006"/>
      <c r="G294" s="110"/>
      <c r="H294" s="110"/>
      <c r="I294" s="110"/>
    </row>
    <row r="295" spans="2:10" ht="25.4" customHeight="1" x14ac:dyDescent="0.35">
      <c r="C295" s="1097" t="s">
        <v>407</v>
      </c>
      <c r="D295" s="1097"/>
      <c r="E295" s="1097"/>
      <c r="F295" s="1097"/>
      <c r="G295" s="803"/>
      <c r="H295" s="110"/>
      <c r="I295" s="110"/>
    </row>
    <row r="296" spans="2:10" hidden="1" x14ac:dyDescent="0.35">
      <c r="C296" s="303"/>
      <c r="D296" s="311"/>
      <c r="E296" s="311"/>
      <c r="F296" s="311"/>
      <c r="G296" s="110"/>
      <c r="H296" s="110"/>
      <c r="I296" s="110"/>
    </row>
    <row r="297" spans="2:10" x14ac:dyDescent="0.35">
      <c r="C297" s="303"/>
      <c r="D297" s="311"/>
      <c r="E297" s="311"/>
      <c r="F297" s="311"/>
      <c r="G297" s="110"/>
      <c r="H297" s="110"/>
      <c r="I297" s="110"/>
    </row>
    <row r="298" spans="2:10" ht="13.4" customHeight="1" x14ac:dyDescent="0.35">
      <c r="C298" s="1096" t="s">
        <v>164</v>
      </c>
      <c r="D298" s="1096"/>
      <c r="E298" s="1096"/>
      <c r="F298" s="1096"/>
      <c r="G298" s="110"/>
      <c r="H298" s="110"/>
      <c r="I298" s="110"/>
    </row>
    <row r="299" spans="2:10" ht="54.75" customHeight="1" x14ac:dyDescent="0.35">
      <c r="C299" s="1097" t="s">
        <v>408</v>
      </c>
      <c r="D299" s="1097"/>
      <c r="E299" s="1097"/>
      <c r="F299" s="1097"/>
      <c r="G299" s="803"/>
      <c r="H299" s="110"/>
      <c r="I299" s="110"/>
    </row>
    <row r="300" spans="2:10" hidden="1" x14ac:dyDescent="0.35">
      <c r="C300" s="1097"/>
      <c r="D300" s="1097"/>
      <c r="E300" s="1097"/>
      <c r="F300" s="1097"/>
      <c r="G300" s="110"/>
      <c r="H300" s="110"/>
      <c r="I300" s="110"/>
    </row>
    <row r="301" spans="2:10" x14ac:dyDescent="0.35">
      <c r="C301" s="1096" t="s">
        <v>409</v>
      </c>
      <c r="D301" s="1096"/>
      <c r="E301" s="1096"/>
      <c r="F301" s="1096"/>
      <c r="G301" s="110"/>
      <c r="H301" s="110"/>
      <c r="I301" s="110"/>
    </row>
    <row r="302" spans="2:10" ht="104.5" customHeight="1" x14ac:dyDescent="0.35">
      <c r="C302" s="1098" t="s">
        <v>410</v>
      </c>
      <c r="D302" s="1098"/>
      <c r="E302" s="1098"/>
      <c r="F302" s="1098"/>
      <c r="G302" s="803"/>
      <c r="H302" s="110"/>
      <c r="I302" s="110"/>
    </row>
    <row r="303" spans="2:10" ht="50.15" hidden="1" customHeight="1" x14ac:dyDescent="0.35">
      <c r="C303" s="1099" t="s">
        <v>411</v>
      </c>
      <c r="D303" s="1099"/>
      <c r="E303" s="1099"/>
      <c r="F303" s="1099"/>
      <c r="G303" s="803"/>
      <c r="H303" s="110"/>
      <c r="I303" s="110"/>
    </row>
    <row r="304" spans="2:10" s="200" customFormat="1" x14ac:dyDescent="0.35">
      <c r="B304" s="34" t="s">
        <v>0</v>
      </c>
      <c r="C304" s="34"/>
      <c r="D304" s="34"/>
      <c r="E304" s="34"/>
      <c r="F304" s="201"/>
      <c r="G304" s="202"/>
      <c r="H304" s="203"/>
      <c r="I304" s="203"/>
      <c r="J304" s="203"/>
    </row>
    <row r="305" spans="1:10" s="200" customFormat="1" x14ac:dyDescent="0.35">
      <c r="A305" s="38"/>
      <c r="B305" s="34" t="s">
        <v>236</v>
      </c>
      <c r="C305" s="204"/>
      <c r="D305" s="205"/>
      <c r="E305" s="205"/>
      <c r="F305" s="205"/>
      <c r="G305" s="205"/>
      <c r="H305" s="203"/>
      <c r="I305" s="203"/>
      <c r="J305" s="203"/>
    </row>
    <row r="306" spans="1:10" s="200" customFormat="1" x14ac:dyDescent="0.35">
      <c r="B306" s="206"/>
      <c r="C306" s="207"/>
      <c r="D306" s="208"/>
      <c r="E306" s="208"/>
      <c r="F306" s="208"/>
      <c r="G306" s="208"/>
      <c r="H306" s="203"/>
      <c r="I306" s="203"/>
      <c r="J306" s="203"/>
    </row>
    <row r="307" spans="1:10" x14ac:dyDescent="0.35">
      <c r="C307" s="978"/>
      <c r="D307" s="978"/>
      <c r="E307" s="978"/>
      <c r="F307" s="978"/>
      <c r="G307" s="846"/>
    </row>
    <row r="308" spans="1:10" x14ac:dyDescent="0.35">
      <c r="B308" s="227">
        <v>2.13</v>
      </c>
      <c r="C308" s="1100" t="s">
        <v>412</v>
      </c>
      <c r="D308" s="1100"/>
      <c r="E308" s="1100"/>
      <c r="F308" s="1006"/>
      <c r="G308" s="110"/>
      <c r="H308" s="110"/>
      <c r="I308" s="110"/>
    </row>
    <row r="309" spans="1:10" x14ac:dyDescent="0.35">
      <c r="B309" s="227"/>
      <c r="C309" s="40"/>
      <c r="D309" s="1006"/>
      <c r="E309" s="1006"/>
      <c r="F309" s="1006"/>
      <c r="G309" s="110"/>
      <c r="H309" s="110"/>
      <c r="I309" s="110"/>
    </row>
    <row r="310" spans="1:10" x14ac:dyDescent="0.35">
      <c r="B310" s="202"/>
      <c r="C310" s="40" t="s">
        <v>413</v>
      </c>
      <c r="D310" s="311"/>
      <c r="E310" s="311"/>
      <c r="F310" s="311"/>
      <c r="G310" s="110"/>
      <c r="H310" s="110"/>
      <c r="I310" s="110"/>
    </row>
    <row r="311" spans="1:10" ht="48.65" customHeight="1" x14ac:dyDescent="0.35">
      <c r="C311" s="1105" t="s">
        <v>414</v>
      </c>
      <c r="D311" s="1105"/>
      <c r="E311" s="1105"/>
      <c r="F311" s="1105"/>
      <c r="G311" s="803"/>
      <c r="H311" s="110"/>
      <c r="I311" s="110"/>
    </row>
    <row r="312" spans="1:10" x14ac:dyDescent="0.35">
      <c r="C312" s="311"/>
      <c r="D312" s="311"/>
      <c r="E312" s="311"/>
      <c r="F312" s="311"/>
      <c r="G312" s="110"/>
      <c r="H312" s="110"/>
      <c r="I312" s="110"/>
    </row>
    <row r="313" spans="1:10" x14ac:dyDescent="0.35">
      <c r="C313" s="40" t="s">
        <v>415</v>
      </c>
      <c r="G313" s="110"/>
      <c r="H313" s="110"/>
      <c r="I313" s="110"/>
    </row>
    <row r="314" spans="1:10" ht="50.15" customHeight="1" x14ac:dyDescent="0.35">
      <c r="C314" s="1105" t="s">
        <v>416</v>
      </c>
      <c r="D314" s="1105"/>
      <c r="E314" s="1105"/>
      <c r="F314" s="1105"/>
      <c r="G314" s="803"/>
      <c r="H314" s="110"/>
      <c r="I314" s="110"/>
    </row>
    <row r="315" spans="1:10" hidden="1" x14ac:dyDescent="0.35">
      <c r="C315" s="311"/>
      <c r="D315" s="311"/>
      <c r="E315" s="311"/>
      <c r="F315" s="311"/>
      <c r="G315" s="110"/>
      <c r="H315" s="110"/>
      <c r="I315" s="110"/>
    </row>
    <row r="316" spans="1:10" x14ac:dyDescent="0.35">
      <c r="C316" s="311"/>
      <c r="D316" s="311"/>
      <c r="E316" s="311"/>
      <c r="F316" s="311"/>
      <c r="G316" s="110"/>
      <c r="H316" s="110"/>
      <c r="I316" s="110"/>
    </row>
    <row r="317" spans="1:10" x14ac:dyDescent="0.35">
      <c r="C317" s="40" t="s">
        <v>417</v>
      </c>
      <c r="D317" s="311"/>
      <c r="E317" s="311"/>
      <c r="F317" s="311"/>
      <c r="G317" s="110"/>
      <c r="H317" s="110"/>
      <c r="I317" s="110"/>
    </row>
    <row r="318" spans="1:10" ht="24.75" customHeight="1" x14ac:dyDescent="0.35">
      <c r="C318" s="1105" t="s">
        <v>418</v>
      </c>
      <c r="D318" s="1105"/>
      <c r="E318" s="1105"/>
      <c r="F318" s="1105"/>
      <c r="G318" s="803"/>
      <c r="H318" s="110"/>
      <c r="I318" s="110"/>
    </row>
    <row r="319" spans="1:10" x14ac:dyDescent="0.35">
      <c r="C319" s="310"/>
      <c r="D319" s="310"/>
      <c r="E319" s="310"/>
      <c r="F319" s="310"/>
      <c r="G319" s="110"/>
      <c r="H319" s="110"/>
      <c r="I319" s="110"/>
    </row>
    <row r="320" spans="1:10" hidden="1" x14ac:dyDescent="0.35">
      <c r="C320" s="310"/>
      <c r="D320" s="310"/>
      <c r="E320" s="310"/>
      <c r="F320" s="310"/>
      <c r="G320" s="110"/>
      <c r="H320" s="110"/>
      <c r="I320" s="110"/>
    </row>
    <row r="321" spans="2:9" ht="13.4" customHeight="1" x14ac:dyDescent="0.35">
      <c r="B321" s="202">
        <v>2.14</v>
      </c>
      <c r="C321" s="1106" t="s">
        <v>419</v>
      </c>
      <c r="D321" s="1106"/>
      <c r="E321" s="1106"/>
      <c r="F321" s="309"/>
      <c r="G321" s="110"/>
      <c r="H321" s="110"/>
      <c r="I321" s="110"/>
    </row>
    <row r="322" spans="2:9" x14ac:dyDescent="0.35">
      <c r="B322" s="202"/>
      <c r="C322" s="309"/>
      <c r="D322" s="309"/>
      <c r="E322" s="309"/>
      <c r="F322" s="309"/>
      <c r="G322" s="110"/>
      <c r="H322" s="110"/>
      <c r="I322" s="110"/>
    </row>
    <row r="323" spans="2:9" ht="35.15" customHeight="1" x14ac:dyDescent="0.35">
      <c r="C323" s="1098" t="s">
        <v>420</v>
      </c>
      <c r="D323" s="1098"/>
      <c r="E323" s="1098"/>
      <c r="F323" s="1098"/>
      <c r="G323" s="803"/>
      <c r="H323" s="110"/>
      <c r="I323" s="110"/>
    </row>
    <row r="324" spans="2:9" ht="7.5" customHeight="1" x14ac:dyDescent="0.35">
      <c r="C324" s="310"/>
      <c r="D324" s="310"/>
      <c r="E324" s="310"/>
      <c r="F324" s="310"/>
      <c r="G324" s="110"/>
      <c r="H324" s="110"/>
      <c r="I324" s="110"/>
    </row>
    <row r="325" spans="2:9" ht="35.15" customHeight="1" x14ac:dyDescent="0.35">
      <c r="C325" s="1098" t="s">
        <v>421</v>
      </c>
      <c r="D325" s="1098"/>
      <c r="E325" s="1098"/>
      <c r="F325" s="1098"/>
      <c r="G325" s="803"/>
      <c r="H325" s="110"/>
      <c r="I325" s="110"/>
    </row>
    <row r="326" spans="2:9" x14ac:dyDescent="0.35">
      <c r="C326" s="303"/>
      <c r="D326" s="303"/>
      <c r="E326" s="303"/>
      <c r="F326" s="303"/>
      <c r="G326" s="110"/>
      <c r="H326" s="110"/>
      <c r="I326" s="110"/>
    </row>
    <row r="327" spans="2:9" x14ac:dyDescent="0.35">
      <c r="B327" s="202">
        <v>2.15</v>
      </c>
      <c r="C327" s="34" t="s">
        <v>422</v>
      </c>
    </row>
    <row r="328" spans="2:9" ht="97.5" customHeight="1" x14ac:dyDescent="0.35">
      <c r="C328" s="1103" t="s">
        <v>423</v>
      </c>
      <c r="D328" s="1103"/>
      <c r="E328" s="1103"/>
      <c r="F328" s="1103"/>
      <c r="G328" s="846"/>
    </row>
    <row r="329" spans="2:9" x14ac:dyDescent="0.35">
      <c r="B329" s="202">
        <v>2.16</v>
      </c>
      <c r="C329" s="34" t="s">
        <v>424</v>
      </c>
      <c r="D329" s="978"/>
      <c r="E329" s="978"/>
      <c r="F329" s="978"/>
      <c r="G329" s="846"/>
    </row>
    <row r="330" spans="2:9" ht="87" customHeight="1" x14ac:dyDescent="0.35">
      <c r="C330" s="1103" t="s">
        <v>425</v>
      </c>
      <c r="D330" s="1103"/>
      <c r="E330" s="1103"/>
      <c r="F330" s="1103"/>
      <c r="G330" s="846"/>
    </row>
    <row r="331" spans="2:9" x14ac:dyDescent="0.35">
      <c r="B331" s="202">
        <v>2.17</v>
      </c>
      <c r="C331" s="1107" t="s">
        <v>426</v>
      </c>
      <c r="D331" s="1108"/>
      <c r="E331" s="1108"/>
      <c r="F331" s="1108"/>
      <c r="G331" s="846"/>
    </row>
    <row r="332" spans="2:9" ht="213" customHeight="1" x14ac:dyDescent="0.35">
      <c r="C332" s="1103" t="s">
        <v>427</v>
      </c>
      <c r="D332" s="1103"/>
      <c r="E332" s="1103"/>
      <c r="F332" s="1103"/>
      <c r="G332" s="846"/>
    </row>
    <row r="333" spans="2:9" x14ac:dyDescent="0.35">
      <c r="B333" s="202">
        <v>2.1800000000000002</v>
      </c>
      <c r="C333" s="34" t="s">
        <v>428</v>
      </c>
      <c r="D333" s="978"/>
      <c r="E333" s="978"/>
      <c r="F333" s="978"/>
      <c r="G333" s="846"/>
    </row>
    <row r="334" spans="2:9" ht="341.5" customHeight="1" x14ac:dyDescent="0.35">
      <c r="C334" s="1098" t="s">
        <v>429</v>
      </c>
      <c r="D334" s="1103"/>
      <c r="E334" s="1103"/>
      <c r="F334" s="1103"/>
      <c r="G334" s="846"/>
    </row>
    <row r="335" spans="2:9" x14ac:dyDescent="0.35">
      <c r="C335" s="808"/>
      <c r="D335" s="978"/>
      <c r="E335" s="978"/>
      <c r="F335" s="978"/>
      <c r="G335" s="846"/>
    </row>
    <row r="336" spans="2:9" x14ac:dyDescent="0.35">
      <c r="C336" s="808"/>
      <c r="D336" s="978"/>
      <c r="E336" s="978"/>
      <c r="F336" s="978"/>
      <c r="G336" s="846"/>
    </row>
    <row r="337" spans="2:7" x14ac:dyDescent="0.35">
      <c r="C337" s="808"/>
      <c r="D337" s="978"/>
      <c r="E337" s="978"/>
      <c r="F337" s="978"/>
      <c r="G337" s="846"/>
    </row>
    <row r="338" spans="2:7" x14ac:dyDescent="0.35">
      <c r="C338" s="808"/>
      <c r="D338" s="978"/>
      <c r="E338" s="978"/>
      <c r="F338" s="978"/>
      <c r="G338" s="846"/>
    </row>
    <row r="339" spans="2:7" x14ac:dyDescent="0.35">
      <c r="C339" s="808"/>
      <c r="D339" s="978"/>
      <c r="E339" s="978"/>
      <c r="F339" s="978"/>
      <c r="G339" s="846"/>
    </row>
    <row r="340" spans="2:7" x14ac:dyDescent="0.35">
      <c r="C340" s="808"/>
      <c r="D340" s="978"/>
      <c r="E340" s="978"/>
      <c r="F340" s="978"/>
      <c r="G340" s="846"/>
    </row>
    <row r="341" spans="2:7" x14ac:dyDescent="0.35">
      <c r="C341" s="808"/>
      <c r="D341" s="978"/>
      <c r="E341" s="978"/>
      <c r="F341" s="978"/>
      <c r="G341" s="846"/>
    </row>
    <row r="342" spans="2:7" x14ac:dyDescent="0.35">
      <c r="C342" s="808"/>
      <c r="D342" s="978"/>
      <c r="E342" s="978"/>
      <c r="F342" s="978"/>
      <c r="G342" s="846"/>
    </row>
    <row r="343" spans="2:7" x14ac:dyDescent="0.35">
      <c r="C343" s="808"/>
      <c r="D343" s="978"/>
      <c r="E343" s="978"/>
      <c r="F343" s="978"/>
      <c r="G343" s="846"/>
    </row>
    <row r="344" spans="2:7" x14ac:dyDescent="0.35">
      <c r="C344" s="808"/>
      <c r="D344" s="978"/>
      <c r="E344" s="978"/>
      <c r="F344" s="978"/>
      <c r="G344" s="846"/>
    </row>
    <row r="345" spans="2:7" x14ac:dyDescent="0.35">
      <c r="C345" s="808"/>
      <c r="D345" s="978"/>
      <c r="E345" s="978"/>
      <c r="F345" s="978"/>
      <c r="G345" s="846"/>
    </row>
    <row r="346" spans="2:7" x14ac:dyDescent="0.35">
      <c r="C346" s="808"/>
      <c r="D346" s="978"/>
      <c r="E346" s="978"/>
      <c r="F346" s="978"/>
      <c r="G346" s="846"/>
    </row>
    <row r="347" spans="2:7" x14ac:dyDescent="0.35">
      <c r="C347" s="808"/>
      <c r="D347" s="978"/>
      <c r="E347" s="978"/>
      <c r="F347" s="978"/>
      <c r="G347" s="846"/>
    </row>
    <row r="348" spans="2:7" x14ac:dyDescent="0.35">
      <c r="B348" s="1109" t="s">
        <v>280</v>
      </c>
      <c r="C348" s="1109"/>
      <c r="D348" s="1109"/>
      <c r="E348" s="1109"/>
      <c r="F348" s="1109"/>
      <c r="G348" s="846"/>
    </row>
    <row r="349" spans="2:7" x14ac:dyDescent="0.35">
      <c r="C349" s="978"/>
      <c r="D349" s="978"/>
      <c r="E349" s="978"/>
      <c r="F349" s="978"/>
      <c r="G349" s="846"/>
    </row>
    <row r="350" spans="2:7" x14ac:dyDescent="0.35">
      <c r="C350" s="978"/>
      <c r="D350" s="978"/>
      <c r="E350" s="978"/>
      <c r="F350" s="978"/>
      <c r="G350" s="846"/>
    </row>
    <row r="351" spans="2:7" x14ac:dyDescent="0.35">
      <c r="C351" s="978"/>
      <c r="D351" s="978"/>
      <c r="E351" s="978"/>
      <c r="F351" s="978"/>
      <c r="G351" s="846"/>
    </row>
    <row r="352" spans="2:7" x14ac:dyDescent="0.35">
      <c r="C352" s="978"/>
      <c r="D352" s="978"/>
      <c r="E352" s="978"/>
      <c r="F352" s="978"/>
      <c r="G352" s="846"/>
    </row>
    <row r="353" spans="2:7" x14ac:dyDescent="0.35">
      <c r="C353" s="978"/>
      <c r="D353" s="978"/>
      <c r="E353" s="978"/>
      <c r="F353" s="978"/>
      <c r="G353" s="846"/>
    </row>
    <row r="354" spans="2:7" x14ac:dyDescent="0.35">
      <c r="C354" s="978"/>
      <c r="D354" s="311"/>
      <c r="E354" s="311"/>
      <c r="F354" s="311"/>
      <c r="G354" s="846"/>
    </row>
    <row r="355" spans="2:7" x14ac:dyDescent="0.35">
      <c r="B355" s="229">
        <v>2.17</v>
      </c>
      <c r="C355" s="230" t="s">
        <v>430</v>
      </c>
      <c r="D355" s="170"/>
    </row>
    <row r="356" spans="2:7" ht="12.65" customHeight="1" x14ac:dyDescent="0.35">
      <c r="C356" s="1104" t="s">
        <v>431</v>
      </c>
      <c r="D356" s="1104"/>
      <c r="E356" s="1104"/>
      <c r="F356" s="1104"/>
      <c r="G356" s="846"/>
    </row>
    <row r="357" spans="2:7" x14ac:dyDescent="0.35">
      <c r="C357" s="1018"/>
      <c r="D357" s="312"/>
      <c r="E357" s="312"/>
      <c r="F357" s="312"/>
      <c r="G357" s="846"/>
    </row>
    <row r="358" spans="2:7" x14ac:dyDescent="0.35">
      <c r="C358" s="230" t="s">
        <v>432</v>
      </c>
      <c r="D358" s="312"/>
      <c r="E358" s="312"/>
      <c r="F358" s="312"/>
      <c r="G358" s="846"/>
    </row>
    <row r="359" spans="2:7" ht="12.65" customHeight="1" x14ac:dyDescent="0.35">
      <c r="C359" s="1104" t="s">
        <v>433</v>
      </c>
      <c r="D359" s="1104"/>
      <c r="E359" s="1104"/>
      <c r="F359" s="1104"/>
      <c r="G359" s="846"/>
    </row>
    <row r="360" spans="2:7" x14ac:dyDescent="0.35">
      <c r="C360" s="1018"/>
      <c r="D360" s="312"/>
      <c r="E360" s="312"/>
      <c r="F360" s="312"/>
      <c r="G360" s="846"/>
    </row>
    <row r="361" spans="2:7" x14ac:dyDescent="0.35">
      <c r="C361" s="230" t="s">
        <v>434</v>
      </c>
      <c r="D361" s="312"/>
      <c r="E361" s="312"/>
      <c r="F361" s="312"/>
      <c r="G361" s="846"/>
    </row>
    <row r="362" spans="2:7" x14ac:dyDescent="0.35">
      <c r="B362" s="202" t="s">
        <v>253</v>
      </c>
      <c r="C362" s="230" t="s">
        <v>435</v>
      </c>
      <c r="D362" s="312"/>
      <c r="E362" s="312"/>
      <c r="F362" s="312"/>
      <c r="G362" s="846"/>
    </row>
    <row r="363" spans="2:7" ht="12.65" customHeight="1" x14ac:dyDescent="0.35">
      <c r="C363" s="1104" t="s">
        <v>436</v>
      </c>
      <c r="D363" s="1104"/>
      <c r="E363" s="1104"/>
      <c r="F363" s="1104"/>
      <c r="G363" s="846"/>
    </row>
    <row r="364" spans="2:7" x14ac:dyDescent="0.35">
      <c r="C364" s="1019"/>
      <c r="D364" s="312"/>
      <c r="E364" s="312"/>
      <c r="F364" s="312"/>
      <c r="G364" s="846"/>
    </row>
    <row r="365" spans="2:7" x14ac:dyDescent="0.35">
      <c r="B365" s="202" t="s">
        <v>255</v>
      </c>
      <c r="C365" s="230" t="s">
        <v>437</v>
      </c>
      <c r="D365" s="312"/>
      <c r="E365" s="312"/>
      <c r="F365" s="312"/>
      <c r="G365" s="846"/>
    </row>
    <row r="366" spans="2:7" ht="12.65" customHeight="1" x14ac:dyDescent="0.35">
      <c r="C366" s="1104" t="s">
        <v>438</v>
      </c>
      <c r="D366" s="1104"/>
      <c r="E366" s="1104"/>
      <c r="F366" s="1104"/>
      <c r="G366" s="846"/>
    </row>
    <row r="367" spans="2:7" x14ac:dyDescent="0.35">
      <c r="C367" s="1019"/>
      <c r="D367" s="312"/>
      <c r="E367" s="312"/>
      <c r="F367" s="312"/>
      <c r="G367" s="846"/>
    </row>
    <row r="368" spans="2:7" x14ac:dyDescent="0.35">
      <c r="B368" s="202" t="s">
        <v>257</v>
      </c>
      <c r="C368" s="230" t="s">
        <v>439</v>
      </c>
      <c r="D368" s="312"/>
      <c r="E368" s="312"/>
      <c r="F368" s="312"/>
      <c r="G368" s="846"/>
    </row>
    <row r="369" spans="2:7" ht="12.65" customHeight="1" x14ac:dyDescent="0.35">
      <c r="C369" s="1104" t="s">
        <v>440</v>
      </c>
      <c r="D369" s="1104"/>
      <c r="E369" s="1104"/>
      <c r="F369" s="1104"/>
      <c r="G369" s="846"/>
    </row>
    <row r="370" spans="2:7" x14ac:dyDescent="0.35">
      <c r="C370" s="1019"/>
      <c r="D370" s="312"/>
      <c r="E370" s="312"/>
      <c r="F370" s="312"/>
      <c r="G370" s="846"/>
    </row>
    <row r="371" spans="2:7" x14ac:dyDescent="0.35">
      <c r="B371" s="202" t="s">
        <v>441</v>
      </c>
      <c r="C371" s="230" t="s">
        <v>312</v>
      </c>
      <c r="D371" s="312"/>
      <c r="E371" s="312"/>
      <c r="F371" s="312"/>
      <c r="G371" s="846"/>
    </row>
    <row r="372" spans="2:7" ht="12.65" customHeight="1" x14ac:dyDescent="0.35">
      <c r="C372" s="1104" t="s">
        <v>442</v>
      </c>
      <c r="D372" s="1104"/>
      <c r="E372" s="1104"/>
      <c r="F372" s="1104"/>
      <c r="G372" s="846"/>
    </row>
    <row r="373" spans="2:7" ht="12.65" customHeight="1" x14ac:dyDescent="0.35">
      <c r="C373" s="1104" t="s">
        <v>443</v>
      </c>
      <c r="D373" s="1104"/>
      <c r="E373" s="1104"/>
      <c r="F373" s="1104"/>
      <c r="G373" s="846"/>
    </row>
    <row r="374" spans="2:7" ht="12.65" customHeight="1" x14ac:dyDescent="0.35">
      <c r="C374" s="1104" t="s">
        <v>444</v>
      </c>
      <c r="D374" s="1104"/>
      <c r="E374" s="1104"/>
      <c r="F374" s="1104"/>
      <c r="G374" s="846"/>
    </row>
    <row r="375" spans="2:7" ht="12.65" customHeight="1" x14ac:dyDescent="0.35">
      <c r="C375" s="1104" t="s">
        <v>445</v>
      </c>
      <c r="D375" s="1104"/>
      <c r="E375" s="1104"/>
      <c r="F375" s="1104"/>
      <c r="G375" s="846"/>
    </row>
    <row r="376" spans="2:7" ht="12.65" customHeight="1" x14ac:dyDescent="0.35">
      <c r="C376" s="1104" t="s">
        <v>446</v>
      </c>
      <c r="D376" s="1104"/>
      <c r="E376" s="1104"/>
      <c r="F376" s="1104"/>
      <c r="G376" s="846"/>
    </row>
    <row r="377" spans="2:7" x14ac:dyDescent="0.35">
      <c r="C377" s="1018"/>
      <c r="D377" s="312"/>
      <c r="E377" s="312"/>
      <c r="F377" s="312"/>
      <c r="G377" s="846"/>
    </row>
    <row r="378" spans="2:7" x14ac:dyDescent="0.35">
      <c r="B378" s="202"/>
      <c r="C378" s="230" t="s">
        <v>447</v>
      </c>
      <c r="D378" s="312"/>
      <c r="E378" s="312"/>
      <c r="F378" s="312"/>
      <c r="G378" s="846"/>
    </row>
    <row r="379" spans="2:7" x14ac:dyDescent="0.35">
      <c r="B379" s="202" t="s">
        <v>253</v>
      </c>
      <c r="C379" s="230" t="s">
        <v>448</v>
      </c>
      <c r="D379" s="312"/>
      <c r="E379" s="312"/>
      <c r="F379" s="312"/>
      <c r="G379" s="846"/>
    </row>
    <row r="380" spans="2:7" ht="12.65" customHeight="1" x14ac:dyDescent="0.35">
      <c r="C380" s="1104" t="s">
        <v>449</v>
      </c>
      <c r="D380" s="1104"/>
      <c r="E380" s="1104"/>
      <c r="F380" s="1104"/>
      <c r="G380" s="846"/>
    </row>
    <row r="381" spans="2:7" ht="12.65" customHeight="1" x14ac:dyDescent="0.35">
      <c r="C381" s="1104" t="s">
        <v>450</v>
      </c>
      <c r="D381" s="1104"/>
      <c r="E381" s="1104"/>
      <c r="F381" s="1104"/>
      <c r="G381" s="846"/>
    </row>
    <row r="382" spans="2:7" x14ac:dyDescent="0.35">
      <c r="C382" s="1018"/>
      <c r="D382" s="312"/>
      <c r="E382" s="312"/>
      <c r="F382" s="312"/>
      <c r="G382" s="846"/>
    </row>
    <row r="383" spans="2:7" x14ac:dyDescent="0.35">
      <c r="B383" s="202" t="s">
        <v>255</v>
      </c>
      <c r="C383" s="230" t="s">
        <v>451</v>
      </c>
      <c r="D383" s="312"/>
      <c r="E383" s="312"/>
      <c r="F383" s="312"/>
      <c r="G383" s="846"/>
    </row>
    <row r="384" spans="2:7" ht="12.65" customHeight="1" x14ac:dyDescent="0.35">
      <c r="C384" s="1104" t="s">
        <v>452</v>
      </c>
      <c r="D384" s="1104"/>
      <c r="E384" s="1104"/>
      <c r="F384" s="1104"/>
      <c r="G384" s="846"/>
    </row>
    <row r="385" spans="2:9" x14ac:dyDescent="0.35">
      <c r="C385" s="1018"/>
      <c r="D385" s="312"/>
      <c r="E385" s="312"/>
      <c r="F385" s="312"/>
      <c r="G385" s="846"/>
    </row>
    <row r="386" spans="2:9" x14ac:dyDescent="0.35">
      <c r="B386" s="202" t="s">
        <v>257</v>
      </c>
      <c r="C386" s="230" t="s">
        <v>453</v>
      </c>
      <c r="D386" s="312"/>
      <c r="E386" s="312"/>
      <c r="F386" s="312"/>
      <c r="G386" s="846"/>
    </row>
    <row r="387" spans="2:9" ht="12.65" customHeight="1" x14ac:dyDescent="0.35">
      <c r="C387" s="1104" t="s">
        <v>454</v>
      </c>
      <c r="D387" s="1104"/>
      <c r="E387" s="1104"/>
      <c r="F387" s="1104"/>
      <c r="G387" s="846"/>
    </row>
    <row r="388" spans="2:9" x14ac:dyDescent="0.35">
      <c r="C388" s="1018"/>
      <c r="D388" s="312"/>
      <c r="E388" s="312"/>
      <c r="F388" s="312"/>
      <c r="G388" s="846"/>
    </row>
    <row r="389" spans="2:9" x14ac:dyDescent="0.35">
      <c r="B389" s="202" t="s">
        <v>441</v>
      </c>
      <c r="C389" s="230" t="s">
        <v>382</v>
      </c>
      <c r="D389" s="312"/>
      <c r="E389" s="312"/>
      <c r="F389" s="312"/>
      <c r="G389" s="846"/>
    </row>
    <row r="390" spans="2:9" ht="12.65" customHeight="1" x14ac:dyDescent="0.35">
      <c r="C390" s="1104" t="s">
        <v>455</v>
      </c>
      <c r="D390" s="1104"/>
      <c r="E390" s="1104"/>
      <c r="F390" s="1104"/>
      <c r="G390" s="846"/>
    </row>
    <row r="391" spans="2:9" ht="4.5" customHeight="1" x14ac:dyDescent="0.35">
      <c r="C391" s="978"/>
      <c r="D391" s="311"/>
      <c r="E391" s="311"/>
      <c r="F391" s="311"/>
      <c r="G391" s="846"/>
    </row>
    <row r="392" spans="2:9" x14ac:dyDescent="0.35">
      <c r="C392" s="978"/>
      <c r="D392" s="311"/>
      <c r="E392" s="311"/>
      <c r="F392" s="311"/>
      <c r="G392" s="846"/>
    </row>
    <row r="393" spans="2:9" x14ac:dyDescent="0.35">
      <c r="C393" s="1015"/>
      <c r="D393" s="311"/>
      <c r="E393" s="311"/>
      <c r="F393" s="311"/>
      <c r="G393" s="846"/>
    </row>
    <row r="394" spans="2:9" x14ac:dyDescent="0.35">
      <c r="C394" s="1015"/>
      <c r="D394" s="311"/>
      <c r="E394" s="311"/>
      <c r="F394" s="311"/>
      <c r="G394" s="846"/>
    </row>
    <row r="398" spans="2:9" ht="12" x14ac:dyDescent="0.3">
      <c r="B398" s="1110"/>
      <c r="C398" s="1110"/>
      <c r="D398" s="1110"/>
      <c r="E398" s="1110"/>
      <c r="F398" s="1110"/>
      <c r="G398" s="231"/>
      <c r="H398" s="231"/>
      <c r="I398" s="231"/>
    </row>
  </sheetData>
  <mergeCells count="166">
    <mergeCell ref="C237:E237"/>
    <mergeCell ref="D91:F91"/>
    <mergeCell ref="C58:F58"/>
    <mergeCell ref="C47:F47"/>
    <mergeCell ref="C50:F50"/>
    <mergeCell ref="C53:F53"/>
    <mergeCell ref="C56:F56"/>
    <mergeCell ref="C67:F67"/>
    <mergeCell ref="C83:E83"/>
    <mergeCell ref="C85:F85"/>
    <mergeCell ref="C87:F87"/>
    <mergeCell ref="D89:F89"/>
    <mergeCell ref="C64:F64"/>
    <mergeCell ref="C137:F137"/>
    <mergeCell ref="C140:F140"/>
    <mergeCell ref="C143:F143"/>
    <mergeCell ref="C123:E123"/>
    <mergeCell ref="C124:F124"/>
    <mergeCell ref="C126:F126"/>
    <mergeCell ref="C128:F128"/>
    <mergeCell ref="C144:F144"/>
    <mergeCell ref="C146:E146"/>
    <mergeCell ref="C147:F147"/>
    <mergeCell ref="C148:F148"/>
    <mergeCell ref="C5:F5"/>
    <mergeCell ref="C7:F7"/>
    <mergeCell ref="D30:F30"/>
    <mergeCell ref="D31:F31"/>
    <mergeCell ref="C34:F35"/>
    <mergeCell ref="C37:F37"/>
    <mergeCell ref="C38:F38"/>
    <mergeCell ref="C10:F10"/>
    <mergeCell ref="C20:F20"/>
    <mergeCell ref="C21:F21"/>
    <mergeCell ref="C23:F23"/>
    <mergeCell ref="C6:F6"/>
    <mergeCell ref="C9:E9"/>
    <mergeCell ref="C11:F11"/>
    <mergeCell ref="C14:E14"/>
    <mergeCell ref="C16:F16"/>
    <mergeCell ref="C24:F24"/>
    <mergeCell ref="D29:F29"/>
    <mergeCell ref="C12:F12"/>
    <mergeCell ref="C27:F27"/>
    <mergeCell ref="C18:F18"/>
    <mergeCell ref="C40:F40"/>
    <mergeCell ref="C41:F41"/>
    <mergeCell ref="C131:F131"/>
    <mergeCell ref="C133:E133"/>
    <mergeCell ref="B81:F81"/>
    <mergeCell ref="C134:F134"/>
    <mergeCell ref="C125:F125"/>
    <mergeCell ref="D113:F113"/>
    <mergeCell ref="D112:F112"/>
    <mergeCell ref="C129:E129"/>
    <mergeCell ref="C130:E130"/>
    <mergeCell ref="C42:F42"/>
    <mergeCell ref="C43:F43"/>
    <mergeCell ref="C44:F44"/>
    <mergeCell ref="C45:F45"/>
    <mergeCell ref="D100:F100"/>
    <mergeCell ref="D115:F115"/>
    <mergeCell ref="D105:F105"/>
    <mergeCell ref="D109:F109"/>
    <mergeCell ref="D94:F94"/>
    <mergeCell ref="D97:F97"/>
    <mergeCell ref="C46:F46"/>
    <mergeCell ref="C120:E120"/>
    <mergeCell ref="C121:F121"/>
    <mergeCell ref="C167:F167"/>
    <mergeCell ref="C168:F168"/>
    <mergeCell ref="C182:F182"/>
    <mergeCell ref="C195:F195"/>
    <mergeCell ref="B160:F160"/>
    <mergeCell ref="C207:E207"/>
    <mergeCell ref="C208:F208"/>
    <mergeCell ref="C209:E209"/>
    <mergeCell ref="D210:E210"/>
    <mergeCell ref="D211:F211"/>
    <mergeCell ref="D213:E213"/>
    <mergeCell ref="C169:F169"/>
    <mergeCell ref="C170:F170"/>
    <mergeCell ref="C201:E201"/>
    <mergeCell ref="C203:F203"/>
    <mergeCell ref="C205:E205"/>
    <mergeCell ref="C196:F196"/>
    <mergeCell ref="B197:F197"/>
    <mergeCell ref="C227:F227"/>
    <mergeCell ref="C229:F229"/>
    <mergeCell ref="C231:E231"/>
    <mergeCell ref="C232:F232"/>
    <mergeCell ref="C234:E234"/>
    <mergeCell ref="C235:F235"/>
    <mergeCell ref="D214:F214"/>
    <mergeCell ref="D216:E216"/>
    <mergeCell ref="D217:F217"/>
    <mergeCell ref="C219:F219"/>
    <mergeCell ref="C220:F220"/>
    <mergeCell ref="C225:E225"/>
    <mergeCell ref="C248:F248"/>
    <mergeCell ref="C250:E250"/>
    <mergeCell ref="C251:F251"/>
    <mergeCell ref="C253:F253"/>
    <mergeCell ref="C254:F254"/>
    <mergeCell ref="C256:F256"/>
    <mergeCell ref="B265:F265"/>
    <mergeCell ref="C239:E239"/>
    <mergeCell ref="C241:F241"/>
    <mergeCell ref="D242:F242"/>
    <mergeCell ref="D243:F243"/>
    <mergeCell ref="D244:F244"/>
    <mergeCell ref="C246:E246"/>
    <mergeCell ref="C275:F275"/>
    <mergeCell ref="C278:F278"/>
    <mergeCell ref="C279:F279"/>
    <mergeCell ref="C281:E281"/>
    <mergeCell ref="C282:E282"/>
    <mergeCell ref="C283:F283"/>
    <mergeCell ref="C257:F257"/>
    <mergeCell ref="C258:F258"/>
    <mergeCell ref="C259:F259"/>
    <mergeCell ref="C271:F271"/>
    <mergeCell ref="C272:F272"/>
    <mergeCell ref="C273:F273"/>
    <mergeCell ref="C277:E277"/>
    <mergeCell ref="C380:F380"/>
    <mergeCell ref="C381:F381"/>
    <mergeCell ref="C384:F384"/>
    <mergeCell ref="C387:F387"/>
    <mergeCell ref="C390:F390"/>
    <mergeCell ref="B398:F398"/>
    <mergeCell ref="C369:F369"/>
    <mergeCell ref="C372:F372"/>
    <mergeCell ref="C373:F373"/>
    <mergeCell ref="C374:F374"/>
    <mergeCell ref="C375:F375"/>
    <mergeCell ref="C376:F376"/>
    <mergeCell ref="C325:F325"/>
    <mergeCell ref="C328:F328"/>
    <mergeCell ref="C356:F356"/>
    <mergeCell ref="C359:F359"/>
    <mergeCell ref="C363:F363"/>
    <mergeCell ref="C366:F366"/>
    <mergeCell ref="C308:E308"/>
    <mergeCell ref="C311:F311"/>
    <mergeCell ref="C314:F314"/>
    <mergeCell ref="C318:F318"/>
    <mergeCell ref="C321:E321"/>
    <mergeCell ref="C323:F323"/>
    <mergeCell ref="C330:F330"/>
    <mergeCell ref="C334:F334"/>
    <mergeCell ref="C331:F331"/>
    <mergeCell ref="C332:F332"/>
    <mergeCell ref="B348:F348"/>
    <mergeCell ref="C298:F298"/>
    <mergeCell ref="C299:F299"/>
    <mergeCell ref="C300:F300"/>
    <mergeCell ref="C301:F301"/>
    <mergeCell ref="C302:F302"/>
    <mergeCell ref="C303:F303"/>
    <mergeCell ref="C286:E286"/>
    <mergeCell ref="C287:F287"/>
    <mergeCell ref="C289:E289"/>
    <mergeCell ref="C291:F291"/>
    <mergeCell ref="C293:E293"/>
    <mergeCell ref="C295:F295"/>
  </mergeCells>
  <pageMargins left="0.25" right="0.25" top="0.75" bottom="0.75" header="0.3" footer="0.3"/>
  <pageSetup paperSize="9" scale="80" orientation="portrait" r:id="rId1"/>
  <rowBreaks count="7" manualBreakCount="7">
    <brk id="59" min="1" max="5" man="1"/>
    <brk id="115" min="1" max="5" man="1"/>
    <brk id="161" min="1" max="5" man="1"/>
    <brk id="221" min="1" max="5" man="1"/>
    <brk id="266" min="1" max="5" man="1"/>
    <brk id="302" min="1" max="5" man="1"/>
    <brk id="332" min="1" max="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9C6FD-8561-4E8F-BD1E-0E270AAEB76F}">
  <sheetPr>
    <tabColor rgb="FF7030A0"/>
  </sheetPr>
  <dimension ref="A1:V109"/>
  <sheetViews>
    <sheetView showGridLines="0" view="pageBreakPreview" topLeftCell="A66" zoomScale="85" zoomScaleNormal="100" zoomScaleSheetLayoutView="90" workbookViewId="0">
      <selection activeCell="E40" sqref="E40"/>
    </sheetView>
  </sheetViews>
  <sheetFormatPr defaultColWidth="9.1796875" defaultRowHeight="11.5" x14ac:dyDescent="0.25"/>
  <cols>
    <col min="1" max="1" width="2.81640625" style="19" customWidth="1"/>
    <col min="2" max="2" width="39.1796875" style="19" customWidth="1"/>
    <col min="3" max="3" width="12.81640625" style="19" customWidth="1"/>
    <col min="4" max="4" width="16.1796875" style="19" customWidth="1"/>
    <col min="5" max="5" width="12.81640625" style="19" customWidth="1"/>
    <col min="6" max="6" width="11.81640625" style="19" customWidth="1"/>
    <col min="7" max="7" width="16.1796875" style="19" customWidth="1"/>
    <col min="8" max="8" width="12.81640625" style="19" customWidth="1"/>
    <col min="9" max="9" width="15" style="19" bestFit="1" customWidth="1"/>
    <col min="10" max="10" width="14.54296875" style="19" bestFit="1" customWidth="1"/>
    <col min="11" max="11" width="20.453125" style="19" bestFit="1" customWidth="1"/>
    <col min="12" max="12" width="16.1796875" style="19" bestFit="1" customWidth="1"/>
    <col min="13" max="13" width="15.81640625" style="19" bestFit="1" customWidth="1"/>
    <col min="14" max="15" width="13.54296875" style="19" bestFit="1" customWidth="1"/>
    <col min="16" max="16" width="15" style="19" bestFit="1" customWidth="1"/>
    <col min="17" max="17" width="13.81640625" style="19" bestFit="1" customWidth="1"/>
    <col min="18" max="18" width="15" style="19" bestFit="1" customWidth="1"/>
    <col min="19" max="19" width="12.453125" style="19" bestFit="1" customWidth="1"/>
    <col min="20" max="21" width="9.1796875" style="19" bestFit="1" customWidth="1"/>
    <col min="22" max="16384" width="9.1796875" style="19"/>
  </cols>
  <sheetData>
    <row r="1" spans="1:22" x14ac:dyDescent="0.25">
      <c r="B1" s="53" t="str">
        <f>'SOCE '!B1</f>
        <v>Paladion Networks Private Limited</v>
      </c>
      <c r="C1" s="53"/>
      <c r="D1" s="53"/>
      <c r="E1" s="53"/>
      <c r="F1" s="53"/>
      <c r="G1" s="53"/>
      <c r="H1" s="53"/>
      <c r="I1" s="60"/>
    </row>
    <row r="2" spans="1:22" s="446" customFormat="1" ht="12.75" customHeight="1" x14ac:dyDescent="0.25">
      <c r="A2" s="986"/>
      <c r="B2" s="53" t="s">
        <v>456</v>
      </c>
      <c r="C2" s="986"/>
      <c r="D2" s="986"/>
      <c r="E2" s="986"/>
      <c r="F2" s="986"/>
      <c r="G2" s="986"/>
      <c r="H2" s="986"/>
      <c r="I2" s="986"/>
      <c r="J2" s="986"/>
      <c r="K2" s="986"/>
      <c r="L2" s="986"/>
      <c r="M2" s="986"/>
      <c r="N2" s="986"/>
      <c r="O2" s="986"/>
      <c r="P2" s="986"/>
      <c r="Q2" s="986"/>
      <c r="R2" s="986"/>
      <c r="S2" s="986"/>
      <c r="T2" s="986"/>
      <c r="U2" s="986"/>
      <c r="V2" s="986"/>
    </row>
    <row r="3" spans="1:22" ht="12" x14ac:dyDescent="0.25">
      <c r="B3" s="100" t="str">
        <f>'SOCE '!B3</f>
        <v>(Amounts are stated in ₹ lakhs, except share and per share data, unless ottherwise stated)</v>
      </c>
      <c r="C3" s="353"/>
      <c r="D3" s="353"/>
      <c r="E3" s="353"/>
      <c r="F3" s="353"/>
      <c r="G3" s="353"/>
      <c r="H3" s="353"/>
    </row>
    <row r="4" spans="1:22" x14ac:dyDescent="0.25">
      <c r="A4" s="39"/>
      <c r="C4" s="54"/>
      <c r="D4" s="54"/>
      <c r="E4" s="54"/>
      <c r="F4" s="54"/>
      <c r="G4" s="54"/>
      <c r="H4" s="54"/>
    </row>
    <row r="5" spans="1:22" x14ac:dyDescent="0.25">
      <c r="A5" s="19">
        <v>3</v>
      </c>
      <c r="B5" s="39" t="str">
        <f>"Note "&amp;A5&amp;": Property,plant and equipment"</f>
        <v>Note 3: Property,plant and equipment</v>
      </c>
      <c r="C5" s="54"/>
      <c r="D5" s="54"/>
      <c r="E5" s="54"/>
      <c r="F5" s="54"/>
      <c r="G5" s="54"/>
      <c r="H5" s="54"/>
    </row>
    <row r="7" spans="1:22" s="54" customFormat="1" ht="23" x14ac:dyDescent="0.35">
      <c r="B7" s="53"/>
      <c r="C7" s="423" t="s">
        <v>335</v>
      </c>
      <c r="D7" s="423" t="s">
        <v>457</v>
      </c>
      <c r="E7" s="423" t="s">
        <v>458</v>
      </c>
      <c r="F7" s="423" t="s">
        <v>459</v>
      </c>
      <c r="G7" s="423" t="s">
        <v>460</v>
      </c>
      <c r="H7" s="423" t="s">
        <v>100</v>
      </c>
    </row>
    <row r="8" spans="1:22" s="110" customFormat="1" ht="9" customHeight="1" x14ac:dyDescent="0.35">
      <c r="B8" s="53"/>
      <c r="C8" s="422"/>
      <c r="D8" s="422"/>
      <c r="E8" s="195"/>
      <c r="F8" s="195"/>
      <c r="G8" s="195"/>
      <c r="H8" s="195"/>
    </row>
    <row r="9" spans="1:22" s="110" customFormat="1" ht="17.25" customHeight="1" x14ac:dyDescent="0.35">
      <c r="B9" s="34" t="s">
        <v>461</v>
      </c>
      <c r="C9" s="422"/>
      <c r="D9" s="422"/>
      <c r="E9" s="195"/>
      <c r="F9" s="195"/>
      <c r="G9" s="195"/>
      <c r="H9" s="195"/>
    </row>
    <row r="10" spans="1:22" x14ac:dyDescent="0.25">
      <c r="B10" s="196" t="s">
        <v>462</v>
      </c>
      <c r="C10" s="129">
        <v>229.87798000000001</v>
      </c>
      <c r="D10" s="129">
        <v>19.436499999999999</v>
      </c>
      <c r="E10" s="129">
        <v>107.92661</v>
      </c>
      <c r="F10" s="129">
        <v>48.1414434</v>
      </c>
      <c r="G10" s="129">
        <v>959.25203898400002</v>
      </c>
      <c r="H10" s="85">
        <f>ROUND(SUM(C10:G10),2)</f>
        <v>1364.63</v>
      </c>
      <c r="I10" s="17"/>
      <c r="J10" s="17"/>
      <c r="K10" s="17"/>
      <c r="L10" s="17"/>
      <c r="M10" s="17"/>
      <c r="N10" s="17"/>
      <c r="O10" s="17"/>
      <c r="P10" s="17"/>
      <c r="Q10" s="17"/>
      <c r="R10" s="17"/>
      <c r="S10" s="17"/>
      <c r="T10" s="17"/>
      <c r="U10" s="17"/>
      <c r="V10" s="17"/>
    </row>
    <row r="11" spans="1:22" x14ac:dyDescent="0.25">
      <c r="B11" s="83" t="s">
        <v>463</v>
      </c>
      <c r="C11" s="85" t="s">
        <v>174</v>
      </c>
      <c r="D11" s="85">
        <v>63.642319799999996</v>
      </c>
      <c r="E11" s="85">
        <v>109.53548960000001</v>
      </c>
      <c r="F11" s="85">
        <v>21.896099199999998</v>
      </c>
      <c r="G11" s="85">
        <v>3.31693410945</v>
      </c>
      <c r="H11" s="85">
        <f>ROUND(SUM(C11:G11),2)</f>
        <v>198.39</v>
      </c>
      <c r="I11" s="17"/>
      <c r="J11" s="17"/>
      <c r="K11" s="17"/>
      <c r="L11" s="17"/>
      <c r="M11" s="17"/>
      <c r="N11" s="17"/>
      <c r="O11" s="17"/>
      <c r="P11" s="17"/>
      <c r="Q11" s="17"/>
      <c r="R11" s="17"/>
      <c r="S11" s="17"/>
      <c r="T11" s="17"/>
      <c r="U11" s="17"/>
      <c r="V11" s="17"/>
    </row>
    <row r="12" spans="1:22" x14ac:dyDescent="0.25">
      <c r="B12" s="83" t="s">
        <v>464</v>
      </c>
      <c r="C12" s="85" t="s">
        <v>174</v>
      </c>
      <c r="D12" s="85" t="s">
        <v>174</v>
      </c>
      <c r="E12" s="85">
        <v>-50.948055982532502</v>
      </c>
      <c r="F12" s="85">
        <v>-8.6110291472439098</v>
      </c>
      <c r="G12" s="85">
        <v>-262.50034743018</v>
      </c>
      <c r="H12" s="85">
        <f>ROUND(SUM(C12:G12),2)</f>
        <v>-322.06</v>
      </c>
      <c r="I12" s="17"/>
      <c r="J12" s="17"/>
      <c r="K12" s="17" t="s">
        <v>465</v>
      </c>
      <c r="L12" s="17">
        <v>203.69816</v>
      </c>
      <c r="M12" s="17"/>
      <c r="N12" s="17"/>
      <c r="O12" s="17"/>
      <c r="P12" s="17"/>
      <c r="Q12" s="17"/>
      <c r="R12" s="17"/>
      <c r="S12" s="17"/>
      <c r="T12" s="17"/>
      <c r="U12" s="17"/>
      <c r="V12" s="17"/>
    </row>
    <row r="13" spans="1:22" s="39" customFormat="1" x14ac:dyDescent="0.25">
      <c r="B13" s="196" t="s">
        <v>466</v>
      </c>
      <c r="C13" s="197">
        <f>SUM(C10:C12)</f>
        <v>229.87798000000001</v>
      </c>
      <c r="D13" s="197">
        <f>SUM(D10:D12)</f>
        <v>83.078819799999991</v>
      </c>
      <c r="E13" s="197">
        <f>SUM(E10:E12)</f>
        <v>166.51404361746748</v>
      </c>
      <c r="F13" s="197">
        <f>SUM(F10:F12)</f>
        <v>61.426513452756083</v>
      </c>
      <c r="G13" s="197">
        <f>SUM(G10:G12)</f>
        <v>700.06862566327004</v>
      </c>
      <c r="H13" s="197">
        <f>SUM(H10:H12)-0.5</f>
        <v>1240.46</v>
      </c>
      <c r="I13" s="3"/>
      <c r="J13" s="3"/>
      <c r="K13" s="17" t="s">
        <v>467</v>
      </c>
      <c r="L13" s="17">
        <v>-162.16999999999999</v>
      </c>
      <c r="M13" s="3"/>
      <c r="N13" s="3"/>
      <c r="O13" s="3"/>
      <c r="P13" s="3"/>
      <c r="Q13" s="3"/>
      <c r="R13" s="3"/>
      <c r="S13" s="3"/>
      <c r="T13" s="3"/>
      <c r="U13" s="3"/>
      <c r="V13" s="3"/>
    </row>
    <row r="14" spans="1:22" x14ac:dyDescent="0.25">
      <c r="B14" s="198" t="s">
        <v>463</v>
      </c>
      <c r="C14" s="85" t="s">
        <v>174</v>
      </c>
      <c r="D14" s="85"/>
      <c r="E14" s="85">
        <f>8.84505</f>
        <v>8.8450500000000005</v>
      </c>
      <c r="F14" s="85">
        <f>0.19</f>
        <v>0.19</v>
      </c>
      <c r="G14" s="85">
        <f>5.89495+1.811+0.08846</f>
        <v>7.7944100000000001</v>
      </c>
      <c r="H14" s="85">
        <f>SUM(C14:G14)</f>
        <v>16.829460000000001</v>
      </c>
      <c r="I14" s="17"/>
      <c r="J14" s="17"/>
      <c r="K14" s="17" t="s">
        <v>468</v>
      </c>
      <c r="L14" s="588">
        <f>SUM(L12:L13)</f>
        <v>41.528160000000014</v>
      </c>
      <c r="M14" s="17"/>
      <c r="N14" s="17"/>
      <c r="O14" s="17"/>
      <c r="P14" s="17"/>
      <c r="Q14" s="17"/>
      <c r="R14" s="17"/>
      <c r="S14" s="17"/>
      <c r="T14" s="17"/>
      <c r="U14" s="17"/>
      <c r="V14" s="17"/>
    </row>
    <row r="15" spans="1:22" x14ac:dyDescent="0.25">
      <c r="B15" s="198" t="s">
        <v>464</v>
      </c>
      <c r="C15" s="85" t="s">
        <v>174</v>
      </c>
      <c r="D15" s="78"/>
      <c r="E15" s="85"/>
      <c r="F15" s="85"/>
      <c r="G15" s="85">
        <f>-203.69816</f>
        <v>-203.69816</v>
      </c>
      <c r="H15" s="85">
        <f>SUM(C15:G15)</f>
        <v>-203.69816</v>
      </c>
      <c r="I15" s="17"/>
      <c r="J15" s="17"/>
      <c r="M15" s="17"/>
      <c r="N15" s="17"/>
      <c r="O15" s="17"/>
      <c r="P15" s="17"/>
      <c r="Q15" s="17"/>
      <c r="R15" s="17"/>
      <c r="S15" s="17"/>
      <c r="T15" s="17"/>
      <c r="U15" s="17"/>
      <c r="V15" s="17"/>
    </row>
    <row r="16" spans="1:22" s="39" customFormat="1" ht="12" thickBot="1" x14ac:dyDescent="0.3">
      <c r="B16" s="196" t="s">
        <v>469</v>
      </c>
      <c r="C16" s="148">
        <f t="shared" ref="C16:H16" si="0">SUM(C13:C15)</f>
        <v>229.87798000000001</v>
      </c>
      <c r="D16" s="148">
        <f t="shared" si="0"/>
        <v>83.078819799999991</v>
      </c>
      <c r="E16" s="148">
        <f t="shared" si="0"/>
        <v>175.35909361746747</v>
      </c>
      <c r="F16" s="148">
        <f t="shared" si="0"/>
        <v>61.616513452756081</v>
      </c>
      <c r="G16" s="148">
        <f t="shared" si="0"/>
        <v>504.16487566326998</v>
      </c>
      <c r="H16" s="148">
        <f t="shared" si="0"/>
        <v>1053.5913</v>
      </c>
      <c r="I16" s="3"/>
      <c r="J16" s="3"/>
      <c r="K16" s="3"/>
      <c r="L16" s="3"/>
      <c r="M16" s="3"/>
      <c r="N16" s="3"/>
      <c r="O16" s="3"/>
      <c r="P16" s="3"/>
      <c r="Q16" s="3"/>
      <c r="R16" s="3"/>
      <c r="S16" s="3"/>
      <c r="T16" s="3"/>
      <c r="U16" s="3"/>
      <c r="V16" s="3"/>
    </row>
    <row r="17" spans="2:22" ht="12" thickTop="1" x14ac:dyDescent="0.25">
      <c r="B17" s="196"/>
      <c r="C17" s="79"/>
      <c r="D17" s="79"/>
      <c r="E17" s="79"/>
      <c r="F17" s="79"/>
      <c r="G17" s="79"/>
      <c r="H17" s="79"/>
      <c r="I17" s="17"/>
      <c r="K17" s="17"/>
    </row>
    <row r="18" spans="2:22" ht="15.75" customHeight="1" x14ac:dyDescent="0.25">
      <c r="B18" s="164" t="s">
        <v>470</v>
      </c>
      <c r="C18" s="60"/>
      <c r="D18" s="60"/>
      <c r="E18" s="60"/>
      <c r="F18" s="60"/>
      <c r="G18" s="60"/>
      <c r="H18" s="60"/>
      <c r="I18" s="131"/>
    </row>
    <row r="19" spans="2:22" x14ac:dyDescent="0.25">
      <c r="B19" s="196" t="str">
        <f>B10</f>
        <v>As at 01 April 2023</v>
      </c>
      <c r="C19" s="60">
        <v>17.918792826448801</v>
      </c>
      <c r="D19" s="60">
        <v>19.047226047352201</v>
      </c>
      <c r="E19" s="60">
        <v>80.392740205650512</v>
      </c>
      <c r="F19" s="60">
        <v>41.162228846524002</v>
      </c>
      <c r="G19" s="60">
        <v>524.00201588753805</v>
      </c>
      <c r="H19" s="60">
        <f>SUM(C19:G19)</f>
        <v>682.52300381351358</v>
      </c>
      <c r="I19" s="17"/>
      <c r="J19" s="17"/>
      <c r="K19" s="17"/>
      <c r="L19" s="17"/>
      <c r="M19" s="17"/>
      <c r="N19" s="17"/>
      <c r="O19" s="17"/>
      <c r="P19" s="17"/>
      <c r="Q19" s="17"/>
      <c r="R19" s="17"/>
    </row>
    <row r="20" spans="2:22" x14ac:dyDescent="0.25">
      <c r="B20" s="83" t="s">
        <v>471</v>
      </c>
      <c r="C20" s="60">
        <v>4.5964024999999999</v>
      </c>
      <c r="D20" s="85">
        <v>3.9775214000000001</v>
      </c>
      <c r="E20" s="60">
        <v>14.534847900000001</v>
      </c>
      <c r="F20" s="60">
        <v>8.7166785999999998</v>
      </c>
      <c r="G20" s="60">
        <v>255.96397986595699</v>
      </c>
      <c r="H20" s="60">
        <f>SUM(C20:G20)</f>
        <v>287.78943026595698</v>
      </c>
      <c r="I20" s="17"/>
      <c r="J20" s="17"/>
      <c r="K20" s="17"/>
      <c r="L20" s="17"/>
      <c r="M20" s="17"/>
      <c r="N20" s="17"/>
      <c r="O20" s="17"/>
      <c r="P20" s="17"/>
      <c r="Q20" s="17"/>
      <c r="R20" s="17"/>
      <c r="S20" s="27"/>
      <c r="T20" s="27"/>
      <c r="U20" s="27"/>
      <c r="V20" s="27"/>
    </row>
    <row r="21" spans="2:22" x14ac:dyDescent="0.25">
      <c r="B21" s="198" t="s">
        <v>464</v>
      </c>
      <c r="C21" s="85" t="s">
        <v>174</v>
      </c>
      <c r="D21" s="85" t="s">
        <v>174</v>
      </c>
      <c r="E21" s="85">
        <v>-50.655344282532504</v>
      </c>
      <c r="F21" s="85">
        <v>-6.4283864472439092</v>
      </c>
      <c r="G21" s="85">
        <v>-262.08077943017997</v>
      </c>
      <c r="H21" s="60">
        <f>SUM(C21:G21)</f>
        <v>-319.16451015995636</v>
      </c>
      <c r="I21" s="17"/>
      <c r="J21" s="17"/>
      <c r="K21" s="17"/>
      <c r="L21" s="17"/>
      <c r="M21" s="17"/>
      <c r="N21" s="17"/>
      <c r="O21" s="17"/>
      <c r="P21" s="17"/>
      <c r="Q21" s="17"/>
      <c r="R21" s="17"/>
      <c r="S21" s="27"/>
      <c r="T21" s="27"/>
      <c r="U21" s="27"/>
      <c r="V21" s="27"/>
    </row>
    <row r="22" spans="2:22" s="39" customFormat="1" x14ac:dyDescent="0.25">
      <c r="B22" s="196" t="str">
        <f>+B13</f>
        <v>As at 31 March 2024</v>
      </c>
      <c r="C22" s="654">
        <f t="shared" ref="C22:F22" si="1">SUM(C19:C21)</f>
        <v>22.515195326448801</v>
      </c>
      <c r="D22" s="199">
        <f t="shared" si="1"/>
        <v>23.024747447352201</v>
      </c>
      <c r="E22" s="199">
        <f t="shared" si="1"/>
        <v>44.272243823118011</v>
      </c>
      <c r="F22" s="199">
        <f t="shared" si="1"/>
        <v>43.450520999280094</v>
      </c>
      <c r="G22" s="199">
        <f>SUM(G19:G21)</f>
        <v>517.88521632331503</v>
      </c>
      <c r="H22" s="199">
        <f>SUM(H19:H21)</f>
        <v>651.14792391951414</v>
      </c>
      <c r="I22" s="3"/>
      <c r="J22" s="3"/>
      <c r="K22" s="3"/>
      <c r="L22" s="3"/>
      <c r="M22" s="3"/>
      <c r="N22" s="3"/>
      <c r="O22" s="15"/>
      <c r="P22" s="15"/>
      <c r="Q22" s="15"/>
      <c r="R22" s="15"/>
      <c r="S22" s="15"/>
      <c r="T22" s="15"/>
      <c r="U22" s="15"/>
      <c r="V22" s="15"/>
    </row>
    <row r="23" spans="2:22" x14ac:dyDescent="0.25">
      <c r="B23" s="83" t="s">
        <v>471</v>
      </c>
      <c r="C23" s="60">
        <v>4.5964024999999991</v>
      </c>
      <c r="D23" s="85">
        <v>9.2972211000000016</v>
      </c>
      <c r="E23" s="60">
        <v>24.175961800000007</v>
      </c>
      <c r="F23" s="60">
        <v>7.0345817999999998</v>
      </c>
      <c r="G23" s="60">
        <f>135.179618+2.11762+0.91635+0.03451</f>
        <v>138.248098</v>
      </c>
      <c r="H23" s="60">
        <f>SUM(C23:G23)</f>
        <v>183.35226520000001</v>
      </c>
      <c r="I23" s="17"/>
      <c r="J23" s="17">
        <f>'17-25'!D139</f>
        <v>183.31775399694524</v>
      </c>
      <c r="K23" s="17">
        <f>H23-J23</f>
        <v>3.4511203054762518E-2</v>
      </c>
      <c r="L23" s="17"/>
      <c r="M23" s="17"/>
      <c r="N23" s="17"/>
      <c r="O23" s="17"/>
      <c r="P23" s="17"/>
      <c r="Q23" s="17"/>
      <c r="R23" s="17"/>
      <c r="S23" s="27"/>
      <c r="T23" s="27"/>
      <c r="U23" s="27"/>
      <c r="V23" s="27"/>
    </row>
    <row r="24" spans="2:22" x14ac:dyDescent="0.25">
      <c r="B24" s="198" t="s">
        <v>464</v>
      </c>
      <c r="C24" s="85"/>
      <c r="D24" s="85"/>
      <c r="E24" s="85"/>
      <c r="F24" s="85"/>
      <c r="G24" s="85">
        <f>-162.17</f>
        <v>-162.16999999999999</v>
      </c>
      <c r="H24" s="60">
        <f>SUM(C24:G24)</f>
        <v>-162.16999999999999</v>
      </c>
      <c r="I24" s="17"/>
      <c r="J24" s="17"/>
      <c r="K24" s="17"/>
      <c r="L24" s="17"/>
      <c r="M24" s="17"/>
      <c r="N24" s="17"/>
      <c r="O24" s="17"/>
      <c r="P24" s="17"/>
      <c r="Q24" s="17"/>
      <c r="R24" s="17"/>
    </row>
    <row r="25" spans="2:22" s="39" customFormat="1" ht="12" thickBot="1" x14ac:dyDescent="0.3">
      <c r="B25" s="196" t="str">
        <f>+B16</f>
        <v>As at 31 March 2025</v>
      </c>
      <c r="C25" s="174">
        <f>SUM(C22:C24)</f>
        <v>27.111597826448801</v>
      </c>
      <c r="D25" s="174">
        <f>SUM(D22:D24)</f>
        <v>32.321968547352199</v>
      </c>
      <c r="E25" s="174">
        <f>SUM(E22:E24)</f>
        <v>68.448205623118014</v>
      </c>
      <c r="F25" s="174">
        <f>SUM(F22:F24)+0.1</f>
        <v>50.585102799280094</v>
      </c>
      <c r="G25" s="174">
        <f>SUM(G22:G24)</f>
        <v>493.9633143233151</v>
      </c>
      <c r="H25" s="174">
        <f>SUM(H22:H24)</f>
        <v>672.33018911951422</v>
      </c>
      <c r="I25" s="3"/>
      <c r="J25" s="3"/>
      <c r="K25" s="3"/>
      <c r="L25" s="3"/>
      <c r="M25" s="3"/>
      <c r="N25" s="3"/>
      <c r="O25" s="15"/>
      <c r="P25" s="15"/>
      <c r="Q25" s="15"/>
      <c r="R25" s="15"/>
      <c r="S25" s="15"/>
      <c r="T25" s="15"/>
      <c r="U25" s="15"/>
      <c r="V25" s="15"/>
    </row>
    <row r="26" spans="2:22" ht="12" thickTop="1" x14ac:dyDescent="0.25">
      <c r="B26" s="83"/>
      <c r="C26" s="79"/>
      <c r="D26" s="79"/>
      <c r="E26" s="79"/>
      <c r="F26" s="79"/>
      <c r="G26" s="79"/>
      <c r="H26" s="79"/>
      <c r="J26" s="17"/>
    </row>
    <row r="27" spans="2:22" x14ac:dyDescent="0.25">
      <c r="B27" s="53" t="s">
        <v>472</v>
      </c>
      <c r="C27" s="60"/>
      <c r="D27" s="60"/>
      <c r="E27" s="60"/>
      <c r="F27" s="60"/>
      <c r="G27" s="60"/>
      <c r="H27" s="60"/>
      <c r="I27" s="17"/>
    </row>
    <row r="28" spans="2:22" x14ac:dyDescent="0.25">
      <c r="B28" s="196" t="str">
        <f>+B16</f>
        <v>As at 31 March 2025</v>
      </c>
      <c r="C28" s="756">
        <f>C16-C25</f>
        <v>202.76638217355122</v>
      </c>
      <c r="D28" s="79">
        <f>D16-D25</f>
        <v>50.756851252647792</v>
      </c>
      <c r="E28" s="894">
        <f>E16-E25</f>
        <v>106.91088799434945</v>
      </c>
      <c r="F28" s="774">
        <f>F16-F25</f>
        <v>11.031410653475987</v>
      </c>
      <c r="G28" s="79">
        <f>G16-G25</f>
        <v>10.201561339954878</v>
      </c>
      <c r="H28" s="79">
        <f>SUM(C28:G28)</f>
        <v>381.66709341397927</v>
      </c>
      <c r="I28" s="17"/>
      <c r="J28" s="1020">
        <f>SUMIF('Standalone TB'!AB:AB,"PPE",'Standalone TB'!X:X)/10^5</f>
        <v>381.90061717783152</v>
      </c>
      <c r="K28" s="17">
        <f>H28-J28</f>
        <v>-0.23352376385224716</v>
      </c>
      <c r="L28" s="594"/>
      <c r="M28" s="27"/>
      <c r="N28" s="27"/>
      <c r="O28" s="27"/>
      <c r="P28" s="27"/>
      <c r="Q28" s="27"/>
      <c r="R28" s="27"/>
      <c r="S28" s="27"/>
      <c r="T28" s="27"/>
      <c r="U28" s="27"/>
      <c r="V28" s="27"/>
    </row>
    <row r="29" spans="2:22" ht="12.75" customHeight="1" x14ac:dyDescent="0.25">
      <c r="B29" s="196" t="str">
        <f>+B13&amp;"(#)"</f>
        <v>As at 31 March 2024(#)</v>
      </c>
      <c r="C29" s="756">
        <f t="shared" ref="C29:H29" si="2">C13-C22</f>
        <v>207.3627846735512</v>
      </c>
      <c r="D29" s="756">
        <f t="shared" si="2"/>
        <v>60.054072352647793</v>
      </c>
      <c r="E29" s="79">
        <f t="shared" si="2"/>
        <v>122.24179979434948</v>
      </c>
      <c r="F29" s="774">
        <f t="shared" si="2"/>
        <v>17.975992453475989</v>
      </c>
      <c r="G29" s="79">
        <f>G13-G22</f>
        <v>182.18340933995501</v>
      </c>
      <c r="H29" s="79">
        <f t="shared" si="2"/>
        <v>589.31207608048589</v>
      </c>
      <c r="I29" s="27"/>
      <c r="J29" s="27"/>
      <c r="K29" s="27"/>
      <c r="L29" s="27"/>
      <c r="M29" s="27"/>
      <c r="N29" s="27"/>
      <c r="O29" s="27"/>
      <c r="P29" s="27"/>
      <c r="Q29" s="27"/>
      <c r="R29" s="27"/>
    </row>
    <row r="30" spans="2:22" x14ac:dyDescent="0.25">
      <c r="C30" s="27"/>
      <c r="D30" s="27"/>
      <c r="E30" s="27"/>
      <c r="F30" s="27"/>
      <c r="G30" s="27"/>
      <c r="H30" s="27"/>
      <c r="L30" s="27"/>
      <c r="M30" s="27"/>
    </row>
    <row r="31" spans="2:22" x14ac:dyDescent="0.25">
      <c r="B31" s="19" t="s">
        <v>473</v>
      </c>
      <c r="C31" s="27"/>
      <c r="D31" s="27"/>
      <c r="E31" s="27"/>
      <c r="F31" s="27"/>
      <c r="G31" s="27"/>
      <c r="H31" s="27"/>
      <c r="L31" s="27"/>
      <c r="M31" s="27"/>
    </row>
    <row r="32" spans="2:22" x14ac:dyDescent="0.25">
      <c r="B32" s="39"/>
      <c r="C32" s="15"/>
      <c r="D32" s="15"/>
      <c r="E32" s="15"/>
      <c r="F32" s="15"/>
      <c r="G32" s="15"/>
      <c r="H32" s="15"/>
      <c r="J32" s="27"/>
      <c r="K32" s="594"/>
      <c r="L32" s="27"/>
      <c r="M32" s="27"/>
      <c r="N32" s="27"/>
      <c r="O32" s="27"/>
    </row>
    <row r="33" spans="1:10" x14ac:dyDescent="0.25">
      <c r="A33" s="19">
        <f>A5+1</f>
        <v>4</v>
      </c>
      <c r="B33" s="53" t="str">
        <f>"Note "&amp;A33&amp;":Intangible assets"</f>
        <v>Note 4:Intangible assets</v>
      </c>
      <c r="C33" s="126"/>
      <c r="D33" s="126"/>
      <c r="E33" s="126"/>
      <c r="F33" s="126"/>
      <c r="G33" s="126"/>
      <c r="H33" s="126"/>
    </row>
    <row r="34" spans="1:10" ht="33.75" customHeight="1" x14ac:dyDescent="0.25">
      <c r="B34" s="53"/>
      <c r="D34" s="754" t="s">
        <v>474</v>
      </c>
      <c r="E34" s="423" t="s">
        <v>475</v>
      </c>
      <c r="F34" s="423" t="s">
        <v>476</v>
      </c>
      <c r="G34" s="71" t="s">
        <v>477</v>
      </c>
      <c r="H34" s="71" t="s">
        <v>100</v>
      </c>
    </row>
    <row r="35" spans="1:10" x14ac:dyDescent="0.25">
      <c r="B35" s="34" t="s">
        <v>461</v>
      </c>
      <c r="D35" s="755"/>
      <c r="G35" s="195"/>
    </row>
    <row r="36" spans="1:10" x14ac:dyDescent="0.25">
      <c r="B36" s="196" t="str">
        <f>B10</f>
        <v>As at 01 April 2023</v>
      </c>
      <c r="D36" s="838">
        <v>0</v>
      </c>
      <c r="E36" s="838">
        <v>0</v>
      </c>
      <c r="F36" s="79">
        <v>11.23</v>
      </c>
      <c r="G36" s="79">
        <v>36484.21</v>
      </c>
      <c r="H36" s="79">
        <f>D36+E36+F36+G36</f>
        <v>36495.440000000002</v>
      </c>
    </row>
    <row r="37" spans="1:10" x14ac:dyDescent="0.25">
      <c r="B37" s="83" t="s">
        <v>463</v>
      </c>
      <c r="D37" s="85">
        <v>589</v>
      </c>
      <c r="E37" s="85">
        <v>3429</v>
      </c>
      <c r="F37" s="85">
        <v>0</v>
      </c>
      <c r="G37" s="85">
        <v>0</v>
      </c>
      <c r="H37" s="60">
        <f>D37+E37+F37+G37</f>
        <v>4018</v>
      </c>
    </row>
    <row r="38" spans="1:10" x14ac:dyDescent="0.25">
      <c r="B38" s="83" t="s">
        <v>464</v>
      </c>
      <c r="D38" s="85"/>
      <c r="E38" s="85">
        <v>0</v>
      </c>
      <c r="F38" s="85">
        <v>0</v>
      </c>
      <c r="G38" s="85">
        <v>0</v>
      </c>
      <c r="H38" s="60">
        <f>E38+F38+G38</f>
        <v>0</v>
      </c>
    </row>
    <row r="39" spans="1:10" x14ac:dyDescent="0.25">
      <c r="B39" s="196" t="str">
        <f>B13</f>
        <v>As at 31 March 2024</v>
      </c>
      <c r="D39" s="79">
        <f>ROUND(SUM(D36:D38),2)</f>
        <v>589</v>
      </c>
      <c r="E39" s="79">
        <f>ROUND(SUM(E36:E38),2)</f>
        <v>3429</v>
      </c>
      <c r="F39" s="79">
        <f>ROUND(SUM(F36:F38),2)</f>
        <v>11.23</v>
      </c>
      <c r="G39" s="79">
        <f>ROUND(SUM(G36:G38),2)</f>
        <v>36484.21</v>
      </c>
      <c r="H39" s="79">
        <f>ROUND(SUM(H36:H38),2)</f>
        <v>40513.440000000002</v>
      </c>
    </row>
    <row r="40" spans="1:10" x14ac:dyDescent="0.25">
      <c r="B40" s="198" t="s">
        <v>463</v>
      </c>
      <c r="D40" s="656">
        <f>ROUND('Standalone TB'!X186/10^5,0)</f>
        <v>0</v>
      </c>
      <c r="E40" s="85">
        <f>2651.5065679-E41</f>
        <v>2062.5065678999999</v>
      </c>
      <c r="F40" s="85">
        <v>0</v>
      </c>
      <c r="G40" s="85">
        <v>0</v>
      </c>
      <c r="H40" s="60">
        <f>E40+F40+G40+D40</f>
        <v>2062.5065678999999</v>
      </c>
      <c r="I40" s="17"/>
      <c r="J40" s="27"/>
    </row>
    <row r="41" spans="1:10" x14ac:dyDescent="0.25">
      <c r="B41" s="198" t="s">
        <v>478</v>
      </c>
      <c r="D41" s="19">
        <f>-589</f>
        <v>-589</v>
      </c>
      <c r="E41" s="594">
        <f>589</f>
        <v>589</v>
      </c>
      <c r="F41" s="85"/>
      <c r="G41" s="85"/>
      <c r="H41" s="60">
        <f>E41+F41+G41+D41</f>
        <v>0</v>
      </c>
      <c r="I41" s="17"/>
      <c r="J41" s="27"/>
    </row>
    <row r="42" spans="1:10" x14ac:dyDescent="0.25">
      <c r="B42" s="198" t="s">
        <v>464</v>
      </c>
      <c r="D42" s="656">
        <f>0</f>
        <v>0</v>
      </c>
      <c r="E42" s="656">
        <f>0</f>
        <v>0</v>
      </c>
      <c r="F42" s="85">
        <v>0</v>
      </c>
      <c r="G42" s="85">
        <v>0</v>
      </c>
      <c r="H42" s="60">
        <f>E41+F42+G42+D41</f>
        <v>0</v>
      </c>
    </row>
    <row r="43" spans="1:10" ht="12" thickBot="1" x14ac:dyDescent="0.3">
      <c r="B43" s="196" t="str">
        <f>B16</f>
        <v>As at 31 March 2025</v>
      </c>
      <c r="D43" s="174">
        <f>SUM(D39:D41)</f>
        <v>0</v>
      </c>
      <c r="E43" s="174">
        <f>SUM(E39:E41)</f>
        <v>6080.5065678999999</v>
      </c>
      <c r="F43" s="174">
        <f>SUM(F39:F42)</f>
        <v>11.23</v>
      </c>
      <c r="G43" s="174">
        <f>SUM(G39:G42)</f>
        <v>36484.21</v>
      </c>
      <c r="H43" s="174">
        <f>SUM(H39:H42)</f>
        <v>42575.946567899999</v>
      </c>
    </row>
    <row r="44" spans="1:10" ht="12" thickTop="1" x14ac:dyDescent="0.25">
      <c r="B44" s="196"/>
      <c r="F44" s="79"/>
      <c r="G44" s="79"/>
      <c r="H44" s="79"/>
    </row>
    <row r="45" spans="1:10" x14ac:dyDescent="0.25">
      <c r="B45" s="61" t="s">
        <v>479</v>
      </c>
      <c r="F45" s="60"/>
      <c r="G45" s="60"/>
      <c r="H45" s="60"/>
    </row>
    <row r="46" spans="1:10" x14ac:dyDescent="0.25">
      <c r="B46" s="196" t="str">
        <f>B36</f>
        <v>As at 01 April 2023</v>
      </c>
      <c r="D46" s="80">
        <v>0</v>
      </c>
      <c r="E46" s="80">
        <v>0</v>
      </c>
      <c r="F46" s="79">
        <v>11.23</v>
      </c>
      <c r="G46" s="79">
        <v>18242.105370000001</v>
      </c>
      <c r="H46" s="79">
        <f>(F46+G46+E46)</f>
        <v>18253.335370000001</v>
      </c>
    </row>
    <row r="47" spans="1:10" x14ac:dyDescent="0.25">
      <c r="B47" s="83" t="s">
        <v>480</v>
      </c>
      <c r="D47" s="85">
        <v>0</v>
      </c>
      <c r="E47" s="85">
        <v>214.29472578125001</v>
      </c>
      <c r="F47" s="60">
        <v>0</v>
      </c>
      <c r="G47" s="85">
        <v>0</v>
      </c>
      <c r="H47" s="60">
        <f>(F47+G47+E47)</f>
        <v>214.29472578125001</v>
      </c>
    </row>
    <row r="48" spans="1:10" x14ac:dyDescent="0.25">
      <c r="B48" s="198" t="s">
        <v>464</v>
      </c>
      <c r="D48" s="85">
        <v>0</v>
      </c>
      <c r="E48" s="85">
        <v>0</v>
      </c>
      <c r="F48" s="85">
        <v>0</v>
      </c>
      <c r="G48" s="85">
        <v>0</v>
      </c>
      <c r="H48" s="60">
        <f t="shared" ref="H48:H49" si="3">(F48+G48+E48)</f>
        <v>0</v>
      </c>
    </row>
    <row r="49" spans="2:12" x14ac:dyDescent="0.25">
      <c r="B49" s="83" t="s">
        <v>481</v>
      </c>
      <c r="D49" s="80"/>
      <c r="E49" s="80"/>
      <c r="F49" s="80"/>
      <c r="G49" s="85">
        <v>18242</v>
      </c>
      <c r="H49" s="60">
        <f t="shared" si="3"/>
        <v>18242</v>
      </c>
    </row>
    <row r="50" spans="2:12" x14ac:dyDescent="0.25">
      <c r="B50" s="196" t="str">
        <f>+B39</f>
        <v>As at 31 March 2024</v>
      </c>
      <c r="D50" s="79">
        <f>ROUND(SUM(D46:D48),2)</f>
        <v>0</v>
      </c>
      <c r="E50" s="79">
        <f>ROUND(SUM(E46:E48),2)</f>
        <v>214.29</v>
      </c>
      <c r="F50" s="79">
        <f>ROUND(SUM(F46:F49),2)</f>
        <v>11.23</v>
      </c>
      <c r="G50" s="79">
        <f>ROUND(SUM(G46:G49),2)</f>
        <v>36484.11</v>
      </c>
      <c r="H50" s="79">
        <f>ROUND(SUM(H46:H49),2)</f>
        <v>36709.629999999997</v>
      </c>
      <c r="J50" s="17"/>
    </row>
    <row r="51" spans="2:12" x14ac:dyDescent="0.25">
      <c r="B51" s="83" t="s">
        <v>482</v>
      </c>
      <c r="D51" s="85">
        <v>0</v>
      </c>
      <c r="E51" s="85">
        <f>'17-25'!D140</f>
        <v>1952.3550707999998</v>
      </c>
      <c r="F51" s="85">
        <v>0</v>
      </c>
      <c r="G51" s="656">
        <f>0</f>
        <v>0</v>
      </c>
      <c r="H51" s="60">
        <f>(F51+G51+E51)</f>
        <v>1952.3550707999998</v>
      </c>
      <c r="J51" s="594">
        <f>'17-25'!D140</f>
        <v>1952.3550707999998</v>
      </c>
      <c r="K51" s="17">
        <f>E51-J51</f>
        <v>0</v>
      </c>
    </row>
    <row r="52" spans="2:12" x14ac:dyDescent="0.25">
      <c r="B52" s="198" t="s">
        <v>464</v>
      </c>
      <c r="D52" s="85">
        <v>0</v>
      </c>
      <c r="E52" s="85">
        <v>0</v>
      </c>
      <c r="F52" s="85">
        <v>0</v>
      </c>
      <c r="G52" s="85">
        <v>0</v>
      </c>
      <c r="H52" s="60">
        <f t="shared" ref="H52" si="4">(F52+G52+E52)</f>
        <v>0</v>
      </c>
    </row>
    <row r="53" spans="2:12" ht="12" thickBot="1" x14ac:dyDescent="0.3">
      <c r="B53" s="196" t="str">
        <f>+B43</f>
        <v>As at 31 March 2025</v>
      </c>
      <c r="D53" s="174">
        <f>SUM(D50:D52)</f>
        <v>0</v>
      </c>
      <c r="E53" s="174">
        <f>SUM(E50:E52)</f>
        <v>2166.6450707999998</v>
      </c>
      <c r="F53" s="174">
        <f>SUM(F50:F52)</f>
        <v>11.23</v>
      </c>
      <c r="G53" s="174">
        <f>SUM(G50:G52)</f>
        <v>36484.11</v>
      </c>
      <c r="H53" s="174">
        <f>SUM(H50:H52)</f>
        <v>38661.985070799994</v>
      </c>
    </row>
    <row r="54" spans="2:12" ht="12" thickTop="1" x14ac:dyDescent="0.25">
      <c r="B54" s="83"/>
      <c r="F54" s="79"/>
      <c r="G54" s="79"/>
      <c r="H54" s="79"/>
    </row>
    <row r="55" spans="2:12" x14ac:dyDescent="0.25">
      <c r="B55" s="53" t="s">
        <v>472</v>
      </c>
      <c r="F55" s="60"/>
      <c r="G55" s="60"/>
      <c r="H55" s="60"/>
    </row>
    <row r="56" spans="2:12" x14ac:dyDescent="0.25">
      <c r="B56" s="196" t="str">
        <f>+B43</f>
        <v>As at 31 March 2025</v>
      </c>
      <c r="D56" s="79">
        <f>D43-D53</f>
        <v>0</v>
      </c>
      <c r="E56" s="79">
        <f>E43-E53</f>
        <v>3913.8614971000002</v>
      </c>
      <c r="F56" s="79">
        <f>F43-F53</f>
        <v>0</v>
      </c>
      <c r="G56" s="79">
        <f>0</f>
        <v>0</v>
      </c>
      <c r="H56" s="79">
        <f>H43-H53</f>
        <v>3913.9614971000046</v>
      </c>
      <c r="I56" s="17"/>
      <c r="J56" s="1020">
        <f>SUMIF('Standalone TB'!Z:Z,"Intangible assets",'Standalone TB'!X:X)/10^5</f>
        <v>3913.5723833000006</v>
      </c>
      <c r="K56" s="17">
        <f>E56-J56</f>
        <v>0.28911379999954079</v>
      </c>
      <c r="L56" s="27">
        <f>H56+H28</f>
        <v>4295.6285905139839</v>
      </c>
    </row>
    <row r="57" spans="2:12" x14ac:dyDescent="0.25">
      <c r="B57" s="196" t="str">
        <f>+B39</f>
        <v>As at 31 March 2024</v>
      </c>
      <c r="D57" s="79">
        <f>D39-D50</f>
        <v>589</v>
      </c>
      <c r="E57" s="79">
        <f>E39-E50</f>
        <v>3214.71</v>
      </c>
      <c r="F57" s="79">
        <f>F39-F50</f>
        <v>0</v>
      </c>
      <c r="G57" s="79">
        <f>G39-G50</f>
        <v>9.9999999998544808E-2</v>
      </c>
      <c r="H57" s="79">
        <f>H39-H50</f>
        <v>3803.8100000000049</v>
      </c>
      <c r="J57" s="27"/>
    </row>
    <row r="58" spans="2:12" x14ac:dyDescent="0.25">
      <c r="F58" s="27"/>
      <c r="G58" s="27"/>
    </row>
    <row r="59" spans="2:12" x14ac:dyDescent="0.25">
      <c r="C59" s="27"/>
      <c r="D59" s="27"/>
      <c r="E59" s="27"/>
      <c r="F59" s="27"/>
      <c r="G59" s="27"/>
      <c r="H59" s="27"/>
    </row>
    <row r="60" spans="2:12" x14ac:dyDescent="0.25">
      <c r="C60" s="27"/>
      <c r="D60" s="27"/>
      <c r="E60" s="27"/>
      <c r="F60" s="27"/>
      <c r="G60" s="27"/>
      <c r="H60" s="27"/>
    </row>
    <row r="61" spans="2:12" ht="23" x14ac:dyDescent="0.25">
      <c r="B61" s="754" t="s">
        <v>483</v>
      </c>
      <c r="C61" s="27"/>
      <c r="D61" s="27"/>
      <c r="E61" s="27"/>
      <c r="F61" s="27"/>
      <c r="G61" s="27"/>
      <c r="H61" s="27"/>
    </row>
    <row r="62" spans="2:12" ht="2.15" customHeight="1" x14ac:dyDescent="0.25">
      <c r="B62" s="754"/>
      <c r="C62" s="27"/>
      <c r="D62" s="27"/>
      <c r="E62" s="27"/>
      <c r="F62" s="27"/>
      <c r="G62" s="27"/>
      <c r="H62" s="27"/>
    </row>
    <row r="63" spans="2:12" x14ac:dyDescent="0.25">
      <c r="B63" s="39" t="s">
        <v>469</v>
      </c>
      <c r="C63" s="27"/>
      <c r="D63" s="27"/>
      <c r="E63" s="27"/>
      <c r="F63" s="27"/>
      <c r="G63" s="27"/>
      <c r="H63" s="27"/>
    </row>
    <row r="64" spans="2:12" x14ac:dyDescent="0.25">
      <c r="B64" s="196" t="s">
        <v>5</v>
      </c>
      <c r="D64" s="134" t="s">
        <v>484</v>
      </c>
      <c r="E64" s="134" t="s">
        <v>485</v>
      </c>
      <c r="F64" s="134" t="s">
        <v>486</v>
      </c>
      <c r="G64" s="134" t="s">
        <v>487</v>
      </c>
      <c r="H64" s="134" t="s">
        <v>100</v>
      </c>
    </row>
    <row r="65" spans="2:8" x14ac:dyDescent="0.25">
      <c r="B65" s="198" t="s">
        <v>488</v>
      </c>
      <c r="D65" s="594">
        <f>D40</f>
        <v>0</v>
      </c>
      <c r="E65" s="757">
        <f>0</f>
        <v>0</v>
      </c>
      <c r="F65" s="757">
        <v>0</v>
      </c>
      <c r="G65" s="757">
        <v>0</v>
      </c>
      <c r="H65" s="60">
        <f>E65+F65+G65+D65</f>
        <v>0</v>
      </c>
    </row>
    <row r="66" spans="2:8" x14ac:dyDescent="0.25">
      <c r="B66" s="198" t="s">
        <v>489</v>
      </c>
      <c r="D66" s="656">
        <f>0</f>
        <v>0</v>
      </c>
      <c r="E66" s="656">
        <v>0</v>
      </c>
      <c r="F66" s="757">
        <v>0</v>
      </c>
      <c r="G66" s="757">
        <v>0</v>
      </c>
      <c r="H66" s="60">
        <f t="shared" ref="H66" si="5">E66+F66+G66</f>
        <v>0</v>
      </c>
    </row>
    <row r="67" spans="2:8" ht="12" thickBot="1" x14ac:dyDescent="0.3">
      <c r="B67" s="39" t="s">
        <v>100</v>
      </c>
      <c r="C67" s="27"/>
      <c r="D67" s="174">
        <f>SUM(D65:D66)</f>
        <v>0</v>
      </c>
      <c r="E67" s="174">
        <f>SUM(E65:E66)</f>
        <v>0</v>
      </c>
      <c r="F67" s="174">
        <f>SUM(F65:F66)</f>
        <v>0</v>
      </c>
      <c r="G67" s="174">
        <f>SUM(G65:G66)</f>
        <v>0</v>
      </c>
      <c r="H67" s="174">
        <f>SUM(H65:H66)</f>
        <v>0</v>
      </c>
    </row>
    <row r="68" spans="2:8" ht="5.15" customHeight="1" thickTop="1" x14ac:dyDescent="0.25">
      <c r="B68" s="39"/>
      <c r="C68" s="27"/>
      <c r="D68" s="79"/>
      <c r="E68" s="79"/>
      <c r="F68" s="79"/>
      <c r="G68" s="79"/>
      <c r="H68" s="79"/>
    </row>
    <row r="69" spans="2:8" x14ac:dyDescent="0.25">
      <c r="B69" s="39" t="s">
        <v>466</v>
      </c>
      <c r="C69" s="27"/>
      <c r="D69" s="27"/>
      <c r="E69" s="27"/>
      <c r="F69" s="27"/>
      <c r="G69" s="27"/>
      <c r="H69" s="27"/>
    </row>
    <row r="70" spans="2:8" x14ac:dyDescent="0.25">
      <c r="B70" s="196" t="s">
        <v>5</v>
      </c>
      <c r="D70" s="134" t="s">
        <v>484</v>
      </c>
      <c r="E70" s="134" t="s">
        <v>485</v>
      </c>
      <c r="F70" s="134" t="s">
        <v>486</v>
      </c>
      <c r="G70" s="134" t="s">
        <v>487</v>
      </c>
      <c r="H70" s="134" t="s">
        <v>100</v>
      </c>
    </row>
    <row r="71" spans="2:8" x14ac:dyDescent="0.25">
      <c r="B71" s="198" t="s">
        <v>488</v>
      </c>
      <c r="D71" s="594">
        <v>589</v>
      </c>
      <c r="E71" s="757">
        <f>0</f>
        <v>0</v>
      </c>
      <c r="F71" s="757">
        <v>0</v>
      </c>
      <c r="G71" s="757">
        <v>0</v>
      </c>
      <c r="H71" s="60">
        <f>E71+F71+G71+D71</f>
        <v>589</v>
      </c>
    </row>
    <row r="72" spans="2:8" x14ac:dyDescent="0.25">
      <c r="B72" s="198" t="s">
        <v>489</v>
      </c>
      <c r="D72" s="656">
        <f>0</f>
        <v>0</v>
      </c>
      <c r="E72" s="656">
        <v>0</v>
      </c>
      <c r="F72" s="757">
        <v>0</v>
      </c>
      <c r="G72" s="757">
        <v>0</v>
      </c>
      <c r="H72" s="60">
        <f t="shared" ref="H72" si="6">E72+F72+G72</f>
        <v>0</v>
      </c>
    </row>
    <row r="73" spans="2:8" ht="12" thickBot="1" x14ac:dyDescent="0.3">
      <c r="B73" s="39" t="s">
        <v>100</v>
      </c>
      <c r="C73" s="27"/>
      <c r="D73" s="174">
        <f>SUM(D71:D72)</f>
        <v>589</v>
      </c>
      <c r="E73" s="174">
        <f t="shared" ref="E73:H73" si="7">SUM(E71:E72)</f>
        <v>0</v>
      </c>
      <c r="F73" s="174">
        <f t="shared" si="7"/>
        <v>0</v>
      </c>
      <c r="G73" s="174">
        <f t="shared" si="7"/>
        <v>0</v>
      </c>
      <c r="H73" s="174">
        <f t="shared" si="7"/>
        <v>589</v>
      </c>
    </row>
    <row r="74" spans="2:8" ht="5.15" customHeight="1" thickTop="1" x14ac:dyDescent="0.25">
      <c r="B74" s="39"/>
      <c r="C74" s="27"/>
      <c r="D74" s="79"/>
      <c r="E74" s="79"/>
      <c r="F74" s="79"/>
      <c r="G74" s="79"/>
      <c r="H74" s="79"/>
    </row>
    <row r="75" spans="2:8" ht="27" customHeight="1" x14ac:dyDescent="0.25">
      <c r="B75" s="1119" t="s">
        <v>490</v>
      </c>
      <c r="C75" s="1119"/>
      <c r="D75" s="1119"/>
      <c r="E75" s="1119"/>
      <c r="F75" s="1119"/>
      <c r="G75" s="1119"/>
      <c r="H75" s="1119"/>
    </row>
    <row r="76" spans="2:8" x14ac:dyDescent="0.25">
      <c r="B76" s="140"/>
      <c r="C76" s="140"/>
      <c r="D76" s="140"/>
      <c r="E76" s="140"/>
      <c r="F76" s="140"/>
      <c r="G76" s="140"/>
      <c r="H76" s="140"/>
    </row>
    <row r="77" spans="2:8" x14ac:dyDescent="0.25">
      <c r="C77" s="27"/>
      <c r="D77" s="27"/>
      <c r="E77" s="27"/>
      <c r="F77" s="27"/>
      <c r="G77" s="27"/>
      <c r="H77" s="27"/>
    </row>
    <row r="78" spans="2:8" x14ac:dyDescent="0.25">
      <c r="B78" s="39" t="s">
        <v>491</v>
      </c>
      <c r="C78" s="27"/>
      <c r="D78" s="27"/>
      <c r="E78" s="27"/>
      <c r="F78" s="27"/>
      <c r="G78" s="97" t="s">
        <v>492</v>
      </c>
      <c r="H78" s="97" t="s">
        <v>493</v>
      </c>
    </row>
    <row r="79" spans="2:8" x14ac:dyDescent="0.25">
      <c r="C79" s="27"/>
      <c r="D79" s="27"/>
      <c r="E79" s="27"/>
      <c r="F79" s="27"/>
      <c r="G79" s="27"/>
      <c r="H79" s="27"/>
    </row>
    <row r="80" spans="2:8" x14ac:dyDescent="0.25">
      <c r="B80" s="19" t="s">
        <v>494</v>
      </c>
      <c r="C80" s="27"/>
      <c r="D80" s="27"/>
      <c r="E80" s="27"/>
      <c r="F80" s="27"/>
      <c r="G80" s="27">
        <f>0</f>
        <v>0</v>
      </c>
      <c r="H80" s="594">
        <f>G57</f>
        <v>9.9999999998544808E-2</v>
      </c>
    </row>
    <row r="81" spans="2:8" x14ac:dyDescent="0.25">
      <c r="B81" s="19" t="s">
        <v>12</v>
      </c>
      <c r="C81" s="27"/>
      <c r="D81" s="27"/>
      <c r="E81" s="27"/>
      <c r="F81" s="27"/>
      <c r="G81" s="594">
        <f>E56</f>
        <v>3913.8614971000002</v>
      </c>
      <c r="H81" s="17">
        <f>E57</f>
        <v>3214.71</v>
      </c>
    </row>
    <row r="82" spans="2:8" x14ac:dyDescent="0.25">
      <c r="B82" s="19" t="s">
        <v>14</v>
      </c>
      <c r="C82" s="27"/>
      <c r="D82" s="27"/>
      <c r="E82" s="27"/>
      <c r="F82" s="27"/>
      <c r="G82" s="594">
        <f>D56</f>
        <v>0</v>
      </c>
      <c r="H82" s="17">
        <f>D57</f>
        <v>589</v>
      </c>
    </row>
    <row r="83" spans="2:8" x14ac:dyDescent="0.25">
      <c r="C83" s="27"/>
      <c r="D83" s="27"/>
      <c r="E83" s="27"/>
      <c r="F83" s="27"/>
      <c r="G83" s="594"/>
      <c r="H83" s="27"/>
    </row>
    <row r="84" spans="2:8" x14ac:dyDescent="0.25">
      <c r="C84" s="27"/>
      <c r="D84" s="27"/>
      <c r="E84" s="27"/>
      <c r="F84" s="27"/>
      <c r="G84" s="594"/>
      <c r="H84" s="27"/>
    </row>
    <row r="85" spans="2:8" x14ac:dyDescent="0.25">
      <c r="C85" s="27"/>
      <c r="D85" s="27"/>
      <c r="E85" s="27"/>
      <c r="F85" s="27"/>
      <c r="G85" s="594"/>
      <c r="H85" s="27"/>
    </row>
    <row r="86" spans="2:8" x14ac:dyDescent="0.25">
      <c r="C86" s="27"/>
      <c r="D86" s="27"/>
      <c r="E86" s="27"/>
      <c r="F86" s="27"/>
      <c r="G86" s="594"/>
      <c r="H86" s="27"/>
    </row>
    <row r="87" spans="2:8" x14ac:dyDescent="0.25">
      <c r="C87" s="27"/>
      <c r="D87" s="27"/>
      <c r="E87" s="27"/>
      <c r="F87" s="27"/>
      <c r="G87" s="594"/>
      <c r="H87" s="27"/>
    </row>
    <row r="88" spans="2:8" x14ac:dyDescent="0.25">
      <c r="C88" s="27"/>
      <c r="D88" s="27"/>
      <c r="E88" s="27"/>
      <c r="F88" s="27"/>
      <c r="G88" s="594"/>
      <c r="H88" s="27"/>
    </row>
    <row r="89" spans="2:8" x14ac:dyDescent="0.25">
      <c r="C89" s="27"/>
      <c r="D89" s="27"/>
      <c r="E89" s="27"/>
      <c r="F89" s="27"/>
      <c r="G89" s="594"/>
      <c r="H89" s="27"/>
    </row>
    <row r="90" spans="2:8" x14ac:dyDescent="0.25">
      <c r="C90" s="27"/>
      <c r="D90" s="27"/>
      <c r="E90" s="27"/>
      <c r="F90" s="27"/>
      <c r="G90" s="594"/>
      <c r="H90" s="27"/>
    </row>
    <row r="91" spans="2:8" x14ac:dyDescent="0.25">
      <c r="C91" s="27"/>
      <c r="D91" s="27"/>
      <c r="E91" s="27"/>
      <c r="F91" s="27"/>
      <c r="G91" s="594"/>
      <c r="H91" s="27"/>
    </row>
    <row r="92" spans="2:8" x14ac:dyDescent="0.25">
      <c r="C92" s="27"/>
      <c r="D92" s="27"/>
      <c r="E92" s="27"/>
      <c r="F92" s="27"/>
      <c r="G92" s="594"/>
      <c r="H92" s="27"/>
    </row>
    <row r="93" spans="2:8" x14ac:dyDescent="0.25">
      <c r="C93" s="27"/>
      <c r="D93" s="27"/>
      <c r="E93" s="27"/>
      <c r="F93" s="27"/>
      <c r="G93" s="594"/>
      <c r="H93" s="27"/>
    </row>
    <row r="94" spans="2:8" x14ac:dyDescent="0.25">
      <c r="C94" s="27"/>
      <c r="D94" s="27"/>
      <c r="E94" s="27"/>
      <c r="F94" s="27"/>
      <c r="G94" s="594"/>
      <c r="H94" s="27"/>
    </row>
    <row r="95" spans="2:8" x14ac:dyDescent="0.25">
      <c r="C95" s="27"/>
      <c r="D95" s="27"/>
      <c r="E95" s="27"/>
      <c r="F95" s="27"/>
      <c r="G95" s="594"/>
      <c r="H95" s="27"/>
    </row>
    <row r="96" spans="2:8" x14ac:dyDescent="0.25">
      <c r="C96" s="27"/>
      <c r="D96" s="27"/>
      <c r="E96" s="27"/>
      <c r="F96" s="27"/>
      <c r="G96" s="594"/>
      <c r="H96" s="27"/>
    </row>
    <row r="97" spans="2:9" x14ac:dyDescent="0.25">
      <c r="B97" s="1120" t="s">
        <v>280</v>
      </c>
      <c r="C97" s="1120"/>
      <c r="D97" s="1120"/>
      <c r="E97" s="1120"/>
      <c r="F97" s="1120"/>
      <c r="G97" s="1120"/>
      <c r="H97" s="1120"/>
    </row>
    <row r="98" spans="2:9" x14ac:dyDescent="0.25">
      <c r="C98" s="27"/>
      <c r="D98" s="27"/>
      <c r="E98" s="27"/>
      <c r="F98" s="27"/>
      <c r="G98" s="594"/>
      <c r="H98" s="27"/>
    </row>
    <row r="99" spans="2:9" x14ac:dyDescent="0.25">
      <c r="C99" s="27"/>
      <c r="D99" s="27"/>
      <c r="E99" s="27"/>
      <c r="F99" s="27"/>
      <c r="G99" s="27"/>
      <c r="H99" s="27"/>
    </row>
    <row r="100" spans="2:9" s="110" customFormat="1" x14ac:dyDescent="0.35">
      <c r="B100" s="1109"/>
      <c r="C100" s="1109"/>
      <c r="D100" s="1109"/>
      <c r="E100" s="1109"/>
      <c r="F100" s="1109"/>
      <c r="G100" s="846"/>
      <c r="H100" s="36"/>
      <c r="I100" s="36"/>
    </row>
    <row r="101" spans="2:9" x14ac:dyDescent="0.25">
      <c r="C101" s="27"/>
      <c r="D101" s="27"/>
      <c r="E101" s="27"/>
      <c r="F101" s="27"/>
      <c r="G101" s="27"/>
      <c r="H101" s="27"/>
    </row>
    <row r="102" spans="2:9" x14ac:dyDescent="0.25">
      <c r="C102" s="27"/>
      <c r="D102" s="27"/>
      <c r="E102" s="27"/>
      <c r="F102" s="27"/>
      <c r="G102" s="27"/>
      <c r="H102" s="27"/>
    </row>
    <row r="103" spans="2:9" x14ac:dyDescent="0.25">
      <c r="C103" s="27"/>
      <c r="D103" s="27"/>
      <c r="E103" s="27"/>
      <c r="F103" s="27"/>
      <c r="G103" s="27"/>
      <c r="H103" s="27"/>
    </row>
    <row r="104" spans="2:9" x14ac:dyDescent="0.25">
      <c r="C104" s="27"/>
      <c r="D104" s="27"/>
      <c r="E104" s="27"/>
      <c r="F104" s="27"/>
      <c r="G104" s="27"/>
      <c r="H104" s="27"/>
    </row>
    <row r="105" spans="2:9" x14ac:dyDescent="0.25">
      <c r="C105" s="27"/>
      <c r="D105" s="27"/>
      <c r="E105" s="27"/>
      <c r="F105" s="27"/>
      <c r="G105" s="27"/>
      <c r="H105" s="27"/>
    </row>
    <row r="106" spans="2:9" x14ac:dyDescent="0.25">
      <c r="C106" s="27"/>
      <c r="D106" s="27"/>
      <c r="E106" s="27"/>
      <c r="F106" s="27"/>
      <c r="G106" s="27"/>
      <c r="H106" s="27"/>
    </row>
    <row r="107" spans="2:9" x14ac:dyDescent="0.25">
      <c r="C107" s="27"/>
      <c r="D107" s="27"/>
      <c r="E107" s="27"/>
      <c r="F107" s="27"/>
      <c r="G107" s="27"/>
      <c r="H107" s="27"/>
    </row>
    <row r="108" spans="2:9" x14ac:dyDescent="0.25">
      <c r="C108" s="27"/>
      <c r="D108" s="27"/>
      <c r="E108" s="27"/>
      <c r="F108" s="27"/>
      <c r="G108" s="27"/>
      <c r="H108" s="27"/>
    </row>
    <row r="109" spans="2:9" x14ac:dyDescent="0.25">
      <c r="C109" s="27"/>
      <c r="D109" s="27"/>
      <c r="E109" s="27"/>
      <c r="F109" s="27"/>
      <c r="G109" s="27"/>
      <c r="H109" s="27"/>
    </row>
  </sheetData>
  <mergeCells count="3">
    <mergeCell ref="B75:H75"/>
    <mergeCell ref="B100:F100"/>
    <mergeCell ref="B97:H97"/>
  </mergeCells>
  <pageMargins left="0.23622047244094491" right="0.23622047244094491" top="0.74803149606299213" bottom="0.74803149606299213" header="0.31496062992125984" footer="0.31496062992125984"/>
  <pageSetup paperSize="9" scale="80" orientation="portrait" r:id="rId1"/>
  <rowBreaks count="1" manualBreakCount="1">
    <brk id="57" min="1" max="7"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457FF-F853-4DDA-BE5F-001B651D3D77}">
  <sheetPr>
    <tabColor rgb="FF7030A0"/>
  </sheetPr>
  <dimension ref="A1:N82"/>
  <sheetViews>
    <sheetView showGridLines="0" view="pageBreakPreview" topLeftCell="A53" zoomScale="89" zoomScaleNormal="100" zoomScaleSheetLayoutView="89" workbookViewId="0">
      <selection activeCell="D6" sqref="D6"/>
    </sheetView>
  </sheetViews>
  <sheetFormatPr defaultColWidth="9.1796875" defaultRowHeight="11.5" x14ac:dyDescent="0.25"/>
  <cols>
    <col min="1" max="1" width="2.81640625" style="17" customWidth="1"/>
    <col min="2" max="2" width="54" style="17" customWidth="1"/>
    <col min="3" max="3" width="18.1796875" style="17" hidden="1" customWidth="1"/>
    <col min="4" max="5" width="25.453125" style="17" customWidth="1"/>
    <col min="6" max="6" width="15" style="17" bestFit="1" customWidth="1"/>
    <col min="7" max="8" width="10.54296875" style="17" bestFit="1" customWidth="1"/>
    <col min="9" max="10" width="11.453125" style="17" bestFit="1" customWidth="1"/>
    <col min="11" max="11" width="10.54296875" style="17" bestFit="1" customWidth="1"/>
    <col min="12" max="12" width="8.1796875" style="17" bestFit="1" customWidth="1"/>
    <col min="13" max="13" width="9.1796875" style="17"/>
    <col min="14" max="14" width="8.1796875" style="17" bestFit="1" customWidth="1"/>
    <col min="15" max="16384" width="9.1796875" style="17"/>
  </cols>
  <sheetData>
    <row r="1" spans="1:14" x14ac:dyDescent="0.25">
      <c r="B1" s="3" t="str">
        <f>'3-4'!B1</f>
        <v>Paladion Networks Private Limited</v>
      </c>
      <c r="C1" s="3"/>
      <c r="D1" s="3"/>
      <c r="E1" s="3"/>
    </row>
    <row r="2" spans="1:14" x14ac:dyDescent="0.25">
      <c r="A2" s="295"/>
      <c r="B2" s="113" t="str">
        <f>'3-4'!B2</f>
        <v>Summary of Material accounting policies and other explanatory information</v>
      </c>
      <c r="C2" s="113"/>
      <c r="D2" s="113"/>
      <c r="E2" s="113"/>
    </row>
    <row r="3" spans="1:14" ht="12" x14ac:dyDescent="0.3">
      <c r="B3" s="279" t="str">
        <f>'3-4'!B3</f>
        <v>(Amounts are stated in ₹ lakhs, except share and per share data, unless ottherwise stated)</v>
      </c>
      <c r="C3" s="39"/>
      <c r="D3" s="113"/>
      <c r="E3" s="113"/>
    </row>
    <row r="4" spans="1:14" x14ac:dyDescent="0.25">
      <c r="B4" s="113"/>
      <c r="C4" s="113"/>
      <c r="D4" s="113"/>
      <c r="E4" s="113"/>
    </row>
    <row r="5" spans="1:14" ht="11.9" customHeight="1" x14ac:dyDescent="0.25">
      <c r="C5" s="192"/>
    </row>
    <row r="6" spans="1:14" ht="11.9" customHeight="1" x14ac:dyDescent="0.25">
      <c r="A6" s="60">
        <f>'3-4'!A33+1</f>
        <v>5</v>
      </c>
      <c r="B6" s="79" t="str">
        <f>"Note "&amp;A6&amp;": Other financial assets"</f>
        <v>Note 5: Other financial assets</v>
      </c>
      <c r="C6" s="79"/>
      <c r="D6" s="60"/>
      <c r="E6" s="60"/>
    </row>
    <row r="7" spans="1:14" ht="11.9" customHeight="1" x14ac:dyDescent="0.25">
      <c r="A7" s="60"/>
      <c r="B7" s="79"/>
      <c r="C7" s="79"/>
      <c r="D7" s="60"/>
      <c r="E7" s="60"/>
    </row>
    <row r="8" spans="1:14" ht="24" customHeight="1" x14ac:dyDescent="0.25">
      <c r="A8" s="60"/>
      <c r="B8" s="53" t="s">
        <v>495</v>
      </c>
      <c r="C8" s="895" t="s">
        <v>7</v>
      </c>
      <c r="D8" s="294" t="s">
        <v>7</v>
      </c>
      <c r="E8" s="294" t="s">
        <v>8</v>
      </c>
      <c r="G8" s="107" t="s">
        <v>496</v>
      </c>
    </row>
    <row r="9" spans="1:14" ht="11.9" customHeight="1" x14ac:dyDescent="0.25">
      <c r="A9" s="60"/>
      <c r="B9" s="715" t="s">
        <v>497</v>
      </c>
      <c r="C9" s="716"/>
      <c r="D9" s="126"/>
      <c r="E9" s="126"/>
      <c r="G9" s="1089" t="s">
        <v>498</v>
      </c>
      <c r="H9" s="1089"/>
      <c r="I9" s="1090" t="s">
        <v>499</v>
      </c>
      <c r="J9" s="1091"/>
      <c r="K9" s="1092"/>
      <c r="L9" s="1089" t="s">
        <v>500</v>
      </c>
      <c r="M9" s="1089"/>
      <c r="N9" s="1089"/>
    </row>
    <row r="10" spans="1:14" ht="11.9" customHeight="1" x14ac:dyDescent="0.25">
      <c r="A10" s="60"/>
      <c r="B10" s="297" t="s">
        <v>501</v>
      </c>
      <c r="D10" s="60"/>
      <c r="G10" s="921" t="s">
        <v>502</v>
      </c>
      <c r="H10" s="921" t="s">
        <v>503</v>
      </c>
      <c r="I10" s="921" t="s">
        <v>504</v>
      </c>
      <c r="J10" s="921" t="s">
        <v>505</v>
      </c>
      <c r="K10" s="921" t="s">
        <v>503</v>
      </c>
      <c r="L10" s="921" t="s">
        <v>504</v>
      </c>
      <c r="M10" s="921" t="s">
        <v>502</v>
      </c>
      <c r="N10" s="921" t="s">
        <v>503</v>
      </c>
    </row>
    <row r="11" spans="1:14" ht="11.9" customHeight="1" x14ac:dyDescent="0.25">
      <c r="A11" s="60"/>
      <c r="B11" s="824" t="str">
        <f>"- Related parties (refer note "&amp;'30 RPT'!A5&amp;")"</f>
        <v>- Related parties (refer note 30)</v>
      </c>
      <c r="C11" s="17">
        <v>12436488.120793782</v>
      </c>
      <c r="D11" s="60">
        <f>C11/10^5</f>
        <v>124.36488120793783</v>
      </c>
      <c r="E11" s="60">
        <v>117</v>
      </c>
      <c r="G11" s="956">
        <v>2266175</v>
      </c>
      <c r="H11" s="956">
        <v>2111275</v>
      </c>
      <c r="I11" s="956"/>
      <c r="J11" s="956">
        <f>2506381-G11</f>
        <v>240206</v>
      </c>
      <c r="K11" s="956">
        <f>3072031.66-H11</f>
        <v>960756.66000000015</v>
      </c>
      <c r="L11" s="956"/>
      <c r="M11" s="956">
        <v>3837</v>
      </c>
      <c r="N11" s="956">
        <v>135828</v>
      </c>
    </row>
    <row r="12" spans="1:14" ht="11.9" customHeight="1" x14ac:dyDescent="0.25">
      <c r="A12" s="17" t="s">
        <v>501</v>
      </c>
      <c r="B12" s="104" t="s">
        <v>506</v>
      </c>
      <c r="C12" s="60">
        <f>SUMIFS('Standalone TB'!$X:$X,'Standalone TB'!$Z:$Z,'5-7'!$A12)-C11-C22</f>
        <v>4816256.2938913368</v>
      </c>
      <c r="D12" s="60">
        <f>C12/10^5</f>
        <v>48.162562938913368</v>
      </c>
      <c r="E12" s="60">
        <v>99</v>
      </c>
    </row>
    <row r="13" spans="1:14" ht="11.9" customHeight="1" x14ac:dyDescent="0.25">
      <c r="A13" s="60"/>
      <c r="B13" s="297" t="s">
        <v>507</v>
      </c>
      <c r="C13" s="17">
        <f>H11+K11</f>
        <v>3072031.66</v>
      </c>
      <c r="D13" s="60">
        <f>ROUND(C13/10^5,0)</f>
        <v>31</v>
      </c>
      <c r="E13" s="60">
        <v>170</v>
      </c>
    </row>
    <row r="14" spans="1:14" ht="11.9" customHeight="1" x14ac:dyDescent="0.25">
      <c r="A14" s="60"/>
      <c r="B14" s="297" t="s">
        <v>508</v>
      </c>
      <c r="C14" s="60">
        <f>N11</f>
        <v>135828</v>
      </c>
      <c r="D14" s="60">
        <f>ROUND(C14/10^5,0)</f>
        <v>1</v>
      </c>
      <c r="E14" s="60">
        <v>12</v>
      </c>
    </row>
    <row r="15" spans="1:14" ht="11.9" customHeight="1" x14ac:dyDescent="0.25">
      <c r="A15" s="60"/>
      <c r="B15" s="297" t="s">
        <v>509</v>
      </c>
    </row>
    <row r="16" spans="1:14" ht="11.9" customHeight="1" x14ac:dyDescent="0.25">
      <c r="A16" s="17" t="s">
        <v>509</v>
      </c>
      <c r="B16" s="824" t="str">
        <f>"- Related parties (refer note "&amp;'30 RPT'!A5&amp;")"</f>
        <v>- Related parties (refer note 30)</v>
      </c>
      <c r="C16" s="60">
        <f>SUMIFS('Standalone TB'!$X:$X,'Standalone TB'!$Z:$Z,'5-7'!$A16)</f>
        <v>23935011.988138929</v>
      </c>
      <c r="D16" s="60">
        <f>ROUND(C16/10^5,0)</f>
        <v>239</v>
      </c>
      <c r="E16" s="60">
        <v>375</v>
      </c>
    </row>
    <row r="17" spans="1:5" ht="11.9" customHeight="1" thickBot="1" x14ac:dyDescent="0.3">
      <c r="A17" s="60"/>
      <c r="B17" s="65" t="s">
        <v>100</v>
      </c>
      <c r="C17" s="174">
        <f>SUM(C10:C16)</f>
        <v>44395616.062824048</v>
      </c>
      <c r="D17" s="174">
        <f>SUM(D10:D16)</f>
        <v>443.52744414685117</v>
      </c>
      <c r="E17" s="174">
        <f>SUM(E10:E16)</f>
        <v>773</v>
      </c>
    </row>
    <row r="18" spans="1:5" ht="11.9" customHeight="1" thickTop="1" x14ac:dyDescent="0.25">
      <c r="A18" s="60"/>
      <c r="B18" s="65"/>
      <c r="C18" s="79"/>
      <c r="D18" s="79"/>
      <c r="E18" s="79"/>
    </row>
    <row r="19" spans="1:5" ht="31" customHeight="1" x14ac:dyDescent="0.25">
      <c r="A19" s="60"/>
      <c r="B19" s="65" t="s">
        <v>510</v>
      </c>
      <c r="C19" s="895" t="str">
        <f>C8</f>
        <v>As at 
31 March 2025</v>
      </c>
      <c r="D19" s="294" t="str">
        <f>D8</f>
        <v>As at 
31 March 2025</v>
      </c>
      <c r="E19" s="294" t="str">
        <f>E8</f>
        <v>As at 
31 March 2024</v>
      </c>
    </row>
    <row r="20" spans="1:5" x14ac:dyDescent="0.25">
      <c r="A20" s="60"/>
      <c r="B20" s="715" t="s">
        <v>497</v>
      </c>
      <c r="C20" s="714"/>
      <c r="D20" s="767"/>
      <c r="E20" s="767"/>
    </row>
    <row r="21" spans="1:5" ht="11.9" customHeight="1" x14ac:dyDescent="0.25">
      <c r="C21" s="716"/>
      <c r="D21" s="126"/>
      <c r="E21" s="126"/>
    </row>
    <row r="22" spans="1:5" ht="11.9" customHeight="1" x14ac:dyDescent="0.25">
      <c r="A22" s="17" t="s">
        <v>501</v>
      </c>
      <c r="B22" s="297" t="s">
        <v>501</v>
      </c>
      <c r="C22" s="60">
        <v>18135703.494177502</v>
      </c>
      <c r="D22" s="60">
        <f>C22/10^5</f>
        <v>181.35703494177503</v>
      </c>
      <c r="E22" s="840">
        <v>120</v>
      </c>
    </row>
    <row r="23" spans="1:5" ht="11.9" customHeight="1" x14ac:dyDescent="0.25">
      <c r="B23" s="297" t="s">
        <v>507</v>
      </c>
      <c r="C23" s="17">
        <f>G11</f>
        <v>2266175</v>
      </c>
      <c r="D23" s="60">
        <f>ROUND(C23/10^5,0)</f>
        <v>23</v>
      </c>
      <c r="E23" s="659">
        <v>2</v>
      </c>
    </row>
    <row r="24" spans="1:5" ht="11.9" customHeight="1" x14ac:dyDescent="0.25">
      <c r="A24" s="17" t="s">
        <v>508</v>
      </c>
      <c r="B24" s="297" t="s">
        <v>508</v>
      </c>
      <c r="C24" s="60">
        <f>SUMIFS('Standalone TB'!$X:$X,'Standalone TB'!$Z:$Z,'5-7'!$A24)-C14</f>
        <v>3837.3999999999069</v>
      </c>
      <c r="D24" s="60">
        <f>C24/10^5</f>
        <v>3.8373999999999069E-2</v>
      </c>
      <c r="E24" s="840">
        <v>7</v>
      </c>
    </row>
    <row r="25" spans="1:5" ht="11.9" customHeight="1" thickBot="1" x14ac:dyDescent="0.3">
      <c r="B25" s="65" t="s">
        <v>100</v>
      </c>
      <c r="C25" s="174">
        <f>SUM(C22:C24)</f>
        <v>20405715.8941775</v>
      </c>
      <c r="D25" s="174">
        <f>SUM(D22:D24)</f>
        <v>204.39540894177503</v>
      </c>
      <c r="E25" s="841">
        <f>SUM(E22:E24)</f>
        <v>129</v>
      </c>
    </row>
    <row r="26" spans="1:5" ht="11.9" customHeight="1" thickTop="1" x14ac:dyDescent="0.25">
      <c r="B26" s="717"/>
      <c r="C26" s="717"/>
      <c r="D26" s="717"/>
      <c r="E26" s="717"/>
    </row>
    <row r="27" spans="1:5" ht="12.65" customHeight="1" x14ac:dyDescent="0.25">
      <c r="B27" s="34" t="s">
        <v>511</v>
      </c>
      <c r="C27" s="34"/>
      <c r="D27" s="79"/>
      <c r="E27" s="79"/>
    </row>
    <row r="28" spans="1:5" x14ac:dyDescent="0.25">
      <c r="A28" s="60"/>
      <c r="B28" s="1088" t="s">
        <v>512</v>
      </c>
      <c r="C28" s="1088"/>
      <c r="D28" s="1088"/>
      <c r="E28" s="1088"/>
    </row>
    <row r="29" spans="1:5" ht="11.9" customHeight="1" x14ac:dyDescent="0.25">
      <c r="A29" s="60"/>
      <c r="B29" s="79"/>
      <c r="C29" s="79"/>
      <c r="D29" s="60"/>
      <c r="E29" s="60"/>
    </row>
    <row r="30" spans="1:5" ht="11.9" customHeight="1" x14ac:dyDescent="0.25">
      <c r="A30" s="17">
        <f>A6+1</f>
        <v>6</v>
      </c>
      <c r="B30" s="3" t="str">
        <f>"Note "&amp;A30&amp;": Other Current assets"</f>
        <v>Note 6: Other Current assets</v>
      </c>
      <c r="C30" s="79"/>
      <c r="D30" s="60"/>
      <c r="E30" s="60"/>
    </row>
    <row r="31" spans="1:5" x14ac:dyDescent="0.25">
      <c r="B31" s="60"/>
      <c r="D31" s="767"/>
      <c r="E31" s="767"/>
    </row>
    <row r="32" spans="1:5" ht="25.5" customHeight="1" x14ac:dyDescent="0.25">
      <c r="A32" s="60"/>
      <c r="B32" s="60"/>
      <c r="C32" s="314" t="s">
        <v>513</v>
      </c>
      <c r="D32" s="294" t="str">
        <f>D19</f>
        <v>As at 
31 March 2025</v>
      </c>
      <c r="E32" s="294" t="str">
        <f>E19</f>
        <v>As at 
31 March 2024</v>
      </c>
    </row>
    <row r="33" spans="1:5" x14ac:dyDescent="0.25">
      <c r="A33" s="60"/>
      <c r="B33" s="715" t="s">
        <v>497</v>
      </c>
      <c r="C33" s="126"/>
      <c r="D33" s="126"/>
      <c r="E33" s="126"/>
    </row>
    <row r="34" spans="1:5" ht="23" hidden="1" x14ac:dyDescent="0.25">
      <c r="A34" s="60"/>
      <c r="B34" s="193" t="s">
        <v>514</v>
      </c>
      <c r="C34" s="172"/>
      <c r="D34" s="172">
        <v>0</v>
      </c>
      <c r="E34" s="60"/>
    </row>
    <row r="35" spans="1:5" ht="28.5" hidden="1" customHeight="1" x14ac:dyDescent="0.25">
      <c r="B35" s="193" t="s">
        <v>508</v>
      </c>
      <c r="C35" s="172"/>
      <c r="D35" s="172">
        <v>0</v>
      </c>
      <c r="E35" s="60"/>
    </row>
    <row r="36" spans="1:5" hidden="1" x14ac:dyDescent="0.25">
      <c r="B36" s="60" t="s">
        <v>515</v>
      </c>
      <c r="C36" s="172"/>
      <c r="D36" s="172"/>
      <c r="E36" s="60"/>
    </row>
    <row r="37" spans="1:5" hidden="1" x14ac:dyDescent="0.25">
      <c r="B37" s="60" t="s">
        <v>516</v>
      </c>
      <c r="C37" s="172"/>
      <c r="D37" s="172">
        <v>0</v>
      </c>
      <c r="E37" s="60"/>
    </row>
    <row r="38" spans="1:5" hidden="1" x14ac:dyDescent="0.25">
      <c r="B38" s="60" t="s">
        <v>517</v>
      </c>
      <c r="C38" s="172"/>
      <c r="D38" s="172">
        <v>0</v>
      </c>
      <c r="E38" s="60"/>
    </row>
    <row r="39" spans="1:5" x14ac:dyDescent="0.25">
      <c r="A39" s="17" t="s">
        <v>95</v>
      </c>
      <c r="B39" s="54" t="str">
        <f>"Receivable from related parties" &amp; " (refer note "&amp;'30 RPT'!A5&amp;")"</f>
        <v>Receivable from related parties (refer note 30)</v>
      </c>
      <c r="C39" s="60">
        <f>SUMIFS('Standalone TB'!$X:$X,'Standalone TB'!$Z:$Z,'5-7'!$A39)</f>
        <v>14290723.140000001</v>
      </c>
      <c r="D39" s="56">
        <f t="shared" ref="D39:D44" si="0">C39/10^5</f>
        <v>142.9072314</v>
      </c>
      <c r="E39" s="57">
        <v>1978.3662761696201</v>
      </c>
    </row>
    <row r="40" spans="1:5" x14ac:dyDescent="0.25">
      <c r="A40" s="17" t="s">
        <v>96</v>
      </c>
      <c r="B40" s="54" t="s">
        <v>518</v>
      </c>
      <c r="C40" s="60">
        <f>SUMIFS('Standalone TB'!$X:$X,'Standalone TB'!$Z:$Z,'5-7'!$A40)</f>
        <v>10111985.728096118</v>
      </c>
      <c r="D40" s="56">
        <f t="shared" si="0"/>
        <v>101.11985728096118</v>
      </c>
      <c r="E40" s="57">
        <v>40.237245460739999</v>
      </c>
    </row>
    <row r="41" spans="1:5" ht="12" customHeight="1" x14ac:dyDescent="0.25">
      <c r="A41" s="60" t="s">
        <v>519</v>
      </c>
      <c r="B41" s="718" t="s">
        <v>520</v>
      </c>
      <c r="C41" s="60">
        <f>SUMIFS('Standalone TB'!$X:$X,'Standalone TB'!$Z:$Z,'5-7'!$A41)</f>
        <v>2080912.46</v>
      </c>
      <c r="D41" s="56">
        <f t="shared" si="0"/>
        <v>20.809124600000001</v>
      </c>
      <c r="E41" s="56">
        <v>39.911881791559999</v>
      </c>
    </row>
    <row r="42" spans="1:5" x14ac:dyDescent="0.25">
      <c r="A42" s="17" t="s">
        <v>521</v>
      </c>
      <c r="B42" s="718" t="s">
        <v>522</v>
      </c>
      <c r="C42" s="60">
        <f>SUMIFS('Standalone TB'!$X:$X,'Standalone TB'!$Z:$Z,'5-7'!$A42)</f>
        <v>161780798.17238447</v>
      </c>
      <c r="D42" s="56">
        <f t="shared" si="0"/>
        <v>1617.8079817238447</v>
      </c>
      <c r="E42" s="56">
        <v>372.40412889803008</v>
      </c>
    </row>
    <row r="43" spans="1:5" x14ac:dyDescent="0.25">
      <c r="A43" s="17" t="s">
        <v>523</v>
      </c>
      <c r="B43" s="718" t="s">
        <v>524</v>
      </c>
      <c r="C43" s="60">
        <f>SUMIFS('Standalone TB'!$X:$X,'Standalone TB'!$Z:$Z,'5-7'!$A43)</f>
        <v>29378287.863308683</v>
      </c>
      <c r="D43" s="56">
        <f t="shared" si="0"/>
        <v>293.78287863308685</v>
      </c>
      <c r="E43" s="56">
        <v>120.59793725245001</v>
      </c>
    </row>
    <row r="44" spans="1:5" x14ac:dyDescent="0.25">
      <c r="A44" s="17" t="s">
        <v>525</v>
      </c>
      <c r="B44" s="297" t="s">
        <v>525</v>
      </c>
      <c r="C44" s="60">
        <f>SUMIFS('Standalone TB'!$X:$X,'Standalone TB'!$Z:$Z,'5-7'!$A44)</f>
        <v>0</v>
      </c>
      <c r="D44" s="56">
        <f t="shared" si="0"/>
        <v>0</v>
      </c>
      <c r="E44" s="172">
        <v>39.614498965349995</v>
      </c>
    </row>
    <row r="45" spans="1:5" ht="12" thickBot="1" x14ac:dyDescent="0.3">
      <c r="B45" s="79" t="s">
        <v>100</v>
      </c>
      <c r="C45" s="174">
        <f>SUM(C33:C44)</f>
        <v>217642707.36378926</v>
      </c>
      <c r="D45" s="174">
        <f>SUM(D33:D44)</f>
        <v>2176.4270736378926</v>
      </c>
      <c r="E45" s="174">
        <f>SUM(E33:E44)</f>
        <v>2591.1319685377498</v>
      </c>
    </row>
    <row r="46" spans="1:5" ht="12" thickTop="1" x14ac:dyDescent="0.25">
      <c r="B46" s="79"/>
      <c r="C46" s="79"/>
      <c r="D46" s="79"/>
      <c r="E46" s="79"/>
    </row>
    <row r="47" spans="1:5" x14ac:dyDescent="0.25">
      <c r="A47" s="17">
        <f>A30+1</f>
        <v>7</v>
      </c>
      <c r="B47" s="3" t="str">
        <f>"Note "&amp;A47&amp;": Investments"</f>
        <v>Note 7: Investments</v>
      </c>
      <c r="D47" s="140"/>
      <c r="E47" s="140"/>
    </row>
    <row r="48" spans="1:5" ht="23" x14ac:dyDescent="0.25">
      <c r="C48" s="719" t="str">
        <f>C19</f>
        <v>As at 
31 March 2025</v>
      </c>
      <c r="D48" s="294" t="str">
        <f>D32</f>
        <v>As at 
31 March 2025</v>
      </c>
      <c r="E48" s="294" t="str">
        <f>E32</f>
        <v>As at 
31 March 2024</v>
      </c>
    </row>
    <row r="49" spans="1:5" x14ac:dyDescent="0.25">
      <c r="B49" s="61" t="s">
        <v>526</v>
      </c>
    </row>
    <row r="50" spans="1:5" x14ac:dyDescent="0.25">
      <c r="B50" s="284" t="s">
        <v>527</v>
      </c>
    </row>
    <row r="51" spans="1:5" x14ac:dyDescent="0.25">
      <c r="B51" s="284"/>
    </row>
    <row r="52" spans="1:5" x14ac:dyDescent="0.25">
      <c r="B52" s="284" t="s">
        <v>528</v>
      </c>
    </row>
    <row r="53" spans="1:5" x14ac:dyDescent="0.25">
      <c r="A53" s="17" t="s">
        <v>22</v>
      </c>
      <c r="B53" s="299" t="s">
        <v>529</v>
      </c>
      <c r="C53" s="60">
        <f>SUMIFS('Standalone TB'!$X:$X,'Standalone TB'!$Z:$Z,'5-7'!$A53)-C56-C59-C62</f>
        <v>1488293.9999999998</v>
      </c>
      <c r="D53" s="17">
        <f>C53/10^5</f>
        <v>14.882939999999998</v>
      </c>
      <c r="E53" s="17">
        <v>14.882939999999998</v>
      </c>
    </row>
    <row r="54" spans="1:5" x14ac:dyDescent="0.25">
      <c r="B54" s="718" t="s">
        <v>530</v>
      </c>
      <c r="C54" s="60">
        <f>-C53</f>
        <v>-1488293.9999999998</v>
      </c>
      <c r="D54" s="17">
        <f>-D53</f>
        <v>-14.882939999999998</v>
      </c>
      <c r="E54" s="17">
        <v>-14.882939999999998</v>
      </c>
    </row>
    <row r="55" spans="1:5" x14ac:dyDescent="0.25">
      <c r="B55" s="284" t="s">
        <v>531</v>
      </c>
    </row>
    <row r="56" spans="1:5" x14ac:dyDescent="0.25">
      <c r="B56" s="299" t="s">
        <v>532</v>
      </c>
      <c r="C56" s="17">
        <f>1984079</f>
        <v>1984079</v>
      </c>
      <c r="D56" s="17">
        <f>C56/10^5</f>
        <v>19.840789999999998</v>
      </c>
      <c r="E56" s="17">
        <v>19.840789999999998</v>
      </c>
    </row>
    <row r="57" spans="1:5" x14ac:dyDescent="0.25">
      <c r="B57" s="299" t="s">
        <v>533</v>
      </c>
      <c r="C57" s="17">
        <f>-C56</f>
        <v>-1984079</v>
      </c>
      <c r="D57" s="17">
        <f>-D56</f>
        <v>-19.840789999999998</v>
      </c>
      <c r="E57" s="17">
        <v>-19.840789999999998</v>
      </c>
    </row>
    <row r="58" spans="1:5" x14ac:dyDescent="0.25">
      <c r="B58" s="284" t="s">
        <v>534</v>
      </c>
      <c r="C58" s="822"/>
      <c r="D58" s="822"/>
      <c r="E58" s="822"/>
    </row>
    <row r="59" spans="1:5" x14ac:dyDescent="0.25">
      <c r="B59" s="299" t="s">
        <v>535</v>
      </c>
      <c r="C59" s="17">
        <f>1984392</f>
        <v>1984392</v>
      </c>
      <c r="D59" s="17">
        <f>C59/10^5</f>
        <v>19.843920000000001</v>
      </c>
      <c r="E59" s="17">
        <v>19.843920000000001</v>
      </c>
    </row>
    <row r="60" spans="1:5" x14ac:dyDescent="0.25">
      <c r="B60" s="718" t="s">
        <v>536</v>
      </c>
      <c r="C60" s="17">
        <f>-C59</f>
        <v>-1984392</v>
      </c>
      <c r="D60" s="17">
        <f>-D59</f>
        <v>-19.843920000000001</v>
      </c>
      <c r="E60" s="17">
        <v>-19.843920000000001</v>
      </c>
    </row>
    <row r="61" spans="1:5" x14ac:dyDescent="0.25">
      <c r="B61" s="284" t="s">
        <v>537</v>
      </c>
    </row>
    <row r="62" spans="1:5" x14ac:dyDescent="0.25">
      <c r="B62" s="299" t="s">
        <v>538</v>
      </c>
      <c r="C62" s="17">
        <f>1382153.26</f>
        <v>1382153.26</v>
      </c>
      <c r="D62" s="17">
        <f>C62/10^5</f>
        <v>13.821532599999999</v>
      </c>
      <c r="E62" s="17">
        <v>13.821532599999999</v>
      </c>
    </row>
    <row r="63" spans="1:5" ht="23" x14ac:dyDescent="0.25">
      <c r="B63" s="299" t="s">
        <v>539</v>
      </c>
      <c r="C63" s="17">
        <f>-1382153.26</f>
        <v>-1382153.26</v>
      </c>
      <c r="D63" s="17">
        <f>C63/10^5</f>
        <v>-13.821532599999999</v>
      </c>
      <c r="E63" s="17">
        <v>-13.821532599999999</v>
      </c>
    </row>
    <row r="64" spans="1:5" x14ac:dyDescent="0.25">
      <c r="B64" s="298"/>
    </row>
    <row r="65" spans="1:6" ht="12" thickBot="1" x14ac:dyDescent="0.3">
      <c r="B65" s="300" t="s">
        <v>100</v>
      </c>
      <c r="C65" s="232">
        <f>SUM(C53:C63)</f>
        <v>0</v>
      </c>
      <c r="D65" s="232">
        <f>SUM(D53:D63)</f>
        <v>0</v>
      </c>
      <c r="E65" s="232">
        <f>SUM(E53:E63)</f>
        <v>0</v>
      </c>
    </row>
    <row r="66" spans="1:6" ht="12" thickTop="1" x14ac:dyDescent="0.25">
      <c r="B66" s="300"/>
      <c r="D66" s="3"/>
      <c r="E66" s="3"/>
    </row>
    <row r="67" spans="1:6" x14ac:dyDescent="0.25">
      <c r="B67" s="298" t="s">
        <v>540</v>
      </c>
      <c r="D67" s="78" t="s">
        <v>174</v>
      </c>
      <c r="E67" s="78" t="s">
        <v>174</v>
      </c>
    </row>
    <row r="68" spans="1:6" x14ac:dyDescent="0.25">
      <c r="B68" s="298" t="s">
        <v>541</v>
      </c>
      <c r="C68" s="17">
        <f>C53+C56+C59+C62</f>
        <v>6838918.2599999998</v>
      </c>
      <c r="D68" s="17">
        <f>D53+D56+D59+D62</f>
        <v>68.389182599999998</v>
      </c>
      <c r="E68" s="17">
        <v>68.389182599999998</v>
      </c>
    </row>
    <row r="69" spans="1:6" x14ac:dyDescent="0.25">
      <c r="B69" s="347" t="s">
        <v>542</v>
      </c>
      <c r="C69" s="60">
        <f>-C68</f>
        <v>-6838918.2599999998</v>
      </c>
      <c r="D69" s="60">
        <f>D54+D57+D60+D63</f>
        <v>-68.389182599999998</v>
      </c>
      <c r="E69" s="60">
        <v>-68.389182599999998</v>
      </c>
    </row>
    <row r="71" spans="1:6" x14ac:dyDescent="0.25">
      <c r="B71" s="3" t="s">
        <v>543</v>
      </c>
      <c r="D71" s="17">
        <f>D68</f>
        <v>68.389182599999998</v>
      </c>
      <c r="E71" s="17">
        <v>68.389182599999998</v>
      </c>
    </row>
    <row r="72" spans="1:6" x14ac:dyDescent="0.25">
      <c r="A72" s="192"/>
      <c r="B72" s="760" t="s">
        <v>544</v>
      </c>
      <c r="C72" s="192"/>
      <c r="D72" s="192">
        <f>D69</f>
        <v>-68.389182599999998</v>
      </c>
      <c r="E72" s="192">
        <v>-68.389182599999998</v>
      </c>
    </row>
    <row r="73" spans="1:6" x14ac:dyDescent="0.25">
      <c r="A73" s="192"/>
      <c r="B73" s="760" t="s">
        <v>545</v>
      </c>
      <c r="C73" s="896"/>
      <c r="D73" s="29">
        <f>SUM(D70:D72)</f>
        <v>0</v>
      </c>
      <c r="E73" s="29">
        <f>SUM(E70:E72)</f>
        <v>0</v>
      </c>
    </row>
    <row r="74" spans="1:6" x14ac:dyDescent="0.25">
      <c r="B74" s="79"/>
      <c r="C74" s="79"/>
      <c r="D74" s="79"/>
      <c r="E74" s="79"/>
    </row>
    <row r="75" spans="1:6" x14ac:dyDescent="0.25">
      <c r="B75" s="79"/>
      <c r="C75" s="79"/>
      <c r="D75" s="79"/>
      <c r="E75" s="79"/>
    </row>
    <row r="76" spans="1:6" x14ac:dyDescent="0.25">
      <c r="B76" s="79"/>
      <c r="C76" s="79"/>
      <c r="D76" s="79"/>
      <c r="E76" s="79"/>
    </row>
    <row r="77" spans="1:6" x14ac:dyDescent="0.25">
      <c r="B77" s="79"/>
      <c r="C77" s="79"/>
      <c r="D77" s="79"/>
      <c r="E77" s="79"/>
    </row>
    <row r="78" spans="1:6" x14ac:dyDescent="0.25">
      <c r="B78" s="79"/>
      <c r="C78" s="79"/>
      <c r="D78" s="79"/>
      <c r="E78" s="79"/>
    </row>
    <row r="80" spans="1:6" x14ac:dyDescent="0.25">
      <c r="B80" s="79"/>
      <c r="C80" s="79"/>
      <c r="D80" s="79"/>
      <c r="E80" s="79"/>
      <c r="F80" s="79"/>
    </row>
    <row r="82" ht="60" hidden="1" customHeight="1" x14ac:dyDescent="0.25"/>
  </sheetData>
  <mergeCells count="4">
    <mergeCell ref="B28:E28"/>
    <mergeCell ref="G9:H9"/>
    <mergeCell ref="I9:K9"/>
    <mergeCell ref="L9:N9"/>
  </mergeCells>
  <pageMargins left="0.23622047244094491" right="0.23622047244094491" top="0.74803149606299213" bottom="0.74803149606299213" header="0.31496062992125984" footer="0.31496062992125984"/>
  <pageSetup paperSize="9" scale="8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885E2-D745-4A0F-A83F-11D0F5F23DEA}">
  <sheetPr>
    <tabColor rgb="FF7030A0"/>
  </sheetPr>
  <dimension ref="A1:R75"/>
  <sheetViews>
    <sheetView showGridLines="0" view="pageBreakPreview" topLeftCell="A49" zoomScale="90" zoomScaleNormal="100" zoomScaleSheetLayoutView="90" workbookViewId="0">
      <selection activeCell="C24" sqref="C24:C27"/>
    </sheetView>
  </sheetViews>
  <sheetFormatPr defaultColWidth="9.1796875" defaultRowHeight="11.5" outlineLevelCol="1" x14ac:dyDescent="0.25"/>
  <cols>
    <col min="1" max="1" width="4.1796875" style="17" bestFit="1" customWidth="1"/>
    <col min="2" max="2" width="41.1796875" style="17" customWidth="1"/>
    <col min="3" max="3" width="9" style="17" bestFit="1" customWidth="1"/>
    <col min="4" max="4" width="13" style="17" customWidth="1"/>
    <col min="5" max="5" width="10.81640625" style="17" bestFit="1" customWidth="1"/>
    <col min="6" max="6" width="11.54296875" style="17" customWidth="1"/>
    <col min="7" max="7" width="12.81640625" style="17" customWidth="1"/>
    <col min="8" max="8" width="12" style="17" hidden="1" customWidth="1" outlineLevel="1"/>
    <col min="9" max="9" width="13.1796875" style="17" bestFit="1" customWidth="1" collapsed="1"/>
    <col min="10" max="10" width="13.1796875" style="17" bestFit="1" customWidth="1"/>
    <col min="11" max="11" width="14.81640625" style="17" bestFit="1" customWidth="1"/>
    <col min="12" max="12" width="12.36328125" style="17" bestFit="1" customWidth="1"/>
    <col min="13" max="13" width="16.1796875" style="17" bestFit="1" customWidth="1"/>
    <col min="14" max="14" width="13.54296875" style="17" bestFit="1" customWidth="1"/>
    <col min="15" max="16" width="12.81640625" style="17" bestFit="1" customWidth="1"/>
    <col min="17" max="17" width="13.81640625" style="17" bestFit="1" customWidth="1"/>
    <col min="18" max="18" width="12.81640625" style="17" bestFit="1" customWidth="1"/>
    <col min="19" max="19" width="11.453125" style="17" bestFit="1" customWidth="1"/>
    <col min="20" max="20" width="10" style="17" bestFit="1" customWidth="1"/>
    <col min="21" max="16384" width="9.1796875" style="17"/>
  </cols>
  <sheetData>
    <row r="1" spans="1:18" x14ac:dyDescent="0.25">
      <c r="B1" s="3" t="str">
        <f>'3-4'!B1</f>
        <v>Paladion Networks Private Limited</v>
      </c>
      <c r="N1" s="17" t="s">
        <v>546</v>
      </c>
      <c r="O1" s="656">
        <v>23.293900184842883</v>
      </c>
      <c r="P1" s="656">
        <v>85.563770794824407</v>
      </c>
    </row>
    <row r="2" spans="1:18" x14ac:dyDescent="0.25">
      <c r="A2" s="37"/>
      <c r="B2" s="79" t="str">
        <f>'3-4'!B2</f>
        <v>Summary of Material accounting policies and other explanatory information</v>
      </c>
      <c r="C2" s="79"/>
      <c r="D2" s="79"/>
      <c r="E2" s="79"/>
      <c r="F2" s="79"/>
      <c r="G2" s="79"/>
      <c r="H2" s="79"/>
      <c r="I2" s="79"/>
      <c r="J2" s="79"/>
    </row>
    <row r="3" spans="1:18" ht="12" x14ac:dyDescent="0.3">
      <c r="B3" s="279" t="str">
        <f>'3-4'!B3</f>
        <v>(Amounts are stated in ₹ lakhs, except share and per share data, unless ottherwise stated)</v>
      </c>
      <c r="C3" s="79"/>
      <c r="D3" s="79"/>
      <c r="E3" s="79"/>
      <c r="F3" s="79"/>
      <c r="G3" s="79"/>
      <c r="H3" s="79"/>
      <c r="I3" s="79"/>
      <c r="J3" s="79"/>
    </row>
    <row r="4" spans="1:18" x14ac:dyDescent="0.25">
      <c r="B4" s="79"/>
      <c r="C4" s="79"/>
      <c r="D4" s="79"/>
      <c r="E4" s="79"/>
      <c r="F4" s="79"/>
      <c r="G4" s="79"/>
      <c r="H4" s="79"/>
      <c r="I4" s="79"/>
      <c r="J4" s="79"/>
      <c r="P4" s="17" t="s">
        <v>174</v>
      </c>
    </row>
    <row r="5" spans="1:18" x14ac:dyDescent="0.25">
      <c r="A5" s="17">
        <f>'5-7'!A47+1</f>
        <v>8</v>
      </c>
      <c r="B5" s="3" t="str">
        <f>"Note "&amp;A5&amp;": Trade receivables"</f>
        <v>Note 8: Trade receivables</v>
      </c>
      <c r="C5" s="60"/>
      <c r="D5" s="60"/>
      <c r="E5" s="79"/>
      <c r="F5" s="79"/>
      <c r="G5" s="79"/>
      <c r="H5" s="79"/>
      <c r="I5" s="79"/>
      <c r="J5" s="79"/>
      <c r="M5" s="17">
        <v>355868.54</v>
      </c>
      <c r="N5" s="17">
        <v>439605648.38999999</v>
      </c>
    </row>
    <row r="6" spans="1:18" ht="24.75" customHeight="1" x14ac:dyDescent="0.25">
      <c r="F6" s="783"/>
      <c r="H6" s="93" t="s">
        <v>7</v>
      </c>
      <c r="I6" s="93" t="s">
        <v>7</v>
      </c>
      <c r="J6" s="93" t="s">
        <v>8</v>
      </c>
    </row>
    <row r="7" spans="1:18" x14ac:dyDescent="0.25">
      <c r="B7" s="802" t="s">
        <v>547</v>
      </c>
      <c r="F7" s="67"/>
      <c r="H7" s="172"/>
      <c r="I7" s="67">
        <v>0</v>
      </c>
      <c r="J7" s="67">
        <v>0</v>
      </c>
    </row>
    <row r="8" spans="1:18" x14ac:dyDescent="0.25">
      <c r="B8" s="802" t="s">
        <v>548</v>
      </c>
      <c r="F8" s="172"/>
      <c r="H8" s="172"/>
      <c r="I8" s="172"/>
      <c r="J8" s="172"/>
      <c r="M8" s="921"/>
      <c r="N8" s="921" t="s">
        <v>549</v>
      </c>
      <c r="O8" s="921" t="s">
        <v>550</v>
      </c>
      <c r="P8" s="921" t="s">
        <v>551</v>
      </c>
      <c r="Q8" s="921" t="s">
        <v>100</v>
      </c>
    </row>
    <row r="9" spans="1:18" x14ac:dyDescent="0.25">
      <c r="B9" s="824" t="str">
        <f>"- Related parties (refer note "&amp;'30 RPT'!A5&amp;")"</f>
        <v>- Related parties (refer note 30)</v>
      </c>
      <c r="F9" s="172"/>
      <c r="H9" s="172">
        <f>ROUND(SUM(Q9:Q11),0)</f>
        <v>519781051</v>
      </c>
      <c r="I9" s="172">
        <f>(SUM(H9:H9))/10^5</f>
        <v>5197.8105100000002</v>
      </c>
      <c r="J9" s="172">
        <v>8621.0490300000001</v>
      </c>
      <c r="K9" s="172">
        <f t="shared" ref="K9:K15" si="0">ROUND(J9,0)</f>
        <v>8621</v>
      </c>
      <c r="L9" s="17" t="s">
        <v>552</v>
      </c>
      <c r="M9" s="921" t="s">
        <v>553</v>
      </c>
      <c r="N9" s="921">
        <f>439605648.39+355868.54</f>
        <v>439961516.93000001</v>
      </c>
      <c r="O9" s="921">
        <f>(35863055.71-465059.225)*$O$1</f>
        <v>824557396.86500919</v>
      </c>
      <c r="P9" s="921">
        <f>17200*P1</f>
        <v>1471696.8576709798</v>
      </c>
      <c r="Q9" s="921">
        <f>SUM(N9:P9)</f>
        <v>1265990610.6526802</v>
      </c>
    </row>
    <row r="10" spans="1:18" x14ac:dyDescent="0.25">
      <c r="A10" s="17" t="s">
        <v>554</v>
      </c>
      <c r="B10" s="1021" t="s">
        <v>555</v>
      </c>
      <c r="F10" s="172"/>
      <c r="H10" s="60">
        <f>SUMIFS('Standalone TB'!$X:$X,'Standalone TB'!$Z:$Z,'8-10'!$A10)-H9</f>
        <v>78599306.730294108</v>
      </c>
      <c r="I10" s="172">
        <f>(SUM(H10:H10))/10^5</f>
        <v>785.99306730294109</v>
      </c>
      <c r="J10" s="172">
        <v>1239.7168015006769</v>
      </c>
      <c r="K10" s="172">
        <f t="shared" si="0"/>
        <v>1240</v>
      </c>
      <c r="M10" s="921" t="s">
        <v>556</v>
      </c>
      <c r="N10" s="921">
        <v>-11837172.59</v>
      </c>
      <c r="O10" s="921">
        <f>-31649862.21*$O$1</f>
        <v>-737248731.18377078</v>
      </c>
      <c r="P10" s="921"/>
      <c r="Q10" s="921">
        <f>SUM(N10:P10)</f>
        <v>-749085903.77377081</v>
      </c>
    </row>
    <row r="11" spans="1:18" x14ac:dyDescent="0.25">
      <c r="B11" s="802" t="s">
        <v>557</v>
      </c>
      <c r="F11" s="172"/>
      <c r="H11" s="60">
        <f>-SUM('Standalone TB'!X204:X206)</f>
        <v>7549549.5644377656</v>
      </c>
      <c r="I11" s="172">
        <f>(SUM(H11:H11))/10^5</f>
        <v>75.495495644377655</v>
      </c>
      <c r="J11" s="172">
        <v>48.649990685362908</v>
      </c>
      <c r="K11" s="172">
        <f t="shared" si="0"/>
        <v>49</v>
      </c>
      <c r="M11" s="921" t="s">
        <v>558</v>
      </c>
      <c r="N11" s="921">
        <f>2876344.35</f>
        <v>2876344.35</v>
      </c>
      <c r="O11" s="921">
        <f>0</f>
        <v>0</v>
      </c>
      <c r="P11" s="921"/>
      <c r="Q11" s="921">
        <f>SUM(N11:P11)</f>
        <v>2876344.35</v>
      </c>
    </row>
    <row r="12" spans="1:18" x14ac:dyDescent="0.25">
      <c r="B12" s="802" t="s">
        <v>559</v>
      </c>
      <c r="F12" s="172"/>
      <c r="H12" s="172">
        <f>-H11</f>
        <v>-7549549.5644377656</v>
      </c>
      <c r="I12" s="172">
        <f>(SUM(H12:H12))/10^5</f>
        <v>-75.495495644377655</v>
      </c>
      <c r="J12" s="172">
        <v>-48.649990685362908</v>
      </c>
      <c r="K12" s="172">
        <f t="shared" si="0"/>
        <v>-49</v>
      </c>
      <c r="M12" s="921" t="s">
        <v>546</v>
      </c>
      <c r="N12" s="921">
        <v>58824054.74000001</v>
      </c>
      <c r="O12" s="921">
        <f>1201472.35*$O$1</f>
        <v>27986976.995748617</v>
      </c>
      <c r="P12" s="921">
        <f>-14458.04*P1</f>
        <v>-1237084.4207024032</v>
      </c>
      <c r="Q12" s="921">
        <f>SUM(N12:P12)</f>
        <v>85573947.315046221</v>
      </c>
    </row>
    <row r="13" spans="1:18" x14ac:dyDescent="0.25">
      <c r="B13" s="297" t="s">
        <v>560</v>
      </c>
      <c r="F13" s="172"/>
      <c r="H13" s="172"/>
      <c r="I13" s="172"/>
      <c r="J13" s="172"/>
      <c r="K13" s="172">
        <f t="shared" si="0"/>
        <v>0</v>
      </c>
      <c r="M13" s="921" t="s">
        <v>561</v>
      </c>
      <c r="N13" s="921">
        <f>27058</f>
        <v>27058</v>
      </c>
      <c r="O13" s="921">
        <f>23519.11*$O$1</f>
        <v>547851.80077634007</v>
      </c>
      <c r="P13" s="921"/>
      <c r="Q13" s="921">
        <f>SUM(N13:P13)</f>
        <v>574909.80077634007</v>
      </c>
      <c r="R13" s="17">
        <f>SUM(Q9:Q13)</f>
        <v>605929908.34473193</v>
      </c>
    </row>
    <row r="14" spans="1:18" x14ac:dyDescent="0.25">
      <c r="B14" s="824" t="str">
        <f>"- Related parties (refer note "&amp;'30 RPT'!A5&amp;")"</f>
        <v>- Related parties (refer note 30)</v>
      </c>
      <c r="F14" s="60"/>
      <c r="H14" s="17">
        <f>SUM(Q15,Q16)</f>
        <v>303599804.49973804</v>
      </c>
      <c r="I14" s="172">
        <f>(SUM(H14:H14))/10^5</f>
        <v>3035.9980449973805</v>
      </c>
      <c r="J14" s="60">
        <v>1532.66326</v>
      </c>
      <c r="K14" s="172">
        <f t="shared" si="0"/>
        <v>1533</v>
      </c>
      <c r="M14" s="921" t="s">
        <v>562</v>
      </c>
      <c r="N14" s="921">
        <f>30421417.98+860505.38</f>
        <v>31281923.359999999</v>
      </c>
      <c r="O14" s="921">
        <f>76162*O1</f>
        <v>1774110.0258780036</v>
      </c>
      <c r="P14" s="921"/>
      <c r="Q14" s="921">
        <f t="shared" ref="Q14:Q16" si="1">SUM(N14:P14)</f>
        <v>33056033.385878004</v>
      </c>
    </row>
    <row r="15" spans="1:18" x14ac:dyDescent="0.25">
      <c r="A15" s="17" t="s">
        <v>563</v>
      </c>
      <c r="B15" s="104" t="s">
        <v>506</v>
      </c>
      <c r="F15" s="60"/>
      <c r="H15" s="60">
        <f>SUMIFS('Standalone TB'!$X:$X,'Standalone TB'!$Z:$Z,'8-10'!$A15)-H14</f>
        <v>33056030.242975533</v>
      </c>
      <c r="I15" s="172">
        <f>(SUM(H15:H15))/10^5</f>
        <v>330.56030242975532</v>
      </c>
      <c r="J15" s="60">
        <v>345.50069576600998</v>
      </c>
      <c r="K15" s="172">
        <f t="shared" si="0"/>
        <v>346</v>
      </c>
      <c r="M15" s="921" t="s">
        <v>564</v>
      </c>
      <c r="N15" s="957">
        <v>303609364.58973801</v>
      </c>
      <c r="O15" s="921">
        <f>0</f>
        <v>0</v>
      </c>
      <c r="P15" s="921"/>
      <c r="Q15" s="921">
        <f t="shared" si="1"/>
        <v>303609364.58973801</v>
      </c>
    </row>
    <row r="16" spans="1:18" x14ac:dyDescent="0.25">
      <c r="B16" s="177"/>
      <c r="D16" s="172"/>
      <c r="E16" s="172"/>
      <c r="F16" s="172"/>
      <c r="H16" s="172"/>
      <c r="I16" s="172"/>
      <c r="J16" s="172"/>
      <c r="M16" s="921" t="s">
        <v>565</v>
      </c>
      <c r="N16" s="921">
        <f>-2816.09-6744</f>
        <v>-9560.09</v>
      </c>
      <c r="O16" s="921"/>
      <c r="P16" s="921"/>
      <c r="Q16" s="921">
        <f t="shared" si="1"/>
        <v>-9560.09</v>
      </c>
    </row>
    <row r="17" spans="1:18" ht="12" thickBot="1" x14ac:dyDescent="0.3">
      <c r="B17" s="79" t="s">
        <v>100</v>
      </c>
      <c r="D17" s="178"/>
      <c r="E17" s="178"/>
      <c r="F17" s="178"/>
      <c r="H17" s="179">
        <f>SUM(H7:H16)</f>
        <v>935036192.47300768</v>
      </c>
      <c r="I17" s="179">
        <f>SUM(I7:I16)</f>
        <v>9350.3619247300776</v>
      </c>
      <c r="J17" s="179">
        <f>SUM(J7:J16)</f>
        <v>11738.929787266687</v>
      </c>
      <c r="K17" s="179">
        <f>SUM(K7:K16)</f>
        <v>11740</v>
      </c>
      <c r="L17" s="181"/>
      <c r="M17" s="922"/>
      <c r="N17" s="921">
        <f>SUM(N9:N16)</f>
        <v>824733529.28973806</v>
      </c>
      <c r="O17" s="921">
        <f>SUM(O9:O16)</f>
        <v>117617604.50364135</v>
      </c>
      <c r="P17" s="921">
        <f>SUM(P9:P16)</f>
        <v>234612.43696857663</v>
      </c>
      <c r="Q17" s="921">
        <f>SUM(Q9:Q16)</f>
        <v>942585746.23034787</v>
      </c>
    </row>
    <row r="18" spans="1:18" ht="12" thickTop="1" x14ac:dyDescent="0.25">
      <c r="B18" s="79"/>
      <c r="C18" s="178"/>
      <c r="D18" s="178"/>
      <c r="E18" s="178"/>
      <c r="F18" s="178"/>
      <c r="G18" s="178"/>
      <c r="H18" s="178"/>
      <c r="I18" s="178"/>
      <c r="J18" s="178"/>
      <c r="L18" s="181"/>
      <c r="M18" s="922" t="s">
        <v>566</v>
      </c>
      <c r="N18" s="921">
        <f>SUMIF('Standalone TB'!$AB:$AB,"Trade receivables",'Standalone TB'!$H:$H)</f>
        <v>819385470.04478288</v>
      </c>
      <c r="O18" s="921">
        <f>SUMIF('Standalone TB'!$AB:$AB,"Trade receivables",'Standalone TB'!$N:$N)</f>
        <v>115416109.99125597</v>
      </c>
      <c r="P18" s="921">
        <f>SUMIF('Standalone TB'!$AB:$AB,"Trade receivables",'Standalone TB'!$U:$U)</f>
        <v>234612.43696857663</v>
      </c>
      <c r="Q18" s="956">
        <f>SUMIF('Standalone TB'!$AB:$AB,"Trade receivables",'Standalone TB'!$X:$X)</f>
        <v>935036192.47300768</v>
      </c>
    </row>
    <row r="19" spans="1:18" x14ac:dyDescent="0.25">
      <c r="B19" s="1121" t="s">
        <v>567</v>
      </c>
      <c r="C19" s="1121"/>
      <c r="D19" s="1121"/>
      <c r="E19" s="1121"/>
      <c r="F19" s="771"/>
      <c r="G19" s="771"/>
      <c r="H19" s="771"/>
      <c r="I19" s="771"/>
      <c r="J19" s="771"/>
      <c r="L19" s="181"/>
      <c r="M19" s="922"/>
      <c r="N19" s="923">
        <f>N17-N18</f>
        <v>5348059.2449551821</v>
      </c>
      <c r="O19" s="923">
        <f>O17-O18</f>
        <v>2201494.5123853832</v>
      </c>
      <c r="P19" s="923">
        <f>P17-P18</f>
        <v>0</v>
      </c>
      <c r="Q19" s="921">
        <f>Q17-Q18</f>
        <v>7549553.7573401928</v>
      </c>
      <c r="R19" s="17" t="s">
        <v>568</v>
      </c>
    </row>
    <row r="20" spans="1:18" ht="25" customHeight="1" x14ac:dyDescent="0.25">
      <c r="B20" s="1122" t="s">
        <v>569</v>
      </c>
      <c r="C20" s="1122"/>
      <c r="D20" s="1122"/>
      <c r="E20" s="1122"/>
      <c r="F20" s="1122"/>
      <c r="G20" s="1122"/>
      <c r="H20" s="1122"/>
      <c r="I20" s="1122"/>
      <c r="J20" s="1122"/>
      <c r="K20" s="181"/>
      <c r="L20" s="181"/>
      <c r="M20" s="181"/>
    </row>
    <row r="21" spans="1:18" ht="7.4" customHeight="1" x14ac:dyDescent="0.25">
      <c r="B21" s="771"/>
      <c r="C21" s="771"/>
      <c r="D21" s="771"/>
      <c r="E21" s="771"/>
      <c r="F21" s="771"/>
      <c r="G21" s="771"/>
      <c r="H21" s="771"/>
      <c r="I21" s="771"/>
      <c r="J21" s="771"/>
      <c r="K21" s="181"/>
      <c r="L21" s="181"/>
    </row>
    <row r="22" spans="1:18" x14ac:dyDescent="0.25">
      <c r="A22" s="17" t="str">
        <f>A5&amp;".1"</f>
        <v>8.1</v>
      </c>
      <c r="B22" s="3" t="str">
        <f>"Note "&amp;A22&amp;": Trade receivables Ageing as at 31 March 2025"</f>
        <v>Note 8.1: Trade receivables Ageing as at 31 March 2025</v>
      </c>
      <c r="C22" s="771"/>
      <c r="D22" s="771"/>
      <c r="E22" s="771"/>
      <c r="F22" s="771"/>
      <c r="G22" s="771"/>
      <c r="H22" s="771"/>
      <c r="I22" s="771"/>
      <c r="J22" s="771"/>
      <c r="K22" s="181"/>
      <c r="L22" s="181"/>
      <c r="M22" s="181"/>
    </row>
    <row r="23" spans="1:18" x14ac:dyDescent="0.25">
      <c r="C23" s="79"/>
      <c r="D23" s="293" t="s">
        <v>570</v>
      </c>
      <c r="E23" s="79"/>
      <c r="F23" s="79"/>
      <c r="G23" s="79"/>
      <c r="H23" s="79"/>
      <c r="I23" s="79"/>
      <c r="J23" s="79"/>
    </row>
    <row r="24" spans="1:18" ht="23" x14ac:dyDescent="0.25">
      <c r="B24" s="786"/>
      <c r="C24" s="787" t="s">
        <v>571</v>
      </c>
      <c r="D24" s="787" t="s">
        <v>572</v>
      </c>
      <c r="E24" s="788" t="s">
        <v>573</v>
      </c>
      <c r="F24" s="788" t="s">
        <v>574</v>
      </c>
      <c r="G24" s="789" t="s">
        <v>485</v>
      </c>
      <c r="H24" s="789" t="s">
        <v>486</v>
      </c>
      <c r="I24" s="789" t="s">
        <v>575</v>
      </c>
      <c r="J24" s="790" t="s">
        <v>100</v>
      </c>
      <c r="M24" s="921"/>
      <c r="N24" s="921" t="s">
        <v>549</v>
      </c>
      <c r="O24" s="921" t="s">
        <v>550</v>
      </c>
      <c r="P24" s="921" t="s">
        <v>551</v>
      </c>
      <c r="Q24" s="921" t="s">
        <v>100</v>
      </c>
    </row>
    <row r="25" spans="1:18" x14ac:dyDescent="0.25">
      <c r="B25" s="1022" t="s">
        <v>576</v>
      </c>
      <c r="C25" s="1023">
        <f>I15+I14</f>
        <v>3366.5583474271357</v>
      </c>
      <c r="D25" s="1024">
        <f>C25</f>
        <v>3366.5583474271357</v>
      </c>
      <c r="E25" s="1025">
        <f>Q26/10^5-E26</f>
        <v>4184.2565922430949</v>
      </c>
      <c r="F25" s="1025">
        <f>Q27/10^5-F26</f>
        <v>952.35949310735202</v>
      </c>
      <c r="G25" s="1025">
        <f>SUM(Q28/10^5)</f>
        <v>844.5979733175601</v>
      </c>
      <c r="H25" s="1025">
        <f>Q29/10^5</f>
        <v>2.5895289271719042</v>
      </c>
      <c r="I25" s="1025">
        <f>Q30/10^5</f>
        <v>0</v>
      </c>
      <c r="J25" s="1025">
        <f>SUM(D25:I25)</f>
        <v>9350.3619350223144</v>
      </c>
      <c r="K25" s="1026"/>
      <c r="L25" s="1026"/>
      <c r="M25" s="921"/>
      <c r="N25" s="921"/>
      <c r="O25" s="921"/>
      <c r="P25" s="921"/>
      <c r="Q25" s="921"/>
    </row>
    <row r="26" spans="1:18" ht="25" customHeight="1" x14ac:dyDescent="0.25">
      <c r="B26" s="978" t="s">
        <v>577</v>
      </c>
      <c r="C26" s="1027"/>
      <c r="D26" s="1028"/>
      <c r="E26" s="1029">
        <f>2082213.69374969/10^5</f>
        <v>20.8221369374969</v>
      </c>
      <c r="F26" s="1029">
        <f>5467335.87068808/10^5</f>
        <v>54.673358706880798</v>
      </c>
      <c r="G26" s="1029"/>
      <c r="H26" s="1029"/>
      <c r="I26" s="1029">
        <f>0</f>
        <v>0</v>
      </c>
      <c r="J26" s="1026">
        <f>SUM(D26:I26)</f>
        <v>75.495495644377698</v>
      </c>
      <c r="K26" s="1026"/>
      <c r="L26" s="1026"/>
      <c r="M26" s="922" t="s">
        <v>578</v>
      </c>
      <c r="N26" s="921">
        <v>383636942.40000004</v>
      </c>
      <c r="O26" s="921">
        <f>1559338.635*$O$1+547852</f>
        <v>36870930.518059149</v>
      </c>
      <c r="P26" s="921"/>
      <c r="Q26" s="921">
        <f t="shared" ref="Q26:Q30" si="2">SUM(N26:P26)</f>
        <v>420507872.91805917</v>
      </c>
    </row>
    <row r="27" spans="1:18" x14ac:dyDescent="0.25">
      <c r="B27" s="1030" t="s">
        <v>579</v>
      </c>
      <c r="C27" s="1027"/>
      <c r="D27" s="1028"/>
      <c r="E27" s="1029">
        <f>-E26</f>
        <v>-20.8221369374969</v>
      </c>
      <c r="F27" s="1029">
        <f>-F26</f>
        <v>-54.673358706880798</v>
      </c>
      <c r="G27" s="1029"/>
      <c r="H27" s="1029"/>
      <c r="I27" s="1029">
        <v>0</v>
      </c>
      <c r="J27" s="1026">
        <f>SUM(D27:I27)</f>
        <v>-75.495495644377698</v>
      </c>
      <c r="K27" s="1026"/>
      <c r="L27" s="1026"/>
      <c r="M27" s="922" t="s">
        <v>580</v>
      </c>
      <c r="N27" s="921">
        <v>75382302.049999982</v>
      </c>
      <c r="O27" s="921">
        <f>1087022.05*O1</f>
        <v>25320983.131423291</v>
      </c>
      <c r="P27" s="921"/>
      <c r="Q27" s="921">
        <f t="shared" si="2"/>
        <v>100703285.18142328</v>
      </c>
    </row>
    <row r="28" spans="1:18" x14ac:dyDescent="0.25">
      <c r="B28" s="1030" t="s">
        <v>581</v>
      </c>
      <c r="C28" s="1027"/>
      <c r="D28" s="1028"/>
      <c r="E28" s="1029"/>
      <c r="F28" s="1029"/>
      <c r="G28" s="1029"/>
      <c r="H28" s="1029"/>
      <c r="I28" s="1029">
        <v>0</v>
      </c>
      <c r="J28" s="1026">
        <f t="shared" ref="J28:J30" si="3">SUM(D28:I28)</f>
        <v>0</v>
      </c>
      <c r="K28" s="1026"/>
      <c r="L28" s="1026"/>
      <c r="M28" s="922" t="s">
        <v>582</v>
      </c>
      <c r="N28" s="921">
        <v>30801850.080000002</v>
      </c>
      <c r="O28" s="921">
        <f>2293447.4*O1</f>
        <v>53423334.814787425</v>
      </c>
      <c r="P28" s="921">
        <f>2741.96*P1</f>
        <v>234612.43696857675</v>
      </c>
      <c r="Q28" s="921">
        <f t="shared" si="2"/>
        <v>84459797.331756011</v>
      </c>
    </row>
    <row r="29" spans="1:18" ht="25" customHeight="1" x14ac:dyDescent="0.25">
      <c r="B29" s="1030" t="s">
        <v>583</v>
      </c>
      <c r="C29" s="1027"/>
      <c r="D29" s="1028"/>
      <c r="E29" s="1029"/>
      <c r="F29" s="1029"/>
      <c r="G29" s="1029"/>
      <c r="H29" s="1029"/>
      <c r="I29" s="1029">
        <v>0</v>
      </c>
      <c r="J29" s="1026">
        <f t="shared" si="3"/>
        <v>0</v>
      </c>
      <c r="K29" s="1026"/>
      <c r="L29" s="1026"/>
      <c r="M29" s="922" t="s">
        <v>584</v>
      </c>
      <c r="N29" s="921">
        <v>30706.68</v>
      </c>
      <c r="O29" s="921">
        <f>9798.54*O1</f>
        <v>228246.21271719041</v>
      </c>
      <c r="P29" s="921"/>
      <c r="Q29" s="921">
        <f t="shared" si="2"/>
        <v>258952.89271719041</v>
      </c>
    </row>
    <row r="30" spans="1:18" x14ac:dyDescent="0.25">
      <c r="B30" s="1030" t="s">
        <v>585</v>
      </c>
      <c r="C30" s="1027"/>
      <c r="D30" s="1028"/>
      <c r="E30" s="1029"/>
      <c r="F30" s="1029"/>
      <c r="G30" s="1029"/>
      <c r="H30" s="1029"/>
      <c r="I30" s="1029">
        <v>0</v>
      </c>
      <c r="J30" s="1026">
        <f t="shared" si="3"/>
        <v>0</v>
      </c>
      <c r="K30" s="1026"/>
      <c r="L30" s="1026"/>
      <c r="M30" s="922" t="s">
        <v>586</v>
      </c>
      <c r="N30" s="921"/>
      <c r="O30" s="921"/>
      <c r="P30" s="921"/>
      <c r="Q30" s="921">
        <f t="shared" si="2"/>
        <v>0</v>
      </c>
    </row>
    <row r="31" spans="1:18" x14ac:dyDescent="0.25">
      <c r="B31" s="79" t="s">
        <v>100</v>
      </c>
      <c r="C31" s="785">
        <f>SUM(C25:C30)</f>
        <v>3366.5583474271357</v>
      </c>
      <c r="D31" s="785">
        <f t="shared" ref="D31" si="4">SUM(D25:D30)</f>
        <v>3366.5583474271357</v>
      </c>
      <c r="E31" s="785">
        <f>SUM(E25:E30)</f>
        <v>4184.2565922430949</v>
      </c>
      <c r="F31" s="785">
        <f>SUM(F25:F30)</f>
        <v>952.35949310735202</v>
      </c>
      <c r="G31" s="785">
        <f t="shared" ref="G31:J31" si="5">SUM(G25:G30)</f>
        <v>844.5979733175601</v>
      </c>
      <c r="H31" s="785">
        <f>SUM(H25:H30)</f>
        <v>2.5895289271719042</v>
      </c>
      <c r="I31" s="785">
        <f t="shared" si="5"/>
        <v>0</v>
      </c>
      <c r="J31" s="785">
        <f t="shared" si="5"/>
        <v>9350.3619350223144</v>
      </c>
      <c r="M31" s="922" t="s">
        <v>100</v>
      </c>
      <c r="N31" s="921">
        <f>SUM(N26:N30)</f>
        <v>489851801.21000004</v>
      </c>
      <c r="O31" s="921">
        <f>SUM(O26:O30)</f>
        <v>115843494.67698707</v>
      </c>
      <c r="P31" s="921">
        <f>SUM(P26:P30)</f>
        <v>234612.43696857675</v>
      </c>
      <c r="Q31" s="921">
        <f>SUM(Q26:Q30)</f>
        <v>605929908.32395566</v>
      </c>
    </row>
    <row r="32" spans="1:18" x14ac:dyDescent="0.25">
      <c r="B32" s="3"/>
      <c r="C32" s="79"/>
      <c r="D32" s="79"/>
      <c r="E32" s="79"/>
      <c r="F32" s="79"/>
      <c r="G32" s="79"/>
      <c r="H32" s="79"/>
      <c r="I32" s="79"/>
      <c r="J32" s="79"/>
    </row>
    <row r="33" spans="1:17" x14ac:dyDescent="0.25">
      <c r="B33" s="3" t="s">
        <v>587</v>
      </c>
      <c r="C33" s="79"/>
      <c r="D33" s="79"/>
      <c r="E33" s="79"/>
      <c r="F33" s="79"/>
      <c r="G33" s="79"/>
      <c r="H33" s="79"/>
      <c r="I33" s="79"/>
      <c r="J33" s="79"/>
      <c r="M33" s="181"/>
    </row>
    <row r="34" spans="1:17" x14ac:dyDescent="0.25">
      <c r="C34" s="79"/>
      <c r="D34" s="293" t="s">
        <v>570</v>
      </c>
      <c r="E34" s="79"/>
      <c r="F34" s="79"/>
      <c r="G34" s="79"/>
      <c r="H34" s="79"/>
      <c r="I34" s="79"/>
      <c r="J34" s="79"/>
      <c r="M34" s="181"/>
      <c r="N34" s="17">
        <f>SUM(N9:N13)-N31</f>
        <v>0.22000002861022949</v>
      </c>
      <c r="O34" s="17">
        <f>SUM(O9:O13)-O31</f>
        <v>-0.19922371208667755</v>
      </c>
      <c r="P34" s="17">
        <f>P17-P31</f>
        <v>0</v>
      </c>
      <c r="Q34" s="17">
        <f>SUM(Q9:Q13)-Q31</f>
        <v>2.0776271820068359E-2</v>
      </c>
    </row>
    <row r="35" spans="1:17" ht="23" x14ac:dyDescent="0.25">
      <c r="B35" s="786"/>
      <c r="C35" s="787" t="s">
        <v>571</v>
      </c>
      <c r="D35" s="787" t="s">
        <v>572</v>
      </c>
      <c r="E35" s="788" t="s">
        <v>573</v>
      </c>
      <c r="F35" s="788" t="s">
        <v>574</v>
      </c>
      <c r="G35" s="789" t="s">
        <v>485</v>
      </c>
      <c r="H35" s="789" t="s">
        <v>486</v>
      </c>
      <c r="I35" s="789" t="s">
        <v>575</v>
      </c>
      <c r="J35" s="790" t="s">
        <v>100</v>
      </c>
    </row>
    <row r="36" spans="1:17" x14ac:dyDescent="0.25">
      <c r="B36" s="1022" t="s">
        <v>576</v>
      </c>
      <c r="C36" s="1023">
        <v>1878.1639557660101</v>
      </c>
      <c r="D36" s="1023">
        <v>1878.1639557660101</v>
      </c>
      <c r="E36" s="1025">
        <v>8970.4153139620266</v>
      </c>
      <c r="F36" s="1025">
        <v>260.26891790654037</v>
      </c>
      <c r="G36" s="1025">
        <v>153.48361404912998</v>
      </c>
      <c r="H36" s="1025">
        <v>476.59798558296001</v>
      </c>
      <c r="I36" s="1025">
        <v>0</v>
      </c>
      <c r="J36" s="1025">
        <f>SUM(D36:I36)</f>
        <v>11738.929787266667</v>
      </c>
    </row>
    <row r="37" spans="1:17" ht="25" customHeight="1" x14ac:dyDescent="0.25">
      <c r="B37" s="978" t="s">
        <v>577</v>
      </c>
      <c r="C37" s="1031">
        <v>0</v>
      </c>
      <c r="D37" s="1032">
        <v>0</v>
      </c>
      <c r="E37" s="1029">
        <v>44.814612732303402</v>
      </c>
      <c r="F37" s="1029">
        <v>3.8353779530596697</v>
      </c>
      <c r="G37" s="1029">
        <v>0</v>
      </c>
      <c r="H37" s="1029"/>
      <c r="I37" s="1029">
        <v>0</v>
      </c>
      <c r="J37" s="1026">
        <f t="shared" ref="J37:J41" si="6">SUM(E37:I37)</f>
        <v>48.649990685363072</v>
      </c>
    </row>
    <row r="38" spans="1:17" x14ac:dyDescent="0.25">
      <c r="B38" s="1030" t="s">
        <v>579</v>
      </c>
      <c r="C38" s="1031">
        <v>0</v>
      </c>
      <c r="D38" s="1032">
        <v>0</v>
      </c>
      <c r="E38" s="1029">
        <v>-44.814612732303402</v>
      </c>
      <c r="F38" s="1029">
        <v>-3.8353779530596697</v>
      </c>
      <c r="G38" s="1029">
        <v>0</v>
      </c>
      <c r="H38" s="1029"/>
      <c r="I38" s="1029">
        <v>0</v>
      </c>
      <c r="J38" s="1026">
        <f t="shared" si="6"/>
        <v>-48.649990685363072</v>
      </c>
    </row>
    <row r="39" spans="1:17" x14ac:dyDescent="0.25">
      <c r="B39" s="1030" t="s">
        <v>581</v>
      </c>
      <c r="C39" s="1031">
        <v>0</v>
      </c>
      <c r="D39" s="1032">
        <v>0</v>
      </c>
      <c r="E39" s="1029">
        <v>0</v>
      </c>
      <c r="F39" s="1029">
        <v>0</v>
      </c>
      <c r="G39" s="1029">
        <v>0</v>
      </c>
      <c r="H39" s="1029"/>
      <c r="I39" s="1029">
        <v>0</v>
      </c>
      <c r="J39" s="1026">
        <f t="shared" si="6"/>
        <v>0</v>
      </c>
    </row>
    <row r="40" spans="1:17" ht="25" customHeight="1" x14ac:dyDescent="0.25">
      <c r="B40" s="1030" t="s">
        <v>583</v>
      </c>
      <c r="C40" s="1031">
        <v>0</v>
      </c>
      <c r="D40" s="1032">
        <v>0</v>
      </c>
      <c r="E40" s="1029">
        <v>0</v>
      </c>
      <c r="F40" s="1029">
        <v>0</v>
      </c>
      <c r="G40" s="1029">
        <v>0</v>
      </c>
      <c r="H40" s="1029"/>
      <c r="I40" s="1029">
        <v>0</v>
      </c>
      <c r="J40" s="1026">
        <f t="shared" si="6"/>
        <v>0</v>
      </c>
    </row>
    <row r="41" spans="1:17" x14ac:dyDescent="0.25">
      <c r="B41" s="1030" t="s">
        <v>585</v>
      </c>
      <c r="C41" s="1031">
        <v>0</v>
      </c>
      <c r="D41" s="1032">
        <v>0</v>
      </c>
      <c r="E41" s="1029">
        <v>0</v>
      </c>
      <c r="F41" s="1029">
        <v>0</v>
      </c>
      <c r="G41" s="1029">
        <v>0</v>
      </c>
      <c r="H41" s="1029"/>
      <c r="I41" s="1029">
        <v>0</v>
      </c>
      <c r="J41" s="1026">
        <f t="shared" si="6"/>
        <v>0</v>
      </c>
    </row>
    <row r="42" spans="1:17" x14ac:dyDescent="0.25">
      <c r="B42" s="79" t="s">
        <v>100</v>
      </c>
      <c r="C42" s="785">
        <f t="shared" ref="C42:J42" si="7">SUM(C36:C41)</f>
        <v>1878.1639557660101</v>
      </c>
      <c r="D42" s="785">
        <f t="shared" si="7"/>
        <v>1878.1639557660101</v>
      </c>
      <c r="E42" s="785">
        <f t="shared" si="7"/>
        <v>8970.4153139620266</v>
      </c>
      <c r="F42" s="785">
        <f t="shared" si="7"/>
        <v>260.26891790654037</v>
      </c>
      <c r="G42" s="785">
        <f t="shared" si="7"/>
        <v>153.48361404912998</v>
      </c>
      <c r="H42" s="785">
        <f t="shared" si="7"/>
        <v>476.59798558296001</v>
      </c>
      <c r="I42" s="785">
        <f t="shared" si="7"/>
        <v>0</v>
      </c>
      <c r="J42" s="785">
        <f t="shared" si="7"/>
        <v>11738.929787266667</v>
      </c>
    </row>
    <row r="43" spans="1:17" x14ac:dyDescent="0.25">
      <c r="B43" s="3"/>
      <c r="C43" s="79"/>
      <c r="D43" s="79"/>
      <c r="E43" s="79"/>
      <c r="F43" s="79"/>
      <c r="G43" s="79"/>
      <c r="H43" s="79"/>
      <c r="I43" s="79"/>
      <c r="J43" s="79"/>
    </row>
    <row r="44" spans="1:17" x14ac:dyDescent="0.25">
      <c r="C44" s="178"/>
      <c r="D44" s="178"/>
      <c r="E44" s="178"/>
      <c r="F44" s="178"/>
      <c r="G44" s="178"/>
      <c r="H44" s="178"/>
      <c r="I44" s="178"/>
      <c r="J44" s="178"/>
      <c r="K44" s="181"/>
      <c r="L44" s="181"/>
    </row>
    <row r="45" spans="1:17" ht="12.65" customHeight="1" x14ac:dyDescent="0.25">
      <c r="A45" s="17" t="str">
        <f>A5&amp;".2"</f>
        <v>8.2</v>
      </c>
      <c r="B45" s="3" t="str">
        <f>"Note "&amp;A45&amp;": Movement of expected credit loss"</f>
        <v>Note 8.2: Movement of expected credit loss</v>
      </c>
      <c r="D45" s="178"/>
      <c r="E45" s="178"/>
      <c r="F45" s="178"/>
      <c r="G45" s="178"/>
      <c r="H45" s="178"/>
      <c r="I45" s="178"/>
      <c r="J45" s="178"/>
      <c r="K45" s="181"/>
      <c r="L45" s="181"/>
      <c r="M45" s="181"/>
    </row>
    <row r="46" spans="1:17" ht="34.5" x14ac:dyDescent="0.25">
      <c r="B46" s="171"/>
      <c r="F46" s="783"/>
      <c r="G46" s="783"/>
      <c r="H46" s="93" t="str">
        <f>H6</f>
        <v>As at 
31 March 2025</v>
      </c>
      <c r="I46" s="93" t="str">
        <f>I6</f>
        <v>As at 
31 March 2025</v>
      </c>
      <c r="J46" s="93" t="str">
        <f>J6</f>
        <v>As at 
31 March 2024</v>
      </c>
      <c r="K46" s="181"/>
      <c r="L46" s="181"/>
      <c r="M46" s="181"/>
      <c r="O46" s="306"/>
      <c r="P46" s="306"/>
    </row>
    <row r="47" spans="1:17" ht="12.65" customHeight="1" x14ac:dyDescent="0.25">
      <c r="B47" s="306" t="s">
        <v>588</v>
      </c>
      <c r="F47" s="172"/>
      <c r="G47" s="172"/>
      <c r="H47" s="183">
        <f>I47*10^5</f>
        <v>4864999.365953628</v>
      </c>
      <c r="I47" s="821">
        <f>J51</f>
        <v>48.649993659536278</v>
      </c>
      <c r="J47" s="172">
        <v>123.77849910595019</v>
      </c>
      <c r="K47" s="181"/>
      <c r="L47" s="181"/>
      <c r="M47" s="181"/>
      <c r="N47" s="657"/>
      <c r="O47" s="657"/>
      <c r="P47" s="658"/>
    </row>
    <row r="48" spans="1:17" ht="12.65" customHeight="1" x14ac:dyDescent="0.25">
      <c r="B48" s="117" t="s">
        <v>589</v>
      </c>
      <c r="F48" s="172"/>
      <c r="G48" s="172"/>
      <c r="H48" s="183">
        <f>'17-25'!C177</f>
        <v>2632863.047970132</v>
      </c>
      <c r="I48" s="821">
        <f>H48/10^5</f>
        <v>26.328630479701321</v>
      </c>
      <c r="J48" s="172">
        <v>52.628683288923909</v>
      </c>
      <c r="K48" s="181"/>
      <c r="L48" s="181"/>
      <c r="M48" s="181"/>
      <c r="N48" s="657"/>
      <c r="O48" s="657"/>
      <c r="P48" s="658"/>
    </row>
    <row r="49" spans="1:17" ht="12.65" customHeight="1" x14ac:dyDescent="0.25">
      <c r="B49" s="117" t="s">
        <v>590</v>
      </c>
      <c r="F49" s="172"/>
      <c r="G49" s="172"/>
      <c r="H49" s="183"/>
      <c r="I49" s="821">
        <f>H49/10^5</f>
        <v>0</v>
      </c>
      <c r="J49" s="172">
        <v>-128.93393873533782</v>
      </c>
      <c r="K49" s="181"/>
      <c r="L49" s="181"/>
      <c r="M49" s="181"/>
      <c r="N49" s="657"/>
      <c r="O49" s="657"/>
      <c r="P49" s="657"/>
    </row>
    <row r="50" spans="1:17" ht="12.65" customHeight="1" x14ac:dyDescent="0.25">
      <c r="B50" s="117" t="s">
        <v>591</v>
      </c>
      <c r="F50" s="172"/>
      <c r="G50" s="172"/>
      <c r="H50" s="183">
        <f>51687.15</f>
        <v>51687.15</v>
      </c>
      <c r="I50" s="821">
        <f>H50/10^5</f>
        <v>0.51687150000000004</v>
      </c>
      <c r="J50" s="172">
        <v>1.17675</v>
      </c>
      <c r="L50" s="181"/>
      <c r="N50" s="658"/>
      <c r="O50" s="658"/>
      <c r="P50" s="728"/>
      <c r="Q50" s="728"/>
    </row>
    <row r="51" spans="1:17" ht="12.65" customHeight="1" thickBot="1" x14ac:dyDescent="0.3">
      <c r="B51" s="184" t="s">
        <v>592</v>
      </c>
      <c r="F51" s="178"/>
      <c r="G51" s="178"/>
      <c r="H51" s="179">
        <f>SUM(H47:H50)</f>
        <v>7549549.5639237603</v>
      </c>
      <c r="I51" s="179">
        <f>SUM(I47:I50)</f>
        <v>75.495495639237589</v>
      </c>
      <c r="J51" s="179">
        <f>SUM(J47:J50)</f>
        <v>48.649993659536278</v>
      </c>
      <c r="K51" s="594"/>
      <c r="L51" s="181"/>
      <c r="M51" s="181"/>
      <c r="N51" s="657"/>
      <c r="O51" s="658"/>
      <c r="P51" s="306"/>
      <c r="Q51" s="43"/>
    </row>
    <row r="52" spans="1:17" ht="12.65" customHeight="1" thickTop="1" x14ac:dyDescent="0.25">
      <c r="B52" s="171"/>
      <c r="D52" s="178"/>
      <c r="E52" s="178"/>
      <c r="F52" s="178"/>
      <c r="G52" s="178"/>
      <c r="H52" s="178"/>
      <c r="I52" s="178"/>
      <c r="J52" s="178"/>
      <c r="K52" s="181"/>
      <c r="L52" s="181"/>
      <c r="M52" s="181"/>
      <c r="N52" s="657"/>
      <c r="O52" s="658"/>
      <c r="P52" s="306"/>
    </row>
    <row r="53" spans="1:17" x14ac:dyDescent="0.25">
      <c r="A53" s="17">
        <f>A5+1</f>
        <v>9</v>
      </c>
      <c r="B53" s="153" t="str">
        <f>"Note "&amp;A53&amp;": Cash and cash equivalents"</f>
        <v>Note 9: Cash and cash equivalents</v>
      </c>
      <c r="C53" s="36"/>
      <c r="D53" s="36"/>
      <c r="E53" s="36"/>
      <c r="F53" s="36"/>
      <c r="G53" s="36"/>
      <c r="H53" s="36"/>
      <c r="I53" s="36"/>
      <c r="J53" s="36"/>
      <c r="O53" s="727"/>
      <c r="P53" s="657"/>
    </row>
    <row r="54" spans="1:17" ht="25.5" customHeight="1" x14ac:dyDescent="0.25">
      <c r="B54" s="36"/>
      <c r="C54" s="101"/>
      <c r="F54" s="783"/>
      <c r="G54" s="783"/>
      <c r="H54" s="93" t="str">
        <f>H46</f>
        <v>As at 
31 March 2025</v>
      </c>
      <c r="I54" s="93" t="str">
        <f>I46</f>
        <v>As at 
31 March 2025</v>
      </c>
      <c r="J54" s="93" t="str">
        <f>J6</f>
        <v>As at 
31 March 2024</v>
      </c>
      <c r="O54" s="727"/>
      <c r="P54" s="657"/>
    </row>
    <row r="55" spans="1:17" x14ac:dyDescent="0.25">
      <c r="B55" s="825" t="s">
        <v>231</v>
      </c>
      <c r="F55" s="185"/>
      <c r="G55" s="185"/>
      <c r="H55" s="186"/>
      <c r="I55" s="90"/>
      <c r="J55" s="185"/>
    </row>
    <row r="56" spans="1:17" x14ac:dyDescent="0.25">
      <c r="A56" s="17" t="s">
        <v>593</v>
      </c>
      <c r="B56" s="302" t="s">
        <v>232</v>
      </c>
      <c r="F56" s="90"/>
      <c r="G56" s="90"/>
      <c r="H56" s="60">
        <f>SUMIFS('Standalone TB'!$X:$X,'Standalone TB'!$Z:$Z,'8-10'!$A56)</f>
        <v>478660357.37155271</v>
      </c>
      <c r="I56" s="90">
        <f>H56/10^5</f>
        <v>4786.6035737155271</v>
      </c>
      <c r="J56" s="90">
        <v>2722.5791630040003</v>
      </c>
    </row>
    <row r="57" spans="1:17" x14ac:dyDescent="0.25">
      <c r="A57" s="17" t="s">
        <v>594</v>
      </c>
      <c r="B57" s="302" t="s">
        <v>233</v>
      </c>
      <c r="F57" s="90"/>
      <c r="G57" s="90"/>
      <c r="H57" s="60">
        <f>SUMIFS('Standalone TB'!$X:$X,'Standalone TB'!$Z:$Z,'8-10'!$A57)</f>
        <v>71104921.469999999</v>
      </c>
      <c r="I57" s="90">
        <f>H57/10^5</f>
        <v>711.04921469999999</v>
      </c>
      <c r="J57" s="90">
        <v>64.1944163</v>
      </c>
      <c r="K57" s="107"/>
    </row>
    <row r="58" spans="1:17" x14ac:dyDescent="0.25">
      <c r="B58" s="302" t="s">
        <v>595</v>
      </c>
      <c r="F58" s="90"/>
      <c r="G58" s="90"/>
      <c r="H58" s="187">
        <f>0</f>
        <v>0</v>
      </c>
      <c r="I58" s="90">
        <f>H58/10^5</f>
        <v>0</v>
      </c>
      <c r="J58" s="90">
        <v>1100</v>
      </c>
      <c r="K58" s="107"/>
    </row>
    <row r="59" spans="1:17" x14ac:dyDescent="0.25">
      <c r="B59" s="188" t="s">
        <v>230</v>
      </c>
      <c r="C59" s="90"/>
      <c r="F59" s="90"/>
      <c r="G59" s="90"/>
      <c r="H59" s="187">
        <f>0</f>
        <v>0</v>
      </c>
      <c r="I59" s="90">
        <f>H59/10^5</f>
        <v>0</v>
      </c>
      <c r="J59" s="90">
        <v>0</v>
      </c>
      <c r="K59" s="189"/>
    </row>
    <row r="60" spans="1:17" ht="12" thickBot="1" x14ac:dyDescent="0.3">
      <c r="B60" s="79" t="s">
        <v>100</v>
      </c>
      <c r="C60" s="153"/>
      <c r="F60" s="153"/>
      <c r="G60" s="153"/>
      <c r="H60" s="191">
        <f>SUM(H55:H59)</f>
        <v>549765278.84155273</v>
      </c>
      <c r="I60" s="191">
        <f>SUM(I55:I59)</f>
        <v>5497.6527884155275</v>
      </c>
      <c r="J60" s="191">
        <f>SUM(J55:J59)</f>
        <v>3886.7735793040001</v>
      </c>
    </row>
    <row r="61" spans="1:17" ht="12" thickTop="1" x14ac:dyDescent="0.25">
      <c r="B61" s="104"/>
      <c r="C61" s="153"/>
      <c r="D61" s="153"/>
      <c r="E61" s="153"/>
      <c r="F61" s="153"/>
      <c r="G61" s="153"/>
      <c r="H61" s="153"/>
      <c r="I61" s="153"/>
      <c r="J61" s="153"/>
    </row>
    <row r="62" spans="1:17" s="192" customFormat="1" x14ac:dyDescent="0.25">
      <c r="B62" s="1123" t="s">
        <v>596</v>
      </c>
      <c r="C62" s="1123"/>
      <c r="D62" s="1123"/>
      <c r="E62" s="1123"/>
      <c r="F62" s="1123"/>
      <c r="G62" s="1123"/>
      <c r="H62" s="1123"/>
      <c r="I62" s="1123"/>
      <c r="J62" s="1123"/>
    </row>
    <row r="63" spans="1:17" s="192" customFormat="1" ht="28.5" customHeight="1" x14ac:dyDescent="0.25">
      <c r="B63" s="1123"/>
      <c r="C63" s="1123"/>
      <c r="D63" s="1123"/>
      <c r="E63" s="1123"/>
      <c r="F63" s="1123"/>
      <c r="G63" s="1123"/>
      <c r="H63" s="1123"/>
      <c r="I63" s="1123"/>
      <c r="J63" s="1123"/>
    </row>
    <row r="64" spans="1:17" s="192" customFormat="1" x14ac:dyDescent="0.25">
      <c r="B64" s="1121" t="s">
        <v>597</v>
      </c>
      <c r="C64" s="1121"/>
      <c r="D64" s="1121"/>
      <c r="E64" s="1121"/>
      <c r="F64" s="1121"/>
      <c r="G64" s="1121"/>
      <c r="H64" s="1121"/>
      <c r="I64" s="1121"/>
      <c r="J64" s="1121"/>
    </row>
    <row r="65" spans="1:13" s="192" customFormat="1" x14ac:dyDescent="0.25">
      <c r="B65" s="1121"/>
      <c r="C65" s="1121"/>
      <c r="D65" s="1121"/>
      <c r="E65" s="1121"/>
      <c r="F65" s="1121"/>
      <c r="G65" s="1121"/>
      <c r="H65" s="1121"/>
      <c r="I65" s="1121"/>
      <c r="J65" s="1121"/>
    </row>
    <row r="67" spans="1:13" s="19" customFormat="1" x14ac:dyDescent="0.25">
      <c r="A67" s="17">
        <f>A53+1</f>
        <v>10</v>
      </c>
      <c r="B67" s="3" t="str">
        <f>"Note "&amp;A67&amp;": Bank balances other than cash and cash equivalents"</f>
        <v>Note 10: Bank balances other than cash and cash equivalents</v>
      </c>
    </row>
    <row r="68" spans="1:13" s="19" customFormat="1" ht="34.5" x14ac:dyDescent="0.25">
      <c r="F68" s="783"/>
      <c r="G68" s="783"/>
      <c r="H68" s="93" t="str">
        <f>H6</f>
        <v>As at 
31 March 2025</v>
      </c>
      <c r="I68" s="93" t="str">
        <f>I6</f>
        <v>As at 
31 March 2025</v>
      </c>
      <c r="J68" s="93" t="str">
        <f>J6</f>
        <v>As at 
31 March 2024</v>
      </c>
    </row>
    <row r="69" spans="1:13" s="19" customFormat="1" x14ac:dyDescent="0.25">
      <c r="A69" s="19" t="s">
        <v>598</v>
      </c>
      <c r="B69" s="19" t="s">
        <v>599</v>
      </c>
      <c r="F69" s="116"/>
      <c r="G69" s="116"/>
      <c r="H69" s="60">
        <f>SUMIFS('Standalone TB'!$X:$X,'Standalone TB'!$Z:$Z,'8-10'!$A69)-'5-7'!C13-'5-7'!C23</f>
        <v>240205.59999999963</v>
      </c>
      <c r="I69" s="116">
        <f>H69/10^5</f>
        <v>2.4020559999999964</v>
      </c>
      <c r="J69" s="116">
        <v>2247.8617684000001</v>
      </c>
      <c r="K69" s="17">
        <f>H69+H58+'5-7'!C23+'5-7'!C13</f>
        <v>5578412.2599999998</v>
      </c>
      <c r="L69" s="17">
        <f>J69+J58+'5-7'!E23+'5-7'!E13</f>
        <v>3519.8617684000001</v>
      </c>
      <c r="M69" s="17">
        <f>L69*10^5</f>
        <v>351986176.84000003</v>
      </c>
    </row>
    <row r="70" spans="1:13" s="19" customFormat="1" ht="12" thickBot="1" x14ac:dyDescent="0.3">
      <c r="B70" s="19" t="s">
        <v>600</v>
      </c>
      <c r="F70" s="784"/>
      <c r="G70" s="784"/>
      <c r="H70" s="463">
        <f>SUM(H69:H69)</f>
        <v>240205.59999999963</v>
      </c>
      <c r="I70" s="463">
        <f>SUM(I69:I69)</f>
        <v>2.4020559999999964</v>
      </c>
      <c r="J70" s="463">
        <f>SUM(J69:J69)</f>
        <v>2247.8617684000001</v>
      </c>
    </row>
    <row r="71" spans="1:13" s="19" customFormat="1" ht="12" thickTop="1" x14ac:dyDescent="0.25"/>
    <row r="75" spans="1:13" s="110" customFormat="1" x14ac:dyDescent="0.35">
      <c r="B75" s="1109" t="s">
        <v>601</v>
      </c>
      <c r="C75" s="1109"/>
      <c r="D75" s="1109"/>
      <c r="E75" s="1109"/>
      <c r="F75" s="622"/>
      <c r="G75" s="622"/>
      <c r="H75" s="622"/>
      <c r="I75" s="622"/>
      <c r="J75" s="622"/>
    </row>
  </sheetData>
  <mergeCells count="5">
    <mergeCell ref="B19:E19"/>
    <mergeCell ref="B75:E75"/>
    <mergeCell ref="B20:J20"/>
    <mergeCell ref="B62:J63"/>
    <mergeCell ref="B64:J65"/>
  </mergeCells>
  <pageMargins left="0.23622047244094491" right="0.23622047244094491" top="0.74803149606299213" bottom="0.74803149606299213" header="0.31496062992125984" footer="0.31496062992125984"/>
  <pageSetup paperSize="9" scale="72" orientation="portrait" r:id="rId1"/>
  <rowBreaks count="1" manualBreakCount="1">
    <brk id="71" min="1" max="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EE306-0576-48AB-80EF-95B4DD4759D5}">
  <sheetPr>
    <tabColor rgb="FF7030A0"/>
  </sheetPr>
  <dimension ref="A1:W164"/>
  <sheetViews>
    <sheetView showGridLines="0" view="pageBreakPreview" topLeftCell="A140" zoomScale="90" zoomScaleNormal="100" zoomScaleSheetLayoutView="90" workbookViewId="0">
      <selection activeCell="G141" sqref="G141"/>
    </sheetView>
  </sheetViews>
  <sheetFormatPr defaultColWidth="9.1796875" defaultRowHeight="11.5" outlineLevelRow="1" x14ac:dyDescent="0.25"/>
  <cols>
    <col min="1" max="1" width="4.1796875" style="17" bestFit="1" customWidth="1"/>
    <col min="2" max="2" width="3.1796875" style="17" customWidth="1"/>
    <col min="3" max="3" width="17.1796875" style="19" customWidth="1"/>
    <col min="4" max="4" width="28.81640625" style="131" customWidth="1"/>
    <col min="5" max="8" width="18.54296875" style="17" customWidth="1"/>
    <col min="9" max="9" width="15.1796875" style="17" bestFit="1" customWidth="1"/>
    <col min="10" max="10" width="16" style="17" bestFit="1" customWidth="1"/>
    <col min="11" max="11" width="16.81640625" style="17" bestFit="1" customWidth="1"/>
    <col min="12" max="13" width="12.81640625" style="17" bestFit="1" customWidth="1"/>
    <col min="14" max="20" width="9.1796875" style="17" customWidth="1"/>
    <col min="21" max="21" width="11.1796875" style="17" bestFit="1" customWidth="1"/>
    <col min="22" max="22" width="12.81640625" style="17" bestFit="1" customWidth="1"/>
    <col min="23" max="23" width="13.1796875" style="17" bestFit="1" customWidth="1"/>
    <col min="24" max="24" width="15" style="17" bestFit="1" customWidth="1"/>
    <col min="25" max="16384" width="9.1796875" style="17"/>
  </cols>
  <sheetData>
    <row r="1" spans="1:8" x14ac:dyDescent="0.25">
      <c r="B1" s="39" t="str">
        <f>'3-4'!B1</f>
        <v>Paladion Networks Private Limited</v>
      </c>
      <c r="E1" s="19"/>
      <c r="F1" s="19"/>
      <c r="G1" s="19"/>
      <c r="H1" s="19"/>
    </row>
    <row r="2" spans="1:8" x14ac:dyDescent="0.25">
      <c r="A2" s="295"/>
      <c r="B2" s="39" t="str">
        <f>'3-4'!B2</f>
        <v>Summary of Material accounting policies and other explanatory information</v>
      </c>
      <c r="C2" s="53"/>
      <c r="D2" s="132"/>
      <c r="E2" s="53"/>
      <c r="F2" s="53"/>
      <c r="G2" s="53"/>
      <c r="H2" s="53"/>
    </row>
    <row r="3" spans="1:8" ht="12" x14ac:dyDescent="0.3">
      <c r="B3" s="231" t="str">
        <f>'3-4'!B3</f>
        <v>(Amounts are stated in ₹ lakhs, except share and per share data, unless ottherwise stated)</v>
      </c>
      <c r="C3" s="53"/>
      <c r="D3" s="132"/>
      <c r="E3" s="53"/>
      <c r="F3" s="53"/>
      <c r="G3" s="53"/>
      <c r="H3" s="53"/>
    </row>
    <row r="4" spans="1:8" x14ac:dyDescent="0.25">
      <c r="B4" s="1134"/>
      <c r="C4" s="1134"/>
      <c r="D4" s="1134"/>
      <c r="E4" s="1134"/>
      <c r="F4" s="1134"/>
      <c r="G4" s="1134"/>
      <c r="H4" s="1134"/>
    </row>
    <row r="5" spans="1:8" x14ac:dyDescent="0.25">
      <c r="A5" s="17">
        <f>'8-10'!A67+1</f>
        <v>11</v>
      </c>
      <c r="B5" s="53" t="str">
        <f>"Note "&amp;A5&amp;": Share capital"</f>
        <v>Note 11: Share capital</v>
      </c>
      <c r="C5" s="81"/>
      <c r="D5" s="133"/>
      <c r="E5" s="81"/>
      <c r="F5" s="81"/>
      <c r="G5" s="81"/>
      <c r="H5" s="81"/>
    </row>
    <row r="6" spans="1:8" x14ac:dyDescent="0.25">
      <c r="B6" s="79"/>
      <c r="C6" s="81"/>
      <c r="D6" s="133"/>
      <c r="E6" s="134"/>
      <c r="F6" s="134"/>
      <c r="G6" s="134"/>
      <c r="H6" s="134"/>
    </row>
    <row r="7" spans="1:8" x14ac:dyDescent="0.25">
      <c r="B7" s="79"/>
      <c r="C7" s="61" t="s">
        <v>602</v>
      </c>
      <c r="D7" s="133"/>
      <c r="E7" s="134"/>
      <c r="F7" s="134"/>
      <c r="G7" s="134"/>
      <c r="H7" s="134"/>
    </row>
    <row r="8" spans="1:8" x14ac:dyDescent="0.25">
      <c r="B8" s="79"/>
      <c r="C8" s="53"/>
      <c r="D8" s="133"/>
      <c r="E8" s="1130" t="s">
        <v>469</v>
      </c>
      <c r="F8" s="1135"/>
      <c r="G8" s="1130" t="s">
        <v>466</v>
      </c>
      <c r="H8" s="1135"/>
    </row>
    <row r="9" spans="1:8" ht="25.4" customHeight="1" x14ac:dyDescent="0.25">
      <c r="B9" s="79"/>
      <c r="C9" s="61"/>
      <c r="D9" s="133"/>
      <c r="E9" s="135" t="s">
        <v>603</v>
      </c>
      <c r="F9" s="136" t="s">
        <v>185</v>
      </c>
      <c r="G9" s="135" t="s">
        <v>603</v>
      </c>
      <c r="H9" s="136" t="s">
        <v>185</v>
      </c>
    </row>
    <row r="10" spans="1:8" x14ac:dyDescent="0.25">
      <c r="B10" s="79"/>
      <c r="C10" s="54" t="s">
        <v>604</v>
      </c>
      <c r="D10" s="133"/>
      <c r="E10" s="129">
        <f>G10</f>
        <v>10000</v>
      </c>
      <c r="F10" s="129">
        <f>H10</f>
        <v>1</v>
      </c>
      <c r="G10" s="129">
        <v>10000</v>
      </c>
      <c r="H10" s="129">
        <f>H16</f>
        <v>1</v>
      </c>
    </row>
    <row r="11" spans="1:8" x14ac:dyDescent="0.25">
      <c r="B11" s="79"/>
      <c r="C11" s="54" t="s">
        <v>605</v>
      </c>
      <c r="D11" s="133"/>
      <c r="E11" s="129">
        <f>G11</f>
        <v>1000000</v>
      </c>
      <c r="F11" s="129">
        <f>H11</f>
        <v>100</v>
      </c>
      <c r="G11" s="129">
        <v>1000000</v>
      </c>
      <c r="H11" s="129">
        <f>10000000/10^5</f>
        <v>100</v>
      </c>
    </row>
    <row r="12" spans="1:8" x14ac:dyDescent="0.25">
      <c r="B12" s="79"/>
      <c r="C12" s="54"/>
      <c r="D12" s="133"/>
      <c r="E12" s="129"/>
      <c r="F12" s="129"/>
      <c r="G12" s="129"/>
      <c r="H12" s="129"/>
    </row>
    <row r="13" spans="1:8" x14ac:dyDescent="0.25">
      <c r="B13" s="79"/>
      <c r="C13" s="61" t="s">
        <v>186</v>
      </c>
      <c r="D13" s="133"/>
      <c r="E13" s="134"/>
      <c r="F13" s="134"/>
      <c r="G13" s="134"/>
      <c r="H13" s="134"/>
    </row>
    <row r="14" spans="1:8" s="370" customFormat="1" x14ac:dyDescent="0.25">
      <c r="B14" s="134"/>
      <c r="C14" s="81"/>
      <c r="D14" s="133"/>
      <c r="E14" s="1130" t="str">
        <f>E8</f>
        <v>As at 31 March 2025</v>
      </c>
      <c r="F14" s="1135"/>
      <c r="G14" s="1130" t="str">
        <f>G8</f>
        <v>As at 31 March 2024</v>
      </c>
      <c r="H14" s="1135"/>
    </row>
    <row r="15" spans="1:8" ht="25.4" customHeight="1" x14ac:dyDescent="0.25">
      <c r="B15" s="79"/>
      <c r="C15" s="61"/>
      <c r="D15" s="133"/>
      <c r="E15" s="135" t="s">
        <v>603</v>
      </c>
      <c r="F15" s="136" t="s">
        <v>185</v>
      </c>
      <c r="G15" s="135" t="s">
        <v>603</v>
      </c>
      <c r="H15" s="136" t="s">
        <v>185</v>
      </c>
    </row>
    <row r="16" spans="1:8" x14ac:dyDescent="0.25">
      <c r="B16" s="79"/>
      <c r="C16" s="54" t="s">
        <v>604</v>
      </c>
      <c r="D16" s="133"/>
      <c r="E16" s="129">
        <f>G16</f>
        <v>10000</v>
      </c>
      <c r="F16" s="129">
        <f>H16</f>
        <v>1</v>
      </c>
      <c r="G16" s="129">
        <v>10000</v>
      </c>
      <c r="H16" s="129">
        <f>H28</f>
        <v>1</v>
      </c>
    </row>
    <row r="17" spans="2:11" x14ac:dyDescent="0.25">
      <c r="B17" s="79"/>
      <c r="C17" s="54" t="s">
        <v>605</v>
      </c>
      <c r="D17" s="133"/>
      <c r="E17" s="129">
        <f>G17</f>
        <v>496183</v>
      </c>
      <c r="F17" s="129">
        <f>H17</f>
        <v>49.618299999999998</v>
      </c>
      <c r="G17" s="129">
        <v>496183</v>
      </c>
      <c r="H17" s="129">
        <f>H33</f>
        <v>49.618299999999998</v>
      </c>
    </row>
    <row r="18" spans="2:11" x14ac:dyDescent="0.25">
      <c r="B18" s="79"/>
      <c r="C18" s="54"/>
      <c r="D18" s="133"/>
      <c r="E18" s="175">
        <f>SUM(E16:E17)</f>
        <v>506183</v>
      </c>
      <c r="F18" s="175">
        <f t="shared" ref="F18:H18" si="0">SUM(F16:F17)</f>
        <v>50.618299999999998</v>
      </c>
      <c r="G18" s="175">
        <f>SUM(G16:G17)</f>
        <v>506183</v>
      </c>
      <c r="H18" s="175">
        <f t="shared" si="0"/>
        <v>50.618299999999998</v>
      </c>
    </row>
    <row r="19" spans="2:11" x14ac:dyDescent="0.25">
      <c r="B19" s="79"/>
      <c r="C19" s="54"/>
      <c r="D19" s="133"/>
      <c r="E19" s="134"/>
      <c r="F19" s="134"/>
      <c r="G19" s="134"/>
      <c r="H19" s="134"/>
    </row>
    <row r="20" spans="2:11" x14ac:dyDescent="0.25">
      <c r="B20" s="79"/>
      <c r="C20" s="53" t="s">
        <v>606</v>
      </c>
      <c r="D20" s="133"/>
      <c r="E20" s="129"/>
      <c r="F20" s="129"/>
      <c r="G20" s="129"/>
      <c r="H20" s="129"/>
    </row>
    <row r="21" spans="2:11" x14ac:dyDescent="0.25">
      <c r="B21" s="62" t="s">
        <v>607</v>
      </c>
      <c r="C21" s="39" t="s">
        <v>608</v>
      </c>
      <c r="D21" s="137"/>
      <c r="E21" s="134"/>
      <c r="F21" s="134"/>
      <c r="G21" s="77"/>
      <c r="H21" s="77"/>
      <c r="I21" s="19"/>
      <c r="J21" s="19"/>
      <c r="K21" s="19"/>
    </row>
    <row r="22" spans="2:11" x14ac:dyDescent="0.25">
      <c r="B22" s="60"/>
      <c r="C22" s="54"/>
      <c r="D22" s="137"/>
      <c r="E22" s="138"/>
      <c r="F22" s="139"/>
      <c r="G22" s="135" t="s">
        <v>603</v>
      </c>
      <c r="H22" s="136" t="s">
        <v>185</v>
      </c>
    </row>
    <row r="23" spans="2:11" x14ac:dyDescent="0.25">
      <c r="B23" s="60"/>
      <c r="C23" s="53" t="s">
        <v>609</v>
      </c>
      <c r="D23" s="137"/>
      <c r="E23" s="138"/>
      <c r="F23" s="139"/>
      <c r="G23" s="138"/>
      <c r="H23" s="139"/>
    </row>
    <row r="24" spans="2:11" s="3" customFormat="1" x14ac:dyDescent="0.25">
      <c r="B24" s="79"/>
      <c r="C24" s="53" t="s">
        <v>610</v>
      </c>
      <c r="D24" s="132"/>
      <c r="E24" s="134"/>
      <c r="F24" s="134"/>
      <c r="G24" s="17">
        <v>10000</v>
      </c>
      <c r="H24" s="17">
        <f>(G24*10)/10^5</f>
        <v>1</v>
      </c>
    </row>
    <row r="25" spans="2:11" s="3" customFormat="1" x14ac:dyDescent="0.25">
      <c r="B25" s="79"/>
      <c r="C25" s="54" t="s">
        <v>103</v>
      </c>
      <c r="D25" s="132"/>
      <c r="G25" s="78" t="s">
        <v>174</v>
      </c>
      <c r="H25" s="78" t="s">
        <v>174</v>
      </c>
      <c r="I25" s="56"/>
      <c r="J25" s="56"/>
    </row>
    <row r="26" spans="2:11" x14ac:dyDescent="0.25">
      <c r="B26" s="60"/>
      <c r="C26" s="53" t="s">
        <v>191</v>
      </c>
      <c r="D26" s="137"/>
      <c r="G26" s="77">
        <f>SUM(G24:G25)</f>
        <v>10000</v>
      </c>
      <c r="H26" s="77">
        <f>SUM(H24:H25)</f>
        <v>1</v>
      </c>
      <c r="I26" s="57"/>
      <c r="J26" s="57"/>
    </row>
    <row r="27" spans="2:11" s="3" customFormat="1" x14ac:dyDescent="0.25">
      <c r="B27" s="79"/>
      <c r="C27" s="54" t="s">
        <v>103</v>
      </c>
      <c r="D27" s="132"/>
      <c r="G27" s="78" t="s">
        <v>174</v>
      </c>
      <c r="H27" s="78" t="s">
        <v>174</v>
      </c>
      <c r="I27" s="55"/>
      <c r="J27" s="55"/>
    </row>
    <row r="28" spans="2:11" s="3" customFormat="1" x14ac:dyDescent="0.25">
      <c r="B28" s="79"/>
      <c r="C28" s="53" t="s">
        <v>611</v>
      </c>
      <c r="D28" s="132"/>
      <c r="G28" s="86">
        <f>SUM(G26:G27)</f>
        <v>10000</v>
      </c>
      <c r="H28" s="86">
        <f>SUM(H26:H27)</f>
        <v>1</v>
      </c>
      <c r="I28" s="55"/>
      <c r="J28" s="55"/>
    </row>
    <row r="29" spans="2:11" s="3" customFormat="1" x14ac:dyDescent="0.25">
      <c r="B29" s="79"/>
      <c r="C29" s="53"/>
      <c r="D29" s="132"/>
      <c r="G29" s="55"/>
      <c r="H29" s="55"/>
      <c r="I29" s="55"/>
      <c r="J29" s="55"/>
    </row>
    <row r="30" spans="2:11" x14ac:dyDescent="0.25">
      <c r="B30" s="60"/>
      <c r="C30" s="53" t="s">
        <v>612</v>
      </c>
      <c r="D30" s="137"/>
      <c r="E30" s="138"/>
      <c r="F30" s="139"/>
      <c r="G30" s="138"/>
      <c r="H30" s="139"/>
    </row>
    <row r="31" spans="2:11" s="3" customFormat="1" x14ac:dyDescent="0.25">
      <c r="B31" s="79"/>
      <c r="C31" s="53" t="s">
        <v>610</v>
      </c>
      <c r="D31" s="132"/>
      <c r="E31" s="134"/>
      <c r="F31" s="134"/>
      <c r="G31" s="78">
        <v>496183</v>
      </c>
      <c r="H31" s="78">
        <f>(G31*10)/10^5</f>
        <v>49.618299999999998</v>
      </c>
    </row>
    <row r="32" spans="2:11" s="3" customFormat="1" x14ac:dyDescent="0.25">
      <c r="B32" s="79"/>
      <c r="C32" s="54" t="s">
        <v>103</v>
      </c>
      <c r="D32" s="132"/>
      <c r="G32" s="17">
        <v>0</v>
      </c>
      <c r="H32" s="17">
        <f>(G32*10)/10^5</f>
        <v>0</v>
      </c>
      <c r="I32" s="56"/>
      <c r="J32" s="56"/>
    </row>
    <row r="33" spans="2:10" x14ac:dyDescent="0.25">
      <c r="B33" s="60"/>
      <c r="C33" s="53" t="s">
        <v>191</v>
      </c>
      <c r="D33" s="137"/>
      <c r="G33" s="77">
        <f>SUM(G31:G32)</f>
        <v>496183</v>
      </c>
      <c r="H33" s="77">
        <f>SUM(H31:H32)</f>
        <v>49.618299999999998</v>
      </c>
      <c r="I33" s="57"/>
      <c r="J33" s="57"/>
    </row>
    <row r="34" spans="2:10" s="3" customFormat="1" x14ac:dyDescent="0.25">
      <c r="B34" s="79"/>
      <c r="C34" s="54" t="s">
        <v>103</v>
      </c>
      <c r="D34" s="132"/>
      <c r="G34" s="57" t="s">
        <v>174</v>
      </c>
      <c r="H34" s="78" t="s">
        <v>174</v>
      </c>
      <c r="I34" s="55"/>
      <c r="J34" s="55"/>
    </row>
    <row r="35" spans="2:10" s="3" customFormat="1" x14ac:dyDescent="0.25">
      <c r="B35" s="79"/>
      <c r="C35" s="53" t="s">
        <v>611</v>
      </c>
      <c r="D35" s="132"/>
      <c r="G35" s="105">
        <f>SUM(G33:G34)</f>
        <v>496183</v>
      </c>
      <c r="H35" s="105">
        <f>SUM(H33:H34)</f>
        <v>49.618299999999998</v>
      </c>
      <c r="I35" s="55"/>
      <c r="J35" s="55"/>
    </row>
    <row r="36" spans="2:10" s="3" customFormat="1" x14ac:dyDescent="0.25">
      <c r="B36" s="79"/>
      <c r="C36" s="53"/>
      <c r="D36" s="132"/>
      <c r="G36" s="55"/>
      <c r="H36" s="55"/>
      <c r="I36" s="55"/>
      <c r="J36" s="55"/>
    </row>
    <row r="37" spans="2:10" ht="12" customHeight="1" x14ac:dyDescent="0.25">
      <c r="B37" s="53" t="s">
        <v>613</v>
      </c>
      <c r="C37" s="53" t="s">
        <v>614</v>
      </c>
      <c r="D37" s="137"/>
      <c r="E37" s="134"/>
      <c r="F37" s="134"/>
      <c r="G37" s="77"/>
      <c r="H37" s="77"/>
    </row>
    <row r="38" spans="2:10" ht="19" customHeight="1" x14ac:dyDescent="0.25">
      <c r="B38" s="53"/>
      <c r="C38" s="1121" t="s">
        <v>615</v>
      </c>
      <c r="D38" s="1121"/>
      <c r="E38" s="1121"/>
      <c r="F38" s="1121"/>
      <c r="G38" s="1121"/>
      <c r="H38" s="1121"/>
    </row>
    <row r="39" spans="2:10" ht="19" customHeight="1" x14ac:dyDescent="0.25">
      <c r="B39" s="53"/>
      <c r="C39" s="1121"/>
      <c r="D39" s="1121"/>
      <c r="E39" s="1121"/>
      <c r="F39" s="1121"/>
      <c r="G39" s="1121"/>
      <c r="H39" s="1121"/>
    </row>
    <row r="40" spans="2:10" ht="19" customHeight="1" x14ac:dyDescent="0.25">
      <c r="C40" s="1121"/>
      <c r="D40" s="1121"/>
      <c r="E40" s="1121"/>
      <c r="F40" s="1121"/>
      <c r="G40" s="1121"/>
      <c r="H40" s="1121"/>
    </row>
    <row r="41" spans="2:10" x14ac:dyDescent="0.25">
      <c r="C41" s="140"/>
      <c r="D41" s="140"/>
      <c r="E41" s="140"/>
      <c r="F41" s="140"/>
      <c r="G41" s="140"/>
      <c r="H41" s="140"/>
    </row>
    <row r="42" spans="2:10" ht="15" customHeight="1" x14ac:dyDescent="0.25">
      <c r="B42" s="53" t="s">
        <v>616</v>
      </c>
      <c r="C42" s="39" t="s">
        <v>617</v>
      </c>
      <c r="E42" s="313"/>
      <c r="F42" s="313"/>
      <c r="G42" s="141"/>
      <c r="H42" s="141"/>
    </row>
    <row r="43" spans="2:10" ht="19" customHeight="1" x14ac:dyDescent="0.25">
      <c r="C43" s="1121" t="s">
        <v>618</v>
      </c>
      <c r="D43" s="1121"/>
      <c r="E43" s="1121"/>
      <c r="F43" s="1121"/>
      <c r="G43" s="1121"/>
      <c r="H43" s="1121"/>
    </row>
    <row r="44" spans="2:10" ht="19" customHeight="1" x14ac:dyDescent="0.25">
      <c r="C44" s="1121"/>
      <c r="D44" s="1121"/>
      <c r="E44" s="1121"/>
      <c r="F44" s="1121"/>
      <c r="G44" s="1121"/>
      <c r="H44" s="1121"/>
    </row>
    <row r="45" spans="2:10" ht="19" customHeight="1" x14ac:dyDescent="0.25">
      <c r="B45" s="79"/>
      <c r="C45" s="1121"/>
      <c r="D45" s="1121"/>
      <c r="E45" s="1121"/>
      <c r="F45" s="1121"/>
      <c r="G45" s="1121"/>
      <c r="H45" s="1121"/>
    </row>
    <row r="46" spans="2:10" ht="14.9" customHeight="1" x14ac:dyDescent="0.25">
      <c r="B46" s="79"/>
      <c r="C46" s="140"/>
      <c r="D46" s="142"/>
      <c r="E46" s="140"/>
      <c r="F46" s="140"/>
      <c r="G46" s="140"/>
      <c r="H46" s="140"/>
    </row>
    <row r="47" spans="2:10" hidden="1" x14ac:dyDescent="0.25">
      <c r="B47" s="3"/>
      <c r="C47" s="3"/>
      <c r="D47" s="143"/>
    </row>
    <row r="48" spans="2:10" hidden="1" x14ac:dyDescent="0.25">
      <c r="B48" s="79" t="s">
        <v>619</v>
      </c>
      <c r="C48" s="79"/>
      <c r="D48" s="132"/>
      <c r="E48" s="79"/>
      <c r="F48" s="79"/>
      <c r="G48" s="79"/>
    </row>
    <row r="49" spans="2:8" hidden="1" x14ac:dyDescent="0.25">
      <c r="B49" s="3" t="s">
        <v>620</v>
      </c>
      <c r="C49" s="39"/>
      <c r="D49" s="143"/>
      <c r="E49" s="79"/>
      <c r="F49" s="79"/>
      <c r="G49" s="79"/>
    </row>
    <row r="50" spans="2:8" ht="14.9" hidden="1" customHeight="1" x14ac:dyDescent="0.25">
      <c r="B50" s="79"/>
      <c r="C50" s="140"/>
      <c r="D50" s="142"/>
      <c r="E50" s="140"/>
      <c r="F50" s="140"/>
      <c r="G50" s="140"/>
      <c r="H50" s="140"/>
    </row>
    <row r="51" spans="2:8" x14ac:dyDescent="0.25">
      <c r="B51" s="53" t="s">
        <v>621</v>
      </c>
      <c r="C51" s="53" t="s">
        <v>622</v>
      </c>
      <c r="D51" s="137"/>
      <c r="E51" s="134"/>
      <c r="F51" s="134"/>
      <c r="G51" s="77"/>
      <c r="H51" s="77"/>
    </row>
    <row r="52" spans="2:8" ht="25.4" customHeight="1" x14ac:dyDescent="0.25">
      <c r="B52" s="79"/>
      <c r="C52" s="1131"/>
      <c r="D52" s="1131"/>
      <c r="E52" s="1136" t="str">
        <f>E8</f>
        <v>As at 31 March 2025</v>
      </c>
      <c r="F52" s="1137"/>
      <c r="G52" s="1136" t="str">
        <f>G8</f>
        <v>As at 31 March 2024</v>
      </c>
      <c r="H52" s="1137"/>
    </row>
    <row r="53" spans="2:8" ht="25.4" customHeight="1" x14ac:dyDescent="0.25">
      <c r="B53" s="60"/>
      <c r="D53" s="137"/>
      <c r="E53" s="144" t="s">
        <v>603</v>
      </c>
      <c r="F53" s="145" t="s">
        <v>623</v>
      </c>
      <c r="G53" s="144" t="s">
        <v>603</v>
      </c>
      <c r="H53" s="145" t="s">
        <v>623</v>
      </c>
    </row>
    <row r="54" spans="2:8" x14ac:dyDescent="0.25">
      <c r="B54" s="60"/>
      <c r="C54" s="53" t="s">
        <v>624</v>
      </c>
      <c r="D54" s="137"/>
      <c r="E54" s="89"/>
      <c r="F54" s="138"/>
      <c r="G54" s="89"/>
      <c r="H54" s="138"/>
    </row>
    <row r="55" spans="2:8" x14ac:dyDescent="0.25">
      <c r="B55" s="60"/>
      <c r="C55" s="1122" t="s">
        <v>625</v>
      </c>
      <c r="D55" s="1122"/>
      <c r="E55" s="146">
        <v>9999</v>
      </c>
      <c r="F55" s="758">
        <f>E55/$E$57</f>
        <v>0.99990000000000001</v>
      </c>
      <c r="G55" s="146">
        <v>9999</v>
      </c>
      <c r="H55" s="758">
        <f>G55/$E$57</f>
        <v>0.99990000000000001</v>
      </c>
    </row>
    <row r="56" spans="2:8" ht="22.5" customHeight="1" outlineLevel="1" x14ac:dyDescent="0.25">
      <c r="B56" s="60"/>
      <c r="C56" s="1122" t="s">
        <v>626</v>
      </c>
      <c r="D56" s="1122"/>
      <c r="E56" s="146">
        <v>1</v>
      </c>
      <c r="F56" s="758">
        <f>E56/E57</f>
        <v>1E-4</v>
      </c>
      <c r="G56" s="146">
        <v>1</v>
      </c>
      <c r="H56" s="758">
        <f>G56/G57</f>
        <v>1E-4</v>
      </c>
    </row>
    <row r="57" spans="2:8" x14ac:dyDescent="0.25">
      <c r="B57" s="79"/>
      <c r="C57" s="54"/>
      <c r="D57" s="137"/>
      <c r="E57" s="628">
        <f>SUM(E55:E56)</f>
        <v>10000</v>
      </c>
      <c r="F57" s="626">
        <f>SUM(F55:F56)</f>
        <v>1</v>
      </c>
      <c r="G57" s="628">
        <f>SUM(G55:G56)</f>
        <v>10000</v>
      </c>
      <c r="H57" s="626">
        <f>SUM(H55:H56)</f>
        <v>1</v>
      </c>
    </row>
    <row r="58" spans="2:8" x14ac:dyDescent="0.25">
      <c r="B58" s="60"/>
      <c r="C58" s="53" t="s">
        <v>605</v>
      </c>
      <c r="D58" s="137"/>
      <c r="E58" s="89"/>
      <c r="F58" s="138"/>
      <c r="G58" s="89"/>
      <c r="H58" s="138"/>
    </row>
    <row r="59" spans="2:8" ht="57" hidden="1" customHeight="1" outlineLevel="1" x14ac:dyDescent="0.25">
      <c r="B59" s="60"/>
      <c r="C59" s="1122" t="s">
        <v>627</v>
      </c>
      <c r="D59" s="1122"/>
      <c r="E59" s="146">
        <v>0</v>
      </c>
      <c r="F59" s="147">
        <f t="shared" ref="F59:F69" si="1">E59/$E$72</f>
        <v>0</v>
      </c>
      <c r="G59" s="146">
        <v>83800</v>
      </c>
      <c r="H59" s="147">
        <f t="shared" ref="H59:H69" si="2">G59/$G$72</f>
        <v>8.4444650461624041E-2</v>
      </c>
    </row>
    <row r="60" spans="2:8" ht="57" hidden="1" customHeight="1" outlineLevel="1" x14ac:dyDescent="0.25">
      <c r="B60" s="60"/>
      <c r="C60" s="1122" t="s">
        <v>628</v>
      </c>
      <c r="D60" s="1122"/>
      <c r="E60" s="146">
        <v>0</v>
      </c>
      <c r="F60" s="147">
        <f t="shared" si="1"/>
        <v>0</v>
      </c>
      <c r="G60" s="146">
        <v>210297</v>
      </c>
      <c r="H60" s="147">
        <f t="shared" si="2"/>
        <v>0.21191475725689918</v>
      </c>
    </row>
    <row r="61" spans="2:8" ht="57" hidden="1" customHeight="1" outlineLevel="1" x14ac:dyDescent="0.25">
      <c r="B61" s="60"/>
      <c r="C61" s="1122" t="s">
        <v>629</v>
      </c>
      <c r="D61" s="1122"/>
      <c r="E61" s="146">
        <v>0</v>
      </c>
      <c r="F61" s="147">
        <f t="shared" si="1"/>
        <v>0</v>
      </c>
      <c r="G61" s="146">
        <v>32131</v>
      </c>
      <c r="H61" s="147">
        <f t="shared" si="2"/>
        <v>3.2378174987857306E-2</v>
      </c>
    </row>
    <row r="62" spans="2:8" ht="57" hidden="1" customHeight="1" outlineLevel="1" x14ac:dyDescent="0.25">
      <c r="B62" s="60"/>
      <c r="C62" s="1122" t="s">
        <v>630</v>
      </c>
      <c r="D62" s="1122"/>
      <c r="E62" s="146">
        <v>0</v>
      </c>
      <c r="F62" s="147">
        <f t="shared" si="1"/>
        <v>0</v>
      </c>
      <c r="G62" s="146">
        <v>28639</v>
      </c>
      <c r="H62" s="147">
        <f t="shared" si="2"/>
        <v>2.8859311987714211E-2</v>
      </c>
    </row>
    <row r="63" spans="2:8" ht="57" hidden="1" customHeight="1" outlineLevel="1" x14ac:dyDescent="0.25">
      <c r="B63" s="60"/>
      <c r="C63" s="1122" t="s">
        <v>631</v>
      </c>
      <c r="D63" s="1122"/>
      <c r="E63" s="146">
        <v>0</v>
      </c>
      <c r="F63" s="147">
        <f t="shared" si="1"/>
        <v>0</v>
      </c>
      <c r="G63" s="146">
        <v>28639</v>
      </c>
      <c r="H63" s="147">
        <f t="shared" si="2"/>
        <v>2.8859311987714211E-2</v>
      </c>
    </row>
    <row r="64" spans="2:8" ht="57" hidden="1" customHeight="1" outlineLevel="1" x14ac:dyDescent="0.25">
      <c r="B64" s="60"/>
      <c r="C64" s="1122" t="s">
        <v>632</v>
      </c>
      <c r="D64" s="1122"/>
      <c r="E64" s="146">
        <v>0</v>
      </c>
      <c r="F64" s="147">
        <f t="shared" si="1"/>
        <v>0</v>
      </c>
      <c r="G64" s="146">
        <v>28639</v>
      </c>
      <c r="H64" s="147">
        <f t="shared" si="2"/>
        <v>2.8859311987714211E-2</v>
      </c>
    </row>
    <row r="65" spans="1:8" ht="57" hidden="1" customHeight="1" outlineLevel="1" x14ac:dyDescent="0.25">
      <c r="B65" s="60"/>
      <c r="C65" s="1122" t="s">
        <v>633</v>
      </c>
      <c r="D65" s="1122"/>
      <c r="E65" s="146">
        <v>0</v>
      </c>
      <c r="F65" s="147">
        <f t="shared" si="1"/>
        <v>0</v>
      </c>
      <c r="G65" s="146">
        <v>28639</v>
      </c>
      <c r="H65" s="147">
        <f t="shared" si="2"/>
        <v>2.8859311987714211E-2</v>
      </c>
    </row>
    <row r="66" spans="1:8" ht="57" hidden="1" customHeight="1" outlineLevel="1" x14ac:dyDescent="0.25">
      <c r="B66" s="60"/>
      <c r="C66" s="1122" t="s">
        <v>634</v>
      </c>
      <c r="D66" s="1122"/>
      <c r="E66" s="146">
        <v>0</v>
      </c>
      <c r="F66" s="147">
        <f t="shared" si="1"/>
        <v>0</v>
      </c>
      <c r="G66" s="146">
        <v>28639</v>
      </c>
      <c r="H66" s="147">
        <f t="shared" si="2"/>
        <v>2.8859311987714211E-2</v>
      </c>
    </row>
    <row r="67" spans="1:8" ht="57" hidden="1" customHeight="1" outlineLevel="1" x14ac:dyDescent="0.25">
      <c r="B67" s="60"/>
      <c r="C67" s="1122" t="s">
        <v>635</v>
      </c>
      <c r="D67" s="1122"/>
      <c r="E67" s="146">
        <v>0</v>
      </c>
      <c r="F67" s="147">
        <f t="shared" si="1"/>
        <v>0</v>
      </c>
      <c r="G67" s="146">
        <v>3394</v>
      </c>
      <c r="H67" s="147">
        <f t="shared" si="2"/>
        <v>3.4201091129684009E-3</v>
      </c>
    </row>
    <row r="68" spans="1:8" ht="57" hidden="1" customHeight="1" outlineLevel="1" x14ac:dyDescent="0.25">
      <c r="B68" s="60"/>
      <c r="C68" s="1122" t="s">
        <v>636</v>
      </c>
      <c r="D68" s="1122"/>
      <c r="E68" s="146">
        <v>0</v>
      </c>
      <c r="F68" s="147">
        <f t="shared" si="1"/>
        <v>0</v>
      </c>
      <c r="G68" s="146">
        <v>11683</v>
      </c>
      <c r="H68" s="147">
        <f t="shared" si="2"/>
        <v>1.1772874121040019E-2</v>
      </c>
    </row>
    <row r="69" spans="1:8" ht="57" hidden="1" customHeight="1" outlineLevel="1" x14ac:dyDescent="0.25">
      <c r="B69" s="60"/>
      <c r="C69" s="1122" t="s">
        <v>637</v>
      </c>
      <c r="D69" s="1122"/>
      <c r="E69" s="146">
        <v>0</v>
      </c>
      <c r="F69" s="147">
        <f t="shared" si="1"/>
        <v>0</v>
      </c>
      <c r="G69" s="146">
        <v>11683</v>
      </c>
      <c r="H69" s="147">
        <f t="shared" si="2"/>
        <v>1.1772874121040019E-2</v>
      </c>
    </row>
    <row r="70" spans="1:8" ht="13.5" hidden="1" customHeight="1" outlineLevel="1" x14ac:dyDescent="0.25">
      <c r="B70" s="60"/>
      <c r="C70" s="1122" t="s">
        <v>638</v>
      </c>
      <c r="D70" s="1122"/>
      <c r="E70" s="146"/>
      <c r="F70" s="147"/>
      <c r="G70" s="146">
        <v>496183</v>
      </c>
      <c r="H70" s="147">
        <v>1</v>
      </c>
    </row>
    <row r="71" spans="1:8" collapsed="1" x14ac:dyDescent="0.25">
      <c r="B71" s="60"/>
      <c r="C71" s="1122" t="s">
        <v>639</v>
      </c>
      <c r="D71" s="1122"/>
      <c r="E71" s="146">
        <v>496183</v>
      </c>
      <c r="F71" s="147">
        <f>E71/$E$72</f>
        <v>1</v>
      </c>
      <c r="G71" s="146">
        <v>496183</v>
      </c>
      <c r="H71" s="147">
        <f>G71/$E$72</f>
        <v>1</v>
      </c>
    </row>
    <row r="72" spans="1:8" ht="14.15" customHeight="1" x14ac:dyDescent="0.25">
      <c r="B72" s="3"/>
      <c r="E72" s="628">
        <f>SUM(E70:E71)</f>
        <v>496183</v>
      </c>
      <c r="F72" s="627">
        <f>SUM(F70:F71)</f>
        <v>1</v>
      </c>
      <c r="G72" s="628">
        <f>SUM(G70:G71)</f>
        <v>992366</v>
      </c>
      <c r="H72" s="627">
        <f>SUM(H70:H71)</f>
        <v>2</v>
      </c>
    </row>
    <row r="73" spans="1:8" ht="27" customHeight="1" x14ac:dyDescent="0.25">
      <c r="B73" s="3"/>
      <c r="C73" s="1132" t="s">
        <v>640</v>
      </c>
      <c r="D73" s="1132"/>
      <c r="E73" s="1132"/>
      <c r="F73" s="1132"/>
      <c r="G73" s="1132"/>
      <c r="H73" s="1132"/>
    </row>
    <row r="74" spans="1:8" ht="14.15" customHeight="1" x14ac:dyDescent="0.25">
      <c r="B74" s="3"/>
      <c r="C74" s="131" t="s">
        <v>641</v>
      </c>
      <c r="E74" s="114"/>
      <c r="F74" s="759"/>
      <c r="G74" s="114"/>
      <c r="H74" s="759"/>
    </row>
    <row r="75" spans="1:8" x14ac:dyDescent="0.25">
      <c r="B75" s="79" t="str">
        <f>B1</f>
        <v>Paladion Networks Private Limited</v>
      </c>
      <c r="C75" s="54"/>
      <c r="D75" s="137"/>
      <c r="E75" s="134"/>
      <c r="F75" s="134"/>
      <c r="G75" s="77"/>
      <c r="H75" s="77"/>
    </row>
    <row r="76" spans="1:8" x14ac:dyDescent="0.25">
      <c r="B76" s="79" t="str">
        <f>B2</f>
        <v>Summary of Material accounting policies and other explanatory information</v>
      </c>
      <c r="C76" s="54"/>
      <c r="D76" s="137"/>
      <c r="E76" s="134"/>
      <c r="F76" s="134"/>
      <c r="G76" s="77"/>
      <c r="H76" s="77"/>
    </row>
    <row r="77" spans="1:8" ht="12" x14ac:dyDescent="0.25">
      <c r="B77" s="130" t="str">
        <f>B3</f>
        <v>(Amounts are stated in ₹ lakhs, except share and per share data, unless ottherwise stated)</v>
      </c>
      <c r="C77" s="54"/>
      <c r="D77" s="137"/>
      <c r="E77" s="134"/>
      <c r="F77" s="134"/>
      <c r="G77" s="77"/>
      <c r="H77" s="77"/>
    </row>
    <row r="78" spans="1:8" x14ac:dyDescent="0.25">
      <c r="B78" s="79"/>
      <c r="C78" s="54"/>
      <c r="D78" s="137"/>
      <c r="E78" s="134"/>
      <c r="F78" s="134"/>
      <c r="G78" s="77"/>
      <c r="H78" s="77"/>
    </row>
    <row r="79" spans="1:8" x14ac:dyDescent="0.25">
      <c r="A79" s="17">
        <f>'8-10'!A143+11</f>
        <v>11</v>
      </c>
      <c r="B79" s="53" t="str">
        <f>"Note "&amp;A79&amp;": Share capital (Contd.)"</f>
        <v>Note 11: Share capital (Contd.)</v>
      </c>
      <c r="C79" s="81"/>
      <c r="D79" s="137"/>
      <c r="E79" s="134"/>
      <c r="F79" s="134"/>
      <c r="G79" s="77"/>
      <c r="H79" s="77"/>
    </row>
    <row r="80" spans="1:8" x14ac:dyDescent="0.25">
      <c r="B80" s="79"/>
      <c r="C80" s="54"/>
      <c r="D80" s="137"/>
      <c r="E80" s="134"/>
      <c r="F80" s="134"/>
      <c r="G80" s="77"/>
      <c r="H80" s="77"/>
    </row>
    <row r="81" spans="2:9" x14ac:dyDescent="0.25">
      <c r="B81" s="79" t="s">
        <v>642</v>
      </c>
      <c r="C81" s="53" t="s">
        <v>643</v>
      </c>
      <c r="D81" s="137"/>
      <c r="E81" s="134"/>
      <c r="F81" s="134"/>
      <c r="G81" s="77"/>
      <c r="H81" s="77"/>
    </row>
    <row r="82" spans="2:9" x14ac:dyDescent="0.25">
      <c r="B82" s="79"/>
      <c r="C82" s="1131" t="s">
        <v>644</v>
      </c>
      <c r="D82" s="1131"/>
      <c r="E82" s="1130" t="s">
        <v>469</v>
      </c>
      <c r="F82" s="1130"/>
      <c r="G82" s="1130" t="s">
        <v>466</v>
      </c>
      <c r="H82" s="1130"/>
      <c r="I82" s="370"/>
    </row>
    <row r="83" spans="2:9" x14ac:dyDescent="0.25">
      <c r="B83" s="60"/>
      <c r="D83" s="137"/>
      <c r="E83" s="144" t="s">
        <v>603</v>
      </c>
      <c r="F83" s="145" t="s">
        <v>623</v>
      </c>
      <c r="G83" s="144" t="s">
        <v>603</v>
      </c>
      <c r="H83" s="145" t="s">
        <v>623</v>
      </c>
    </row>
    <row r="84" spans="2:9" ht="12.65" customHeight="1" x14ac:dyDescent="0.25">
      <c r="B84" s="60"/>
      <c r="C84" s="53" t="s">
        <v>624</v>
      </c>
      <c r="D84" s="137"/>
      <c r="E84" s="89"/>
      <c r="F84" s="138"/>
      <c r="G84" s="89"/>
      <c r="H84" s="138"/>
    </row>
    <row r="85" spans="2:9" ht="12.65" customHeight="1" x14ac:dyDescent="0.25">
      <c r="B85" s="60"/>
      <c r="C85" s="1122" t="s">
        <v>645</v>
      </c>
      <c r="D85" s="1122"/>
      <c r="E85" s="146">
        <v>9999</v>
      </c>
      <c r="F85" s="761">
        <f>E85/10000</f>
        <v>0.99990000000000001</v>
      </c>
      <c r="G85" s="146">
        <v>9999</v>
      </c>
      <c r="H85" s="758">
        <f>G85/10000</f>
        <v>0.99990000000000001</v>
      </c>
    </row>
    <row r="86" spans="2:9" x14ac:dyDescent="0.25">
      <c r="B86" s="79"/>
      <c r="C86" s="54"/>
      <c r="D86" s="137"/>
      <c r="E86" s="628">
        <f>SUM(E85:E85)</f>
        <v>9999</v>
      </c>
      <c r="F86" s="762">
        <f>SUM(F85:F85)</f>
        <v>0.99990000000000001</v>
      </c>
      <c r="G86" s="628">
        <f>SUM(G85:G85)</f>
        <v>9999</v>
      </c>
      <c r="H86" s="762">
        <f>SUM(H85:H85)</f>
        <v>0.99990000000000001</v>
      </c>
    </row>
    <row r="87" spans="2:9" x14ac:dyDescent="0.25">
      <c r="B87" s="60"/>
      <c r="C87" s="53" t="s">
        <v>605</v>
      </c>
      <c r="D87" s="137"/>
      <c r="E87" s="89"/>
      <c r="F87" s="138"/>
      <c r="G87" s="89"/>
      <c r="H87" s="138"/>
    </row>
    <row r="88" spans="2:9" ht="12.65" hidden="1" customHeight="1" x14ac:dyDescent="0.25">
      <c r="B88" s="60"/>
      <c r="C88" s="1122" t="s">
        <v>627</v>
      </c>
      <c r="D88" s="1122"/>
      <c r="E88" s="146">
        <v>0</v>
      </c>
      <c r="F88" s="147">
        <f t="shared" ref="F88:F95" si="3">E88/$E$72</f>
        <v>0</v>
      </c>
      <c r="G88" s="146">
        <v>0</v>
      </c>
      <c r="H88" s="147">
        <f t="shared" ref="H88:H95" si="4">G88/496183</f>
        <v>0</v>
      </c>
    </row>
    <row r="89" spans="2:9" ht="12.65" hidden="1" customHeight="1" x14ac:dyDescent="0.25">
      <c r="B89" s="60"/>
      <c r="C89" s="1122" t="s">
        <v>628</v>
      </c>
      <c r="D89" s="1122"/>
      <c r="E89" s="146">
        <v>0</v>
      </c>
      <c r="F89" s="147">
        <f t="shared" si="3"/>
        <v>0</v>
      </c>
      <c r="G89" s="146">
        <v>0</v>
      </c>
      <c r="H89" s="147">
        <f t="shared" si="4"/>
        <v>0</v>
      </c>
    </row>
    <row r="90" spans="2:9" ht="12.65" hidden="1" customHeight="1" x14ac:dyDescent="0.25">
      <c r="B90" s="60"/>
      <c r="C90" s="1122" t="s">
        <v>629</v>
      </c>
      <c r="D90" s="1122"/>
      <c r="E90" s="146">
        <v>0</v>
      </c>
      <c r="F90" s="147">
        <f t="shared" si="3"/>
        <v>0</v>
      </c>
      <c r="G90" s="146">
        <v>0</v>
      </c>
      <c r="H90" s="147">
        <f t="shared" si="4"/>
        <v>0</v>
      </c>
    </row>
    <row r="91" spans="2:9" ht="12.65" hidden="1" customHeight="1" x14ac:dyDescent="0.25">
      <c r="B91" s="60"/>
      <c r="C91" s="1122" t="s">
        <v>630</v>
      </c>
      <c r="D91" s="1122"/>
      <c r="E91" s="146">
        <v>0</v>
      </c>
      <c r="F91" s="147">
        <f t="shared" si="3"/>
        <v>0</v>
      </c>
      <c r="G91" s="146">
        <v>0</v>
      </c>
      <c r="H91" s="147">
        <f t="shared" si="4"/>
        <v>0</v>
      </c>
    </row>
    <row r="92" spans="2:9" ht="12.65" hidden="1" customHeight="1" x14ac:dyDescent="0.25">
      <c r="B92" s="60"/>
      <c r="C92" s="1122" t="s">
        <v>631</v>
      </c>
      <c r="D92" s="1122"/>
      <c r="E92" s="146">
        <v>0</v>
      </c>
      <c r="F92" s="147">
        <f t="shared" si="3"/>
        <v>0</v>
      </c>
      <c r="G92" s="146">
        <v>0</v>
      </c>
      <c r="H92" s="147">
        <f t="shared" si="4"/>
        <v>0</v>
      </c>
    </row>
    <row r="93" spans="2:9" ht="12.65" hidden="1" customHeight="1" x14ac:dyDescent="0.25">
      <c r="B93" s="60"/>
      <c r="C93" s="1122" t="s">
        <v>632</v>
      </c>
      <c r="D93" s="1122"/>
      <c r="E93" s="146">
        <v>0</v>
      </c>
      <c r="F93" s="147">
        <f t="shared" si="3"/>
        <v>0</v>
      </c>
      <c r="G93" s="146">
        <v>0</v>
      </c>
      <c r="H93" s="147">
        <f t="shared" si="4"/>
        <v>0</v>
      </c>
    </row>
    <row r="94" spans="2:9" ht="12.65" hidden="1" customHeight="1" x14ac:dyDescent="0.25">
      <c r="B94" s="60"/>
      <c r="C94" s="1122" t="s">
        <v>633</v>
      </c>
      <c r="D94" s="1122"/>
      <c r="E94" s="146">
        <v>0</v>
      </c>
      <c r="F94" s="147">
        <f t="shared" si="3"/>
        <v>0</v>
      </c>
      <c r="G94" s="146">
        <v>0</v>
      </c>
      <c r="H94" s="147">
        <f t="shared" si="4"/>
        <v>0</v>
      </c>
    </row>
    <row r="95" spans="2:9" ht="12.65" hidden="1" customHeight="1" x14ac:dyDescent="0.25">
      <c r="B95" s="60"/>
      <c r="C95" s="1122" t="s">
        <v>634</v>
      </c>
      <c r="D95" s="1122"/>
      <c r="E95" s="146">
        <v>0</v>
      </c>
      <c r="F95" s="147">
        <f t="shared" si="3"/>
        <v>0</v>
      </c>
      <c r="G95" s="146">
        <v>0</v>
      </c>
      <c r="H95" s="147">
        <f t="shared" si="4"/>
        <v>0</v>
      </c>
    </row>
    <row r="96" spans="2:9" ht="12.65" customHeight="1" x14ac:dyDescent="0.25">
      <c r="B96" s="60"/>
      <c r="C96" s="82" t="s">
        <v>639</v>
      </c>
      <c r="D96" s="82"/>
      <c r="E96" s="146">
        <v>496183</v>
      </c>
      <c r="F96" s="147">
        <f>E96/E98</f>
        <v>1</v>
      </c>
      <c r="G96" s="146">
        <v>496183</v>
      </c>
      <c r="H96" s="147">
        <f>G96/G98</f>
        <v>1</v>
      </c>
    </row>
    <row r="97" spans="1:12" ht="12.65" customHeight="1" x14ac:dyDescent="0.25">
      <c r="B97" s="60"/>
      <c r="C97" s="1119" t="s">
        <v>638</v>
      </c>
      <c r="D97" s="1119"/>
      <c r="E97" s="146">
        <v>0</v>
      </c>
      <c r="F97" s="147" t="s">
        <v>174</v>
      </c>
      <c r="G97" s="146">
        <v>0</v>
      </c>
      <c r="H97" s="147" t="s">
        <v>174</v>
      </c>
    </row>
    <row r="98" spans="1:12" x14ac:dyDescent="0.25">
      <c r="B98" s="79"/>
      <c r="C98" s="54"/>
      <c r="D98" s="137"/>
      <c r="E98" s="628">
        <f>SUM(E88:E97)</f>
        <v>496183</v>
      </c>
      <c r="F98" s="626">
        <f>SUM(F88:F97)</f>
        <v>1</v>
      </c>
      <c r="G98" s="628">
        <f>SUM(G88:G97)</f>
        <v>496183</v>
      </c>
      <c r="H98" s="626">
        <f>SUM(H88:H97)</f>
        <v>1</v>
      </c>
    </row>
    <row r="99" spans="1:12" x14ac:dyDescent="0.25">
      <c r="B99" s="79"/>
      <c r="C99" s="54"/>
      <c r="D99" s="137"/>
      <c r="E99" s="138"/>
      <c r="F99" s="151"/>
      <c r="G99" s="152"/>
      <c r="H99" s="151"/>
    </row>
    <row r="100" spans="1:12" s="36" customFormat="1" ht="25.4" customHeight="1" x14ac:dyDescent="0.35">
      <c r="B100" s="153" t="s">
        <v>646</v>
      </c>
      <c r="C100" s="1101" t="s">
        <v>647</v>
      </c>
      <c r="D100" s="1101"/>
      <c r="E100" s="1101"/>
      <c r="F100" s="1101"/>
      <c r="G100" s="1101"/>
      <c r="H100" s="1101"/>
    </row>
    <row r="101" spans="1:12" s="36" customFormat="1" ht="11.5" customHeight="1" x14ac:dyDescent="0.35">
      <c r="B101" s="153"/>
      <c r="C101" s="306"/>
      <c r="D101" s="306"/>
      <c r="E101" s="306"/>
      <c r="F101" s="306"/>
      <c r="G101" s="306"/>
      <c r="H101" s="306"/>
    </row>
    <row r="102" spans="1:12" s="187" customFormat="1" x14ac:dyDescent="0.35">
      <c r="B102" s="81" t="s">
        <v>648</v>
      </c>
      <c r="C102" s="81" t="s">
        <v>649</v>
      </c>
      <c r="D102" s="134"/>
      <c r="E102" s="1130" t="str">
        <f>E82</f>
        <v>As at 31 March 2025</v>
      </c>
      <c r="F102" s="1130"/>
      <c r="G102" s="1130" t="str">
        <f>G82</f>
        <v>As at 31 March 2024</v>
      </c>
      <c r="H102" s="1130"/>
    </row>
    <row r="103" spans="1:12" s="187" customFormat="1" x14ac:dyDescent="0.25">
      <c r="B103" s="129"/>
      <c r="C103" s="492"/>
      <c r="D103" s="809"/>
      <c r="E103" s="144" t="s">
        <v>603</v>
      </c>
      <c r="F103" s="145" t="s">
        <v>623</v>
      </c>
      <c r="G103" s="144" t="s">
        <v>603</v>
      </c>
      <c r="H103" s="145" t="s">
        <v>623</v>
      </c>
    </row>
    <row r="104" spans="1:12" s="36" customFormat="1" x14ac:dyDescent="0.35">
      <c r="B104" s="60"/>
      <c r="C104" s="53" t="s">
        <v>650</v>
      </c>
      <c r="D104" s="137"/>
      <c r="E104" s="89"/>
      <c r="F104" s="138"/>
      <c r="G104" s="89"/>
      <c r="H104" s="138"/>
    </row>
    <row r="105" spans="1:12" s="36" customFormat="1" x14ac:dyDescent="0.35">
      <c r="B105" s="60"/>
      <c r="C105" s="1122" t="s">
        <v>645</v>
      </c>
      <c r="D105" s="1122"/>
      <c r="E105" s="146">
        <v>9999</v>
      </c>
      <c r="F105" s="758">
        <f>E105/E107</f>
        <v>0.99990000000000001</v>
      </c>
      <c r="G105" s="146">
        <v>9999</v>
      </c>
      <c r="H105" s="758">
        <f>G105/G107</f>
        <v>0.99990000000000001</v>
      </c>
    </row>
    <row r="106" spans="1:12" s="36" customFormat="1" ht="25" customHeight="1" x14ac:dyDescent="0.35">
      <c r="B106" s="60"/>
      <c r="C106" s="1122" t="str">
        <f>C56</f>
        <v>Eviden India Private Limited (formerly known as Atos India Private Limited)</v>
      </c>
      <c r="D106" s="1122"/>
      <c r="E106" s="146">
        <v>1</v>
      </c>
      <c r="F106" s="758">
        <f>E106/E107</f>
        <v>1E-4</v>
      </c>
      <c r="G106" s="146">
        <v>1</v>
      </c>
      <c r="H106" s="758">
        <f>G106/G107</f>
        <v>1E-4</v>
      </c>
    </row>
    <row r="107" spans="1:12" ht="12" thickBot="1" x14ac:dyDescent="0.3">
      <c r="B107" s="79"/>
      <c r="C107" s="164"/>
      <c r="D107" s="164"/>
      <c r="E107" s="165">
        <f>SUM(E105:E106)</f>
        <v>10000</v>
      </c>
      <c r="F107" s="149">
        <f>SUM(F105:F106)</f>
        <v>1</v>
      </c>
      <c r="G107" s="165">
        <f>SUM(G105:G106)</f>
        <v>10000</v>
      </c>
      <c r="H107" s="149">
        <f>SUM(H105:H106)</f>
        <v>1</v>
      </c>
    </row>
    <row r="108" spans="1:12" ht="12" thickTop="1" x14ac:dyDescent="0.25">
      <c r="B108" s="79"/>
      <c r="C108" s="164"/>
      <c r="D108" s="164"/>
      <c r="E108" s="114"/>
      <c r="F108" s="151"/>
      <c r="G108" s="114"/>
      <c r="H108" s="151"/>
    </row>
    <row r="109" spans="1:12" x14ac:dyDescent="0.25">
      <c r="A109" s="17">
        <f>A5+1</f>
        <v>12</v>
      </c>
      <c r="B109" s="79" t="str">
        <f>"Note "&amp;A109&amp;": Other equity"</f>
        <v>Note 12: Other equity</v>
      </c>
      <c r="F109" s="296"/>
      <c r="G109" s="611" t="str">
        <f>E8</f>
        <v>As at 31 March 2025</v>
      </c>
      <c r="H109" s="294" t="str">
        <f>G8</f>
        <v>As at 31 March 2024</v>
      </c>
    </row>
    <row r="110" spans="1:12" ht="7.4" customHeight="1" x14ac:dyDescent="0.25">
      <c r="B110" s="79"/>
      <c r="G110" s="78"/>
      <c r="H110" s="78"/>
    </row>
    <row r="111" spans="1:12" x14ac:dyDescent="0.25">
      <c r="B111" s="79"/>
      <c r="C111" s="27" t="s">
        <v>651</v>
      </c>
      <c r="F111" s="155"/>
      <c r="G111" s="78">
        <f>(G125)</f>
        <v>41916.539839999998</v>
      </c>
      <c r="H111" s="78">
        <v>41916.539839999998</v>
      </c>
      <c r="J111" s="19"/>
      <c r="K111" s="19"/>
      <c r="L111" s="19"/>
    </row>
    <row r="112" spans="1:12" x14ac:dyDescent="0.25">
      <c r="B112" s="79"/>
      <c r="C112" s="27" t="s">
        <v>652</v>
      </c>
      <c r="F112" s="155"/>
      <c r="G112" s="78">
        <f>(G134)</f>
        <v>-30439.833571277875</v>
      </c>
      <c r="H112" s="78">
        <v>-30551.564837207861</v>
      </c>
      <c r="J112" s="78"/>
      <c r="K112" s="27"/>
      <c r="L112" s="19"/>
    </row>
    <row r="113" spans="2:12" x14ac:dyDescent="0.25">
      <c r="B113" s="79"/>
      <c r="C113" s="15" t="s">
        <v>100</v>
      </c>
      <c r="E113" s="27"/>
      <c r="G113" s="29">
        <f>SUM(G111:G112)</f>
        <v>11476.706268722122</v>
      </c>
      <c r="H113" s="29">
        <f>SUM(H111:H112)</f>
        <v>11364.975002792136</v>
      </c>
      <c r="K113" s="19"/>
      <c r="L113" s="19"/>
    </row>
    <row r="114" spans="2:12" x14ac:dyDescent="0.25">
      <c r="B114" s="79"/>
      <c r="C114" s="27"/>
      <c r="E114" s="27"/>
      <c r="F114" s="27"/>
      <c r="G114" s="27"/>
      <c r="H114" s="27"/>
      <c r="J114" s="19"/>
      <c r="K114" s="19"/>
      <c r="L114" s="19"/>
    </row>
    <row r="115" spans="2:12" hidden="1" x14ac:dyDescent="0.25">
      <c r="C115" s="17"/>
      <c r="D115" s="137"/>
      <c r="E115" s="79"/>
      <c r="F115" s="79"/>
      <c r="G115" s="79"/>
      <c r="H115" s="79"/>
    </row>
    <row r="116" spans="2:12" hidden="1" x14ac:dyDescent="0.25">
      <c r="B116" s="3"/>
    </row>
    <row r="117" spans="2:12" hidden="1" x14ac:dyDescent="0.25">
      <c r="B117" s="3" t="s">
        <v>653</v>
      </c>
    </row>
    <row r="118" spans="2:12" hidden="1" x14ac:dyDescent="0.25">
      <c r="B118" s="3" t="s">
        <v>654</v>
      </c>
    </row>
    <row r="119" spans="2:12" hidden="1" x14ac:dyDescent="0.25"/>
    <row r="120" spans="2:12" hidden="1" x14ac:dyDescent="0.25">
      <c r="B120" s="79"/>
      <c r="C120" s="27"/>
      <c r="E120" s="27"/>
      <c r="G120" s="27"/>
      <c r="H120" s="27"/>
    </row>
    <row r="121" spans="2:12" s="60" customFormat="1" x14ac:dyDescent="0.35">
      <c r="B121" s="134" t="s">
        <v>253</v>
      </c>
      <c r="C121" s="94" t="s">
        <v>77</v>
      </c>
      <c r="D121" s="137"/>
      <c r="E121" s="94"/>
      <c r="G121" s="610" t="str">
        <f>G109</f>
        <v>As at 31 March 2025</v>
      </c>
      <c r="H121" s="610" t="str">
        <f>H109</f>
        <v>As at 31 March 2024</v>
      </c>
    </row>
    <row r="122" spans="2:12" ht="5.15" customHeight="1" x14ac:dyDescent="0.25">
      <c r="B122" s="134"/>
      <c r="C122" s="126"/>
      <c r="D122" s="137"/>
      <c r="E122" s="94"/>
      <c r="G122" s="75"/>
      <c r="H122" s="128"/>
    </row>
    <row r="123" spans="2:12" ht="15" customHeight="1" x14ac:dyDescent="0.25">
      <c r="B123" s="134"/>
      <c r="C123" s="65" t="s">
        <v>655</v>
      </c>
      <c r="D123" s="132"/>
      <c r="E123" s="94"/>
      <c r="G123" s="78">
        <f>H125</f>
        <v>41916.539839999998</v>
      </c>
      <c r="H123" s="78">
        <f>41917.53984*100000/10^5-1</f>
        <v>41916.539839999998</v>
      </c>
    </row>
    <row r="124" spans="2:12" x14ac:dyDescent="0.25">
      <c r="B124" s="134"/>
      <c r="C124" s="126" t="s">
        <v>200</v>
      </c>
      <c r="D124" s="132"/>
      <c r="E124" s="94"/>
      <c r="G124" s="156" t="s">
        <v>174</v>
      </c>
      <c r="H124" s="156" t="s">
        <v>174</v>
      </c>
    </row>
    <row r="125" spans="2:12" x14ac:dyDescent="0.25">
      <c r="B125" s="134"/>
      <c r="C125" s="65" t="s">
        <v>656</v>
      </c>
      <c r="D125" s="132"/>
      <c r="E125" s="94"/>
      <c r="G125" s="86">
        <f>SUM(G123:G124)</f>
        <v>41916.539839999998</v>
      </c>
      <c r="H125" s="86">
        <f>SUM(H123:H124)</f>
        <v>41916.539839999998</v>
      </c>
    </row>
    <row r="126" spans="2:12" x14ac:dyDescent="0.25">
      <c r="B126" s="79"/>
      <c r="C126" s="27"/>
      <c r="E126" s="27"/>
      <c r="G126" s="157"/>
      <c r="H126" s="157"/>
    </row>
    <row r="127" spans="2:12" x14ac:dyDescent="0.25">
      <c r="B127" s="79"/>
      <c r="C127" s="27"/>
      <c r="E127" s="27"/>
      <c r="G127" s="157"/>
      <c r="H127" s="157"/>
    </row>
    <row r="128" spans="2:12" hidden="1" x14ac:dyDescent="0.25">
      <c r="B128" s="79"/>
      <c r="C128" s="27"/>
      <c r="E128" s="27"/>
      <c r="G128" s="157"/>
      <c r="H128" s="157"/>
    </row>
    <row r="129" spans="1:8" s="60" customFormat="1" x14ac:dyDescent="0.35">
      <c r="B129" s="134" t="s">
        <v>255</v>
      </c>
      <c r="C129" s="65" t="s">
        <v>657</v>
      </c>
      <c r="D129" s="137"/>
      <c r="E129" s="94"/>
      <c r="G129" s="610" t="str">
        <f>G121</f>
        <v>As at 31 March 2025</v>
      </c>
      <c r="H129" s="610" t="str">
        <f>H121</f>
        <v>As at 31 March 2024</v>
      </c>
    </row>
    <row r="130" spans="1:8" ht="8.25" customHeight="1" x14ac:dyDescent="0.25">
      <c r="B130" s="158"/>
      <c r="C130" s="35"/>
      <c r="D130" s="137"/>
      <c r="E130" s="94"/>
      <c r="G130" s="159"/>
      <c r="H130" s="159"/>
    </row>
    <row r="131" spans="1:8" x14ac:dyDescent="0.25">
      <c r="B131" s="134"/>
      <c r="C131" s="65" t="s">
        <v>658</v>
      </c>
      <c r="D131" s="132"/>
      <c r="E131" s="94"/>
      <c r="G131" s="77">
        <f>H134</f>
        <v>-30551.564837207861</v>
      </c>
      <c r="H131" s="154">
        <v>-14464.70197156108</v>
      </c>
    </row>
    <row r="132" spans="1:8" x14ac:dyDescent="0.25">
      <c r="B132" s="134"/>
      <c r="C132" s="126" t="s">
        <v>659</v>
      </c>
      <c r="D132" s="132"/>
      <c r="E132" s="94"/>
      <c r="G132" s="78">
        <f>PL!$D$31</f>
        <v>-3.6329940700140924</v>
      </c>
      <c r="H132" s="78">
        <v>-16124.197957288381</v>
      </c>
    </row>
    <row r="133" spans="1:8" x14ac:dyDescent="0.25">
      <c r="B133" s="134"/>
      <c r="C133" s="160" t="s">
        <v>660</v>
      </c>
      <c r="D133" s="137" t="s">
        <v>661</v>
      </c>
      <c r="E133" s="94"/>
      <c r="G133" s="78">
        <f>(PL!D43)</f>
        <v>115.36426</v>
      </c>
      <c r="H133" s="78">
        <v>37.335091641600002</v>
      </c>
    </row>
    <row r="134" spans="1:8" x14ac:dyDescent="0.25">
      <c r="B134" s="134"/>
      <c r="C134" s="65" t="s">
        <v>656</v>
      </c>
      <c r="D134" s="132"/>
      <c r="E134" s="94"/>
      <c r="G134" s="86">
        <f>SUM(G131:G133)</f>
        <v>-30439.833571277875</v>
      </c>
      <c r="H134" s="86">
        <f>SUM(H131:H133)</f>
        <v>-30551.564837207861</v>
      </c>
    </row>
    <row r="135" spans="1:8" ht="15" customHeight="1" x14ac:dyDescent="0.25">
      <c r="B135" s="134"/>
      <c r="C135" s="162"/>
      <c r="D135" s="161"/>
      <c r="E135" s="162"/>
      <c r="F135" s="162"/>
      <c r="G135" s="162"/>
      <c r="H135" s="162"/>
    </row>
    <row r="136" spans="1:8" ht="15" customHeight="1" x14ac:dyDescent="0.25">
      <c r="B136" s="134"/>
      <c r="C136" s="1128" t="s">
        <v>662</v>
      </c>
      <c r="D136" s="1128"/>
      <c r="E136" s="162"/>
      <c r="F136" s="162"/>
      <c r="G136" s="162"/>
      <c r="H136" s="162"/>
    </row>
    <row r="137" spans="1:8" x14ac:dyDescent="0.25">
      <c r="B137" s="134"/>
      <c r="C137" s="1126" t="s">
        <v>196</v>
      </c>
      <c r="D137" s="1126"/>
      <c r="E137" s="162"/>
      <c r="F137" s="162"/>
      <c r="G137" s="162"/>
      <c r="H137" s="162"/>
    </row>
    <row r="138" spans="1:8" ht="26.9" customHeight="1" x14ac:dyDescent="0.25">
      <c r="B138" s="134"/>
      <c r="C138" s="1129" t="s">
        <v>663</v>
      </c>
      <c r="D138" s="1129"/>
      <c r="E138" s="1129"/>
      <c r="F138" s="1129"/>
      <c r="G138" s="1129"/>
      <c r="H138" s="1129"/>
    </row>
    <row r="139" spans="1:8" x14ac:dyDescent="0.25">
      <c r="B139" s="134"/>
      <c r="C139" s="343" t="s">
        <v>664</v>
      </c>
      <c r="D139" s="346"/>
      <c r="E139" s="346"/>
      <c r="F139" s="346"/>
      <c r="G139" s="346"/>
      <c r="H139" s="346"/>
    </row>
    <row r="140" spans="1:8" ht="34.75" customHeight="1" x14ac:dyDescent="0.25">
      <c r="B140" s="134"/>
      <c r="C140" s="1129" t="s">
        <v>665</v>
      </c>
      <c r="D140" s="1129"/>
      <c r="E140" s="1129"/>
      <c r="F140" s="1129"/>
      <c r="G140" s="1129"/>
      <c r="H140" s="1129"/>
    </row>
    <row r="141" spans="1:8" x14ac:dyDescent="0.25">
      <c r="B141" s="134"/>
      <c r="C141" s="346"/>
      <c r="D141" s="346"/>
      <c r="E141" s="346"/>
      <c r="F141" s="1086">
        <v>364.90807810425099</v>
      </c>
      <c r="G141" s="1086">
        <v>647.16556000000003</v>
      </c>
      <c r="H141" s="346"/>
    </row>
    <row r="142" spans="1:8" ht="25.4" customHeight="1" x14ac:dyDescent="0.25">
      <c r="A142" s="60">
        <f>A109+1</f>
        <v>13</v>
      </c>
      <c r="B142" s="79" t="str">
        <f>"Note "&amp;A142&amp;": Employee Benefit Obligation"</f>
        <v>Note 13: Employee Benefit Obligation</v>
      </c>
      <c r="C142" s="126"/>
      <c r="D142" s="137"/>
      <c r="E142" s="1124"/>
      <c r="F142" s="1124"/>
      <c r="G142" s="1124"/>
      <c r="H142" s="1124"/>
    </row>
    <row r="143" spans="1:8" x14ac:dyDescent="0.25">
      <c r="B143" s="79" t="s">
        <v>495</v>
      </c>
      <c r="C143" s="126"/>
      <c r="D143" s="137"/>
      <c r="E143" s="127"/>
      <c r="F143" s="94"/>
      <c r="G143" s="610" t="str">
        <f>G129</f>
        <v>As at 31 March 2025</v>
      </c>
      <c r="H143" s="610" t="str">
        <f>H129</f>
        <v>As at 31 March 2024</v>
      </c>
    </row>
    <row r="144" spans="1:8" x14ac:dyDescent="0.25">
      <c r="B144" s="60" t="s">
        <v>666</v>
      </c>
      <c r="C144" s="126"/>
      <c r="D144" s="137"/>
      <c r="E144" s="78"/>
      <c r="F144" s="60"/>
      <c r="G144" s="78"/>
      <c r="H144" s="78">
        <v>661.32785999999999</v>
      </c>
    </row>
    <row r="145" spans="1:23" x14ac:dyDescent="0.25">
      <c r="B145" s="60" t="s">
        <v>667</v>
      </c>
      <c r="C145" s="126"/>
      <c r="D145" s="137"/>
      <c r="E145" s="78"/>
      <c r="F145" s="60"/>
      <c r="G145" s="78"/>
      <c r="H145" s="78">
        <v>235.74133</v>
      </c>
    </row>
    <row r="146" spans="1:23" ht="12" thickBot="1" x14ac:dyDescent="0.3">
      <c r="B146" s="118" t="s">
        <v>100</v>
      </c>
      <c r="C146" s="126"/>
      <c r="D146" s="137"/>
      <c r="E146" s="119"/>
      <c r="F146" s="119"/>
      <c r="G146" s="545">
        <f>SUM(G144:G145)</f>
        <v>0</v>
      </c>
      <c r="H146" s="545">
        <f t="shared" ref="H146" si="5">SUM(H144:H145)</f>
        <v>897.06918999999994</v>
      </c>
    </row>
    <row r="147" spans="1:23" ht="12" thickTop="1" x14ac:dyDescent="0.25">
      <c r="B147" s="134"/>
      <c r="C147" s="163"/>
      <c r="D147" s="163"/>
      <c r="E147" s="163"/>
      <c r="F147" s="163"/>
      <c r="G147" s="163"/>
      <c r="H147" s="163"/>
    </row>
    <row r="148" spans="1:23" x14ac:dyDescent="0.25">
      <c r="A148" s="60"/>
      <c r="B148" s="79"/>
      <c r="C148" s="126"/>
      <c r="D148" s="137"/>
      <c r="E148" s="1124"/>
      <c r="F148" s="1124"/>
      <c r="G148" s="1125"/>
      <c r="H148" s="1125"/>
      <c r="I148" s="171"/>
      <c r="J148" s="171"/>
      <c r="K148" s="171"/>
      <c r="L148" s="171"/>
    </row>
    <row r="149" spans="1:23" s="60" customFormat="1" x14ac:dyDescent="0.35">
      <c r="B149" s="79" t="s">
        <v>510</v>
      </c>
      <c r="C149" s="65"/>
      <c r="D149" s="137"/>
      <c r="E149" s="127"/>
      <c r="G149" s="773" t="str">
        <f>G143</f>
        <v>As at 31 March 2025</v>
      </c>
      <c r="H149" s="773" t="str">
        <f>H143</f>
        <v>As at 31 March 2024</v>
      </c>
      <c r="I149" s="79"/>
      <c r="J149" s="79"/>
      <c r="K149" s="89"/>
      <c r="L149" s="660"/>
    </row>
    <row r="150" spans="1:23" x14ac:dyDescent="0.25">
      <c r="A150" s="17" t="s">
        <v>668</v>
      </c>
      <c r="B150" s="60" t="str">
        <f>"Provision for gratuity (refer note "&amp;'E''ee Benefits 28 '!A5&amp;"(b)(I))"</f>
        <v>Provision for gratuity (refer note 28(b)(I))</v>
      </c>
      <c r="C150" s="126"/>
      <c r="D150" s="137"/>
      <c r="E150" s="78"/>
      <c r="G150" s="60">
        <f>-SUMIFS('Standalone TB'!$X:$X,'Standalone TB'!$Z:$Z,'11-13'!$A150)/10^5-G144</f>
        <v>1012.0736381042514</v>
      </c>
      <c r="H150" s="78">
        <v>320.76121548736012</v>
      </c>
      <c r="I150" s="168"/>
      <c r="J150" s="168"/>
      <c r="K150" s="89"/>
      <c r="L150" s="168"/>
      <c r="V150" s="17">
        <f>9203845+56558805</f>
        <v>65762650</v>
      </c>
      <c r="W150" s="17">
        <f>V150-J150</f>
        <v>65762650</v>
      </c>
    </row>
    <row r="151" spans="1:23" x14ac:dyDescent="0.25">
      <c r="A151" s="60" t="s">
        <v>669</v>
      </c>
      <c r="B151" s="60" t="str">
        <f>"Provision for compensated absences (refer note "&amp;'E''ee Benefits 28 '!A5&amp;"(b)(II))"</f>
        <v>Provision for compensated absences (refer note 28(b)(II))</v>
      </c>
      <c r="C151" s="126"/>
      <c r="D151" s="137"/>
      <c r="E151" s="78"/>
      <c r="G151" s="60">
        <f>-SUMIFS('Standalone TB'!$X:$X,'Standalone TB'!$Z:$Z,'11-13'!$A151)/10^5-G145</f>
        <v>317.84898080443622</v>
      </c>
      <c r="H151" s="78">
        <v>146.57500858979</v>
      </c>
      <c r="I151" s="168"/>
      <c r="J151" s="168"/>
      <c r="K151" s="89"/>
      <c r="L151" s="168"/>
      <c r="V151" s="17">
        <f>3016635+15506772</f>
        <v>18523407</v>
      </c>
      <c r="W151" s="17">
        <f>V151-J151</f>
        <v>18523407</v>
      </c>
    </row>
    <row r="152" spans="1:23" ht="12" thickBot="1" x14ac:dyDescent="0.3">
      <c r="B152" s="118" t="s">
        <v>100</v>
      </c>
      <c r="C152" s="126"/>
      <c r="D152" s="137"/>
      <c r="E152" s="119"/>
      <c r="G152" s="545">
        <f>SUM(G150:G151)</f>
        <v>1329.9226189086876</v>
      </c>
      <c r="H152" s="545">
        <f t="shared" ref="H152" si="6">SUM(H150:H151)</f>
        <v>467.33622407715012</v>
      </c>
      <c r="I152" s="172"/>
      <c r="J152" s="90"/>
      <c r="K152" s="1127"/>
      <c r="L152" s="1127"/>
    </row>
    <row r="153" spans="1:23" ht="12" thickTop="1" x14ac:dyDescent="0.25">
      <c r="C153" s="126"/>
      <c r="E153" s="126"/>
      <c r="F153" s="126"/>
      <c r="G153" s="126"/>
      <c r="H153" s="126"/>
      <c r="I153" s="3"/>
      <c r="J153" s="3"/>
      <c r="K153" s="661"/>
      <c r="L153" s="661"/>
      <c r="V153" s="17" t="s">
        <v>670</v>
      </c>
      <c r="W153" s="17" t="s">
        <v>3</v>
      </c>
    </row>
    <row r="154" spans="1:23" ht="11.5" customHeight="1" x14ac:dyDescent="0.25">
      <c r="B154" s="1133" t="s">
        <v>671</v>
      </c>
      <c r="C154" s="1133"/>
      <c r="D154" s="1133"/>
      <c r="E154" s="1133"/>
      <c r="F154" s="1133"/>
      <c r="G154" s="1133"/>
      <c r="H154" s="1133"/>
      <c r="I154" s="168"/>
      <c r="J154" s="168"/>
      <c r="K154" s="89"/>
      <c r="L154" s="168"/>
      <c r="V154" s="17">
        <v>18138810.029999997</v>
      </c>
      <c r="W154" s="17">
        <v>-49395174</v>
      </c>
    </row>
    <row r="155" spans="1:23" s="36" customFormat="1" x14ac:dyDescent="0.35">
      <c r="B155" s="1133"/>
      <c r="C155" s="1133"/>
      <c r="D155" s="1133"/>
      <c r="E155" s="1133"/>
      <c r="F155" s="1133"/>
      <c r="G155" s="1133"/>
      <c r="H155" s="1133"/>
      <c r="I155" s="168"/>
      <c r="J155" s="168"/>
      <c r="K155" s="89"/>
      <c r="L155" s="168"/>
      <c r="W155" s="36">
        <f>V154+W154</f>
        <v>-31256363.970000003</v>
      </c>
    </row>
    <row r="156" spans="1:23" s="36" customFormat="1" x14ac:dyDescent="0.35">
      <c r="B156" s="176"/>
      <c r="C156" s="177"/>
      <c r="D156" s="177"/>
      <c r="E156" s="177"/>
      <c r="F156" s="177"/>
      <c r="G156" s="177"/>
      <c r="H156" s="177"/>
    </row>
    <row r="157" spans="1:23" x14ac:dyDescent="0.25">
      <c r="B157" s="19"/>
    </row>
    <row r="164" ht="33.65" customHeight="1" x14ac:dyDescent="0.25"/>
  </sheetData>
  <mergeCells count="54">
    <mergeCell ref="E102:F102"/>
    <mergeCell ref="G102:H102"/>
    <mergeCell ref="B154:H155"/>
    <mergeCell ref="B4:H4"/>
    <mergeCell ref="E8:F8"/>
    <mergeCell ref="G8:H8"/>
    <mergeCell ref="E14:F14"/>
    <mergeCell ref="G14:H14"/>
    <mergeCell ref="C61:D61"/>
    <mergeCell ref="C38:H40"/>
    <mergeCell ref="C43:H45"/>
    <mergeCell ref="C52:D52"/>
    <mergeCell ref="E52:F52"/>
    <mergeCell ref="G52:H52"/>
    <mergeCell ref="C55:D55"/>
    <mergeCell ref="C56:D56"/>
    <mergeCell ref="C59:D59"/>
    <mergeCell ref="C60:D60"/>
    <mergeCell ref="G82:H82"/>
    <mergeCell ref="C62:D62"/>
    <mergeCell ref="C63:D63"/>
    <mergeCell ref="C64:D64"/>
    <mergeCell ref="C65:D65"/>
    <mergeCell ref="C66:D66"/>
    <mergeCell ref="C67:D67"/>
    <mergeCell ref="C68:D68"/>
    <mergeCell ref="C69:D69"/>
    <mergeCell ref="C71:D71"/>
    <mergeCell ref="C82:D82"/>
    <mergeCell ref="E82:F82"/>
    <mergeCell ref="C70:D70"/>
    <mergeCell ref="C73:H73"/>
    <mergeCell ref="C100:H100"/>
    <mergeCell ref="C85:D85"/>
    <mergeCell ref="C88:D88"/>
    <mergeCell ref="C89:D89"/>
    <mergeCell ref="C90:D90"/>
    <mergeCell ref="C91:D91"/>
    <mergeCell ref="C92:D92"/>
    <mergeCell ref="C93:D93"/>
    <mergeCell ref="C94:D94"/>
    <mergeCell ref="C95:D95"/>
    <mergeCell ref="C97:D97"/>
    <mergeCell ref="K152:L152"/>
    <mergeCell ref="E148:F148"/>
    <mergeCell ref="C136:D136"/>
    <mergeCell ref="C140:H140"/>
    <mergeCell ref="C138:H138"/>
    <mergeCell ref="C105:D105"/>
    <mergeCell ref="E142:F142"/>
    <mergeCell ref="G142:H142"/>
    <mergeCell ref="G148:H148"/>
    <mergeCell ref="C137:D137"/>
    <mergeCell ref="C106:D106"/>
  </mergeCells>
  <pageMargins left="0.23622047244094491" right="0.23622047244094491" top="0.74803149606299213" bottom="0.74803149606299213" header="0.31496062992125984" footer="0.31496062992125984"/>
  <pageSetup paperSize="9" scale="80" orientation="portrait" r:id="rId1"/>
  <rowBreaks count="1" manualBreakCount="1">
    <brk id="74" min="1" max="7"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2B2A6-93AD-4B35-8585-C9F9A17E878E}">
  <sheetPr>
    <tabColor rgb="FF7030A0"/>
  </sheetPr>
  <dimension ref="A1:T72"/>
  <sheetViews>
    <sheetView showGridLines="0" view="pageBreakPreview" topLeftCell="A46" zoomScale="90" zoomScaleNormal="100" zoomScaleSheetLayoutView="90" workbookViewId="0">
      <selection activeCell="I65" sqref="I65"/>
    </sheetView>
  </sheetViews>
  <sheetFormatPr defaultColWidth="9.1796875" defaultRowHeight="11.5" outlineLevelCol="1" x14ac:dyDescent="0.25"/>
  <cols>
    <col min="1" max="1" width="5" style="17" bestFit="1" customWidth="1"/>
    <col min="2" max="2" width="46.81640625" style="32" customWidth="1"/>
    <col min="3" max="7" width="12.81640625" style="17" customWidth="1"/>
    <col min="8" max="8" width="16.90625" style="17" customWidth="1" outlineLevel="1"/>
    <col min="9" max="10" width="12.81640625" style="78" customWidth="1"/>
    <col min="11" max="11" width="16.1796875" style="17" bestFit="1" customWidth="1"/>
    <col min="12" max="12" width="21.81640625" style="17" bestFit="1" customWidth="1"/>
    <col min="13" max="13" width="16.1796875" style="17" bestFit="1" customWidth="1"/>
    <col min="14" max="14" width="14.453125" style="17" bestFit="1" customWidth="1"/>
    <col min="15" max="15" width="13.453125" style="17" bestFit="1" customWidth="1"/>
    <col min="16" max="17" width="14.453125" style="17" bestFit="1" customWidth="1"/>
    <col min="18" max="18" width="9.1796875" style="17"/>
    <col min="19" max="19" width="12" style="17" bestFit="1" customWidth="1"/>
    <col min="20" max="20" width="16.1796875" style="17" bestFit="1" customWidth="1"/>
    <col min="21" max="16384" width="9.1796875" style="17"/>
  </cols>
  <sheetData>
    <row r="1" spans="1:20" x14ac:dyDescent="0.25">
      <c r="B1" s="33" t="str">
        <f>'3-4'!B1</f>
        <v>Paladion Networks Private Limited</v>
      </c>
      <c r="M1" s="17">
        <f>N1*O1</f>
        <v>0</v>
      </c>
      <c r="O1" s="17">
        <f>'8-10'!O1</f>
        <v>23.293900184842883</v>
      </c>
      <c r="P1" s="17">
        <f>'8-10'!P1</f>
        <v>85.563770794824407</v>
      </c>
    </row>
    <row r="2" spans="1:20" x14ac:dyDescent="0.25">
      <c r="A2" s="37"/>
      <c r="B2" s="285" t="str">
        <f>'3-4'!B2</f>
        <v>Summary of Material accounting policies and other explanatory information</v>
      </c>
      <c r="C2" s="79"/>
      <c r="D2" s="79"/>
      <c r="E2" s="79"/>
      <c r="F2" s="79"/>
      <c r="G2" s="79"/>
      <c r="H2" s="79"/>
      <c r="I2" s="80"/>
      <c r="J2" s="80"/>
    </row>
    <row r="3" spans="1:20" ht="12" x14ac:dyDescent="0.3">
      <c r="B3" s="283" t="str">
        <f>'3-4'!B3</f>
        <v>(Amounts are stated in ₹ lakhs, except share and per share data, unless ottherwise stated)</v>
      </c>
      <c r="C3" s="79"/>
      <c r="D3" s="79"/>
      <c r="E3" s="79"/>
      <c r="F3" s="79"/>
      <c r="G3" s="79"/>
      <c r="H3" s="79"/>
      <c r="I3" s="80"/>
      <c r="J3" s="80"/>
    </row>
    <row r="4" spans="1:20" x14ac:dyDescent="0.25">
      <c r="B4" s="33"/>
      <c r="C4" s="79"/>
      <c r="D4" s="79"/>
      <c r="E4" s="79"/>
      <c r="F4" s="79"/>
      <c r="G4" s="79"/>
      <c r="H4" s="79"/>
      <c r="I4" s="80"/>
      <c r="J4" s="80"/>
    </row>
    <row r="5" spans="1:20" ht="23" x14ac:dyDescent="0.25">
      <c r="A5" s="60">
        <f>'11-13'!A142+1</f>
        <v>14</v>
      </c>
      <c r="B5" s="300" t="str">
        <f>"Note "&amp;A5&amp;": Trade payables"</f>
        <v>Note 14: Trade payables</v>
      </c>
      <c r="C5" s="60"/>
      <c r="D5" s="60"/>
      <c r="E5" s="60"/>
      <c r="F5" s="60"/>
      <c r="G5" s="60"/>
      <c r="H5" s="294" t="s">
        <v>7</v>
      </c>
      <c r="I5" s="294" t="s">
        <v>7</v>
      </c>
      <c r="J5" s="294" t="s">
        <v>8</v>
      </c>
      <c r="M5" s="926" t="s">
        <v>672</v>
      </c>
      <c r="N5" s="927" t="s">
        <v>549</v>
      </c>
      <c r="O5" s="927" t="s">
        <v>550</v>
      </c>
      <c r="P5" s="927" t="s">
        <v>551</v>
      </c>
      <c r="Q5" s="928" t="s">
        <v>100</v>
      </c>
    </row>
    <row r="6" spans="1:20" ht="7.4" customHeight="1" x14ac:dyDescent="0.25">
      <c r="B6" s="300"/>
      <c r="C6" s="60"/>
      <c r="D6" s="60"/>
      <c r="E6" s="60"/>
      <c r="F6" s="60"/>
      <c r="G6" s="60"/>
      <c r="H6" s="89"/>
      <c r="I6" s="114"/>
      <c r="J6" s="114"/>
      <c r="M6" s="929"/>
      <c r="Q6" s="930"/>
    </row>
    <row r="7" spans="1:20" ht="13.5" x14ac:dyDescent="0.25">
      <c r="B7" s="32" t="s">
        <v>673</v>
      </c>
      <c r="C7" s="60"/>
      <c r="D7" s="60"/>
      <c r="E7" s="60"/>
      <c r="F7" s="60"/>
      <c r="G7" s="60"/>
      <c r="H7" s="89"/>
      <c r="I7" s="114"/>
      <c r="J7" s="114"/>
      <c r="M7" s="929" t="s">
        <v>674</v>
      </c>
      <c r="N7" s="588">
        <f>925285887.61-7208998+4519847-846292+2131502</f>
        <v>923881946.61000001</v>
      </c>
      <c r="O7" s="588">
        <f>(4776844.01000001+3995+59042)*O1</f>
        <v>112739705.15345679</v>
      </c>
      <c r="P7" s="588">
        <f>(310466.94)*$P$1</f>
        <v>26564722.093530502</v>
      </c>
      <c r="Q7" s="931">
        <f>SUM(N7:P7)</f>
        <v>1063186373.8569874</v>
      </c>
    </row>
    <row r="8" spans="1:20" x14ac:dyDescent="0.25">
      <c r="B8" s="318" t="s">
        <v>675</v>
      </c>
      <c r="C8" s="60"/>
      <c r="D8" s="60"/>
      <c r="E8" s="60"/>
      <c r="F8" s="60"/>
      <c r="G8" s="60"/>
      <c r="H8" s="67">
        <v>95474.65</v>
      </c>
      <c r="I8" s="115">
        <f>(SUM(H8:H8))/10^5</f>
        <v>0.95474649999999994</v>
      </c>
      <c r="J8" s="115">
        <v>78.558140399999999</v>
      </c>
      <c r="K8" s="115"/>
      <c r="L8" s="36"/>
      <c r="M8" s="929" t="s">
        <v>676</v>
      </c>
      <c r="N8" s="588">
        <v>-721282822.25999999</v>
      </c>
      <c r="O8" s="588">
        <f>-248959.3*O1</f>
        <v>-5799233.084288355</v>
      </c>
      <c r="P8" s="588">
        <f>-69998.44*$P$1</f>
        <v>-5989330.476155269</v>
      </c>
      <c r="Q8" s="931">
        <f>SUM(N8:P8)</f>
        <v>-733071385.82044363</v>
      </c>
      <c r="T8" s="116"/>
    </row>
    <row r="9" spans="1:20" x14ac:dyDescent="0.25">
      <c r="B9" s="318" t="s">
        <v>677</v>
      </c>
      <c r="C9" s="60"/>
      <c r="D9" s="60"/>
      <c r="E9" s="60"/>
      <c r="F9" s="60"/>
      <c r="G9" s="60"/>
      <c r="H9" s="67"/>
      <c r="I9" s="115"/>
      <c r="J9" s="67"/>
      <c r="K9" s="36"/>
      <c r="L9" s="36"/>
      <c r="M9" s="929" t="s">
        <v>678</v>
      </c>
      <c r="N9" s="588">
        <f>2740730.20952922</f>
        <v>2740730.2095292201</v>
      </c>
      <c r="O9" s="588">
        <f>13403.2*O1</f>
        <v>312212.80295748613</v>
      </c>
      <c r="P9" s="588"/>
      <c r="Q9" s="931">
        <f>SUM(N9:P9)</f>
        <v>3052943.0124867065</v>
      </c>
      <c r="T9" s="116"/>
    </row>
    <row r="10" spans="1:20" x14ac:dyDescent="0.25">
      <c r="B10" s="302" t="s">
        <v>679</v>
      </c>
      <c r="C10" s="60"/>
      <c r="D10" s="60"/>
      <c r="E10" s="60"/>
      <c r="F10" s="60"/>
      <c r="G10" s="60"/>
      <c r="H10" s="67">
        <f>SUM(Q7:Q9)</f>
        <v>333167931.04903042</v>
      </c>
      <c r="I10" s="115">
        <f>(SUM(H10:H10))/10^5</f>
        <v>3331.679310490304</v>
      </c>
      <c r="J10" s="115">
        <v>6409.1245473571207</v>
      </c>
      <c r="K10" s="115"/>
      <c r="L10" s="36"/>
      <c r="M10" s="929" t="s">
        <v>680</v>
      </c>
      <c r="N10" s="588">
        <f>7735522.49-1267006</f>
        <v>6468516.4900000002</v>
      </c>
      <c r="O10" s="588">
        <f>1188524.79*O1</f>
        <v>27685377.825471349</v>
      </c>
      <c r="P10" s="588">
        <f>4906.25*P1</f>
        <v>419797.25046210724</v>
      </c>
      <c r="Q10" s="931">
        <f>SUM(N10:P10)</f>
        <v>34573691.565933459</v>
      </c>
      <c r="T10" s="116"/>
    </row>
    <row r="11" spans="1:20" x14ac:dyDescent="0.25">
      <c r="A11" s="17" t="s">
        <v>681</v>
      </c>
      <c r="B11" s="302" t="s">
        <v>682</v>
      </c>
      <c r="C11" s="60"/>
      <c r="D11" s="60"/>
      <c r="E11" s="60"/>
      <c r="F11" s="60"/>
      <c r="G11" s="60"/>
      <c r="H11" s="60">
        <f>-SUMIFS('Standalone TB'!$X:$X,'Standalone TB'!$Z:$Z,'14-16'!$A11)-H8-H10-H62</f>
        <v>34445492.289404154</v>
      </c>
      <c r="I11" s="115">
        <f>(SUM(H11:H11))/10^5</f>
        <v>344.45492289404154</v>
      </c>
      <c r="J11" s="115">
        <v>428.21044855179929</v>
      </c>
      <c r="K11" s="115"/>
      <c r="L11" s="36"/>
      <c r="M11" s="929" t="s">
        <v>683</v>
      </c>
      <c r="N11" s="588"/>
      <c r="O11" s="588"/>
      <c r="P11" s="588"/>
      <c r="Q11" s="931">
        <f>SUM(N11:P11)</f>
        <v>0</v>
      </c>
    </row>
    <row r="12" spans="1:20" hidden="1" x14ac:dyDescent="0.25">
      <c r="B12" s="286"/>
      <c r="C12" s="60"/>
      <c r="D12" s="60"/>
      <c r="E12" s="60"/>
      <c r="F12" s="60"/>
      <c r="G12" s="60"/>
      <c r="H12" s="67">
        <v>0</v>
      </c>
      <c r="I12" s="67">
        <f>SUM(H12:H12)</f>
        <v>0</v>
      </c>
      <c r="J12" s="115">
        <v>0</v>
      </c>
      <c r="K12" s="115"/>
      <c r="L12" s="36"/>
      <c r="M12" s="929"/>
      <c r="N12" s="588"/>
      <c r="O12" s="588"/>
      <c r="P12" s="588"/>
      <c r="Q12" s="931"/>
    </row>
    <row r="13" spans="1:20" x14ac:dyDescent="0.25">
      <c r="B13" s="298" t="s">
        <v>684</v>
      </c>
      <c r="C13" s="60"/>
      <c r="D13" s="60"/>
      <c r="E13" s="60"/>
      <c r="F13" s="60"/>
      <c r="G13" s="60"/>
      <c r="H13" s="129"/>
      <c r="K13" s="115"/>
      <c r="M13" s="929" t="s">
        <v>685</v>
      </c>
      <c r="N13" s="588">
        <f>-33148.8700000002</f>
        <v>-33148.870000000199</v>
      </c>
      <c r="O13" s="588">
        <f>18.3*O1</f>
        <v>426.27837338262475</v>
      </c>
      <c r="P13" s="588"/>
      <c r="Q13" s="931">
        <f>SUM(N13:P13)</f>
        <v>-32722.591626617574</v>
      </c>
    </row>
    <row r="14" spans="1:20" x14ac:dyDescent="0.25">
      <c r="B14" s="1033" t="s">
        <v>686</v>
      </c>
      <c r="C14" s="60"/>
      <c r="D14" s="60"/>
      <c r="E14" s="60"/>
      <c r="F14" s="60"/>
      <c r="G14" s="60"/>
      <c r="H14" s="129">
        <v>30335321.809999999</v>
      </c>
      <c r="I14" s="78">
        <f>(SUM(H14:H14))/10^5</f>
        <v>303.35321809999999</v>
      </c>
      <c r="J14" s="78">
        <v>287.92318410000001</v>
      </c>
      <c r="K14" s="115"/>
      <c r="M14" s="932" t="s">
        <v>100</v>
      </c>
      <c r="N14" s="933">
        <f>SUM(N7:N13)</f>
        <v>211775222.17952925</v>
      </c>
      <c r="O14" s="933">
        <f>SUM(O7:O13)</f>
        <v>134938488.97597066</v>
      </c>
      <c r="P14" s="933">
        <f>SUM(P7:P13)</f>
        <v>20995188.86783734</v>
      </c>
      <c r="Q14" s="934">
        <f>SUM(Q7:Q13)</f>
        <v>367708900.02333724</v>
      </c>
    </row>
    <row r="15" spans="1:20" x14ac:dyDescent="0.25">
      <c r="A15" s="17" t="s">
        <v>687</v>
      </c>
      <c r="B15" s="1033" t="s">
        <v>688</v>
      </c>
      <c r="C15" s="60"/>
      <c r="D15" s="60"/>
      <c r="E15" s="60"/>
      <c r="F15" s="60"/>
      <c r="G15" s="60"/>
      <c r="H15" s="60">
        <f>-SUMIFS('Standalone TB'!$X:$X,'Standalone TB'!$Z:$Z,'14-16'!$A15)-H14</f>
        <v>116503745.59536687</v>
      </c>
      <c r="I15" s="78">
        <f>(SUM(H15:H15))/10^5</f>
        <v>1165.0374559536685</v>
      </c>
      <c r="J15" s="78">
        <v>1187.46643316718</v>
      </c>
      <c r="K15" s="115"/>
      <c r="N15" s="594"/>
      <c r="O15" s="594"/>
      <c r="P15" s="594"/>
      <c r="Q15" s="594"/>
    </row>
    <row r="16" spans="1:20" ht="12" thickBot="1" x14ac:dyDescent="0.3">
      <c r="B16" s="284" t="s">
        <v>100</v>
      </c>
      <c r="C16" s="60"/>
      <c r="D16" s="60"/>
      <c r="E16" s="60"/>
      <c r="F16" s="60"/>
      <c r="G16" s="60"/>
      <c r="H16" s="545">
        <f>SUM(H8:H15)</f>
        <v>514547965.39380145</v>
      </c>
      <c r="I16" s="545">
        <f>SUM(I8:I15)</f>
        <v>5145.4796539380141</v>
      </c>
      <c r="J16" s="545">
        <f>SUM(J8:J15)</f>
        <v>8391.2827535761007</v>
      </c>
      <c r="M16" s="17" t="s">
        <v>566</v>
      </c>
      <c r="N16" s="594">
        <f>-SUMIF('Standalone TB'!$Z$8:$Z$623,"Sundry Creditors",'Standalone TB'!$H$8:$H$623)</f>
        <v>211775222.70695579</v>
      </c>
      <c r="O16" s="594">
        <f>-SUMIF('Standalone TB'!$Z$8:$Z$623,"Sundry Creditors",'Standalone TB'!$N$8:$N$623)</f>
        <v>134938486.41364133</v>
      </c>
      <c r="P16" s="594">
        <f>-SUMIF('Standalone TB'!$Z$8:$Z$623,"Sundry Creditors",'Standalone TB'!$U$8:$U$623)</f>
        <v>20995188.86783734</v>
      </c>
      <c r="Q16" s="594">
        <f>SUM(N16:P16)</f>
        <v>367708897.98843443</v>
      </c>
    </row>
    <row r="17" spans="1:17" ht="14" thickTop="1" x14ac:dyDescent="0.25">
      <c r="B17" s="32" t="s">
        <v>689</v>
      </c>
      <c r="C17" s="60"/>
      <c r="D17" s="60"/>
      <c r="E17" s="60"/>
      <c r="F17" s="60"/>
      <c r="G17" s="60"/>
      <c r="H17" s="119"/>
      <c r="I17" s="119"/>
      <c r="J17" s="119"/>
      <c r="K17" s="594"/>
      <c r="M17" s="17" t="s">
        <v>690</v>
      </c>
      <c r="N17" s="594">
        <f>N14-N16</f>
        <v>-0.52742654085159302</v>
      </c>
      <c r="O17" s="594">
        <f>O14-O16</f>
        <v>2.5623293220996857</v>
      </c>
      <c r="P17" s="594">
        <f>P14-P16</f>
        <v>0</v>
      </c>
      <c r="Q17" s="594">
        <f>Q14-Q16</f>
        <v>2.034902811050415</v>
      </c>
    </row>
    <row r="18" spans="1:17" ht="11.5" customHeight="1" x14ac:dyDescent="0.25">
      <c r="B18" s="54" t="s">
        <v>691</v>
      </c>
      <c r="C18" s="54"/>
      <c r="D18" s="54"/>
      <c r="E18" s="60"/>
      <c r="F18" s="60"/>
      <c r="G18" s="60"/>
      <c r="H18" s="60"/>
      <c r="I18" s="120"/>
      <c r="J18" s="120"/>
    </row>
    <row r="19" spans="1:17" ht="11.5" customHeight="1" x14ac:dyDescent="0.25">
      <c r="B19" s="54"/>
      <c r="C19" s="54"/>
      <c r="D19" s="54"/>
      <c r="E19" s="60"/>
      <c r="F19" s="60"/>
      <c r="G19" s="60"/>
      <c r="H19" s="60"/>
      <c r="I19" s="120"/>
      <c r="J19" s="120"/>
    </row>
    <row r="20" spans="1:17" ht="11.5" customHeight="1" x14ac:dyDescent="0.25">
      <c r="A20" s="17" t="str">
        <f>A5&amp;".1"</f>
        <v>14.1</v>
      </c>
      <c r="B20" s="53" t="str">
        <f>"Note "&amp;A20&amp;" : "</f>
        <v xml:space="preserve">Note 14.1 : </v>
      </c>
      <c r="C20" s="54"/>
      <c r="D20" s="54"/>
      <c r="E20" s="60"/>
      <c r="F20" s="60"/>
      <c r="G20" s="60"/>
      <c r="H20" s="60"/>
      <c r="I20" s="120"/>
      <c r="J20" s="120"/>
      <c r="N20" s="17" t="s">
        <v>174</v>
      </c>
      <c r="O20" s="17" t="s">
        <v>174</v>
      </c>
    </row>
    <row r="21" spans="1:17" s="60" customFormat="1" ht="37" customHeight="1" x14ac:dyDescent="0.35">
      <c r="B21" s="826" t="s">
        <v>692</v>
      </c>
      <c r="C21" s="813" t="s">
        <v>693</v>
      </c>
      <c r="D21" s="813" t="s">
        <v>694</v>
      </c>
      <c r="E21" s="805" t="s">
        <v>695</v>
      </c>
      <c r="F21" s="805" t="s">
        <v>485</v>
      </c>
      <c r="G21" s="805" t="s">
        <v>486</v>
      </c>
      <c r="H21" s="812"/>
      <c r="I21" s="805" t="s">
        <v>575</v>
      </c>
      <c r="J21" s="805" t="s">
        <v>100</v>
      </c>
      <c r="O21" s="60" t="s">
        <v>174</v>
      </c>
    </row>
    <row r="22" spans="1:17" ht="23" x14ac:dyDescent="0.25">
      <c r="B22" s="811" t="s">
        <v>696</v>
      </c>
      <c r="C22" s="60"/>
      <c r="D22" s="60"/>
      <c r="E22" s="60">
        <f>95474.65/10^5</f>
        <v>0.95474649999999994</v>
      </c>
      <c r="F22" s="60"/>
      <c r="G22" s="60"/>
      <c r="I22" s="60"/>
      <c r="J22" s="60">
        <f>SUM(D22:I22)</f>
        <v>0.95474649999999994</v>
      </c>
      <c r="M22" s="926"/>
      <c r="N22" s="927" t="s">
        <v>549</v>
      </c>
      <c r="O22" s="927" t="s">
        <v>550</v>
      </c>
      <c r="P22" s="927" t="s">
        <v>551</v>
      </c>
      <c r="Q22" s="928" t="s">
        <v>100</v>
      </c>
    </row>
    <row r="23" spans="1:17" ht="23" x14ac:dyDescent="0.25">
      <c r="B23" s="811" t="s">
        <v>45</v>
      </c>
      <c r="C23" s="60">
        <f>I14+I15</f>
        <v>1468.3906740536686</v>
      </c>
      <c r="D23" s="60">
        <f>C23</f>
        <v>1468.3906740536686</v>
      </c>
      <c r="E23" s="60">
        <f>Q23/10^5-E22</f>
        <v>2940.9314992770787</v>
      </c>
      <c r="F23" s="60">
        <f>Q24/10^5</f>
        <v>126.56015929500924</v>
      </c>
      <c r="G23" s="60">
        <f>Q25/10^5</f>
        <v>527.59129050831791</v>
      </c>
      <c r="I23" s="60">
        <f>Q26/10^5</f>
        <v>81.051286421072092</v>
      </c>
      <c r="J23" s="60">
        <f>SUM(D23:I23)</f>
        <v>5144.5249095551462</v>
      </c>
      <c r="M23" s="929" t="s">
        <v>484</v>
      </c>
      <c r="N23" s="17">
        <f>206156180+2707582-846292+2131502</f>
        <v>210148972</v>
      </c>
      <c r="O23" s="17">
        <f>2693058.02*O1+312639</f>
        <v>63044463.709870607</v>
      </c>
      <c r="P23" s="17">
        <f>(245374.75)*P1</f>
        <v>20995188.86783734</v>
      </c>
      <c r="Q23" s="930">
        <f>SUM(N23:P23)</f>
        <v>294188624.57770789</v>
      </c>
    </row>
    <row r="24" spans="1:17" x14ac:dyDescent="0.25">
      <c r="B24" s="811" t="s">
        <v>697</v>
      </c>
      <c r="D24" s="60"/>
      <c r="E24" s="60"/>
      <c r="F24" s="60"/>
      <c r="G24" s="60"/>
      <c r="I24" s="60"/>
      <c r="J24" s="60">
        <f>SUM(D24:I24)</f>
        <v>0</v>
      </c>
      <c r="M24" s="929" t="s">
        <v>698</v>
      </c>
      <c r="N24" s="17">
        <v>1626251</v>
      </c>
      <c r="O24" s="17">
        <f>473504.43*O1</f>
        <v>11029764.929500924</v>
      </c>
      <c r="Q24" s="930">
        <f>SUM(N24:P24)</f>
        <v>12656015.929500924</v>
      </c>
    </row>
    <row r="25" spans="1:17" ht="23" x14ac:dyDescent="0.25">
      <c r="B25" s="811" t="s">
        <v>699</v>
      </c>
      <c r="D25" s="60"/>
      <c r="E25" s="60"/>
      <c r="F25" s="60"/>
      <c r="G25" s="60"/>
      <c r="I25" s="60"/>
      <c r="J25" s="60">
        <f>SUM(D25:I25)</f>
        <v>0</v>
      </c>
      <c r="M25" s="929" t="s">
        <v>700</v>
      </c>
      <c r="O25" s="17">
        <f>2264933.25*O1</f>
        <v>52759129.050831795</v>
      </c>
      <c r="Q25" s="930">
        <f>SUM(N25:P25)</f>
        <v>52759129.050831795</v>
      </c>
    </row>
    <row r="26" spans="1:17" x14ac:dyDescent="0.25">
      <c r="B26" s="810" t="s">
        <v>100</v>
      </c>
      <c r="C26" s="29">
        <f>SUM(C22:C25)</f>
        <v>1468.3906740536686</v>
      </c>
      <c r="D26" s="29">
        <f>SUM(D22:D25)</f>
        <v>1468.3906740536686</v>
      </c>
      <c r="E26" s="29">
        <f>SUM(E22:E25)</f>
        <v>2941.8862457770788</v>
      </c>
      <c r="F26" s="29">
        <f>SUM(F22:F25)</f>
        <v>126.56015929500924</v>
      </c>
      <c r="G26" s="29">
        <f>SUM(G22:G25)</f>
        <v>527.59129050831791</v>
      </c>
      <c r="H26" s="29"/>
      <c r="I26" s="29">
        <f>SUM(I22:I25)</f>
        <v>81.051286421072092</v>
      </c>
      <c r="J26" s="29">
        <f>SUM(J22:J25)</f>
        <v>5145.4796560551458</v>
      </c>
      <c r="M26" s="932" t="s">
        <v>701</v>
      </c>
      <c r="N26" s="357"/>
      <c r="O26" s="357">
        <f>347950.69*O1</f>
        <v>8105128.6421072092</v>
      </c>
      <c r="P26" s="357"/>
      <c r="Q26" s="935">
        <f>SUM(N26:P26)</f>
        <v>8105128.6421072092</v>
      </c>
    </row>
    <row r="27" spans="1:17" x14ac:dyDescent="0.25">
      <c r="B27" s="774"/>
      <c r="C27" s="60"/>
      <c r="D27" s="60"/>
      <c r="E27" s="60"/>
      <c r="F27" s="60"/>
      <c r="G27" s="60"/>
      <c r="H27" s="60"/>
      <c r="I27" s="120"/>
      <c r="J27" s="120"/>
      <c r="N27" s="3">
        <f>SUM(N23:N26)</f>
        <v>211775223</v>
      </c>
      <c r="O27" s="3">
        <f>SUM(O23:O26)</f>
        <v>134938486.33231053</v>
      </c>
      <c r="P27" s="3">
        <f>SUM(P23:P26)</f>
        <v>20995188.86783734</v>
      </c>
      <c r="Q27" s="3">
        <f>SUM(Q23:Q26)</f>
        <v>367708898.20014781</v>
      </c>
    </row>
    <row r="28" spans="1:17" ht="34.5" x14ac:dyDescent="0.25">
      <c r="B28" s="826" t="s">
        <v>702</v>
      </c>
      <c r="C28" s="145" t="s">
        <v>693</v>
      </c>
      <c r="D28" s="145" t="s">
        <v>694</v>
      </c>
      <c r="E28" s="805" t="s">
        <v>695</v>
      </c>
      <c r="F28" s="805" t="s">
        <v>485</v>
      </c>
      <c r="G28" s="805" t="s">
        <v>486</v>
      </c>
      <c r="H28" s="21"/>
      <c r="I28" s="805" t="s">
        <v>575</v>
      </c>
      <c r="J28" s="805" t="s">
        <v>100</v>
      </c>
      <c r="N28" s="17">
        <f>N27-N16</f>
        <v>0.29304420948028564</v>
      </c>
      <c r="O28" s="17">
        <f>O27-O16</f>
        <v>-8.1330806016921997E-2</v>
      </c>
      <c r="P28" s="17">
        <f>P27-P16</f>
        <v>0</v>
      </c>
    </row>
    <row r="29" spans="1:17" ht="23" x14ac:dyDescent="0.25">
      <c r="B29" s="811" t="s">
        <v>696</v>
      </c>
      <c r="C29" s="17">
        <v>0</v>
      </c>
      <c r="D29" s="60">
        <v>0</v>
      </c>
      <c r="E29" s="60">
        <v>78.558140399999999</v>
      </c>
      <c r="F29" s="60">
        <v>0</v>
      </c>
      <c r="G29" s="60">
        <v>0</v>
      </c>
      <c r="I29" s="60">
        <v>0</v>
      </c>
      <c r="J29" s="60">
        <f>SUM(D29:I29)</f>
        <v>78.558140399999999</v>
      </c>
    </row>
    <row r="30" spans="1:17" ht="23" x14ac:dyDescent="0.25">
      <c r="B30" s="811" t="s">
        <v>45</v>
      </c>
      <c r="C30" s="17">
        <v>1475.3896172671803</v>
      </c>
      <c r="D30" s="60">
        <v>1475.3896172671803</v>
      </c>
      <c r="E30" s="60">
        <v>6451.1572799999994</v>
      </c>
      <c r="F30" s="60">
        <v>384.14314999999999</v>
      </c>
      <c r="G30" s="60">
        <v>2.03457</v>
      </c>
      <c r="I30" s="60">
        <v>0</v>
      </c>
      <c r="J30" s="60">
        <f>SUM(D30:I30)</f>
        <v>8312.7246172671803</v>
      </c>
    </row>
    <row r="31" spans="1:17" x14ac:dyDescent="0.25">
      <c r="B31" s="811" t="s">
        <v>697</v>
      </c>
      <c r="C31" s="17">
        <v>0</v>
      </c>
      <c r="D31" s="60">
        <v>0</v>
      </c>
      <c r="E31" s="60">
        <v>0</v>
      </c>
      <c r="F31" s="60">
        <v>0</v>
      </c>
      <c r="G31" s="60">
        <v>0</v>
      </c>
      <c r="I31" s="60">
        <v>0</v>
      </c>
      <c r="J31" s="60">
        <f>SUM(D31:I31)</f>
        <v>0</v>
      </c>
    </row>
    <row r="32" spans="1:17" ht="23" x14ac:dyDescent="0.25">
      <c r="B32" s="811" t="s">
        <v>699</v>
      </c>
      <c r="C32" s="17">
        <v>0</v>
      </c>
      <c r="D32" s="60">
        <v>0</v>
      </c>
      <c r="E32" s="60">
        <v>0</v>
      </c>
      <c r="F32" s="60">
        <v>0</v>
      </c>
      <c r="G32" s="60">
        <v>0</v>
      </c>
      <c r="I32" s="60">
        <v>0</v>
      </c>
      <c r="J32" s="60">
        <f>SUM(D32:I32)</f>
        <v>0</v>
      </c>
    </row>
    <row r="33" spans="1:16" x14ac:dyDescent="0.25">
      <c r="B33" s="774" t="s">
        <v>100</v>
      </c>
      <c r="C33" s="29">
        <f>SUM(C29:C32)</f>
        <v>1475.3896172671803</v>
      </c>
      <c r="D33" s="29">
        <f>SUM(D29:D32)</f>
        <v>1475.3896172671803</v>
      </c>
      <c r="E33" s="29">
        <f>SUM(E29:E32)</f>
        <v>6529.7154203999999</v>
      </c>
      <c r="F33" s="29">
        <f>SUM(F29:F32)</f>
        <v>384.14314999999999</v>
      </c>
      <c r="G33" s="29"/>
      <c r="H33" s="29"/>
      <c r="I33" s="29">
        <f>SUM(I29:I32)</f>
        <v>0</v>
      </c>
      <c r="J33" s="29">
        <f>SUM(J29:J32)</f>
        <v>8391.2827576671807</v>
      </c>
    </row>
    <row r="34" spans="1:16" x14ac:dyDescent="0.25">
      <c r="B34" s="774"/>
      <c r="C34" s="60"/>
      <c r="D34" s="60"/>
      <c r="E34" s="60"/>
      <c r="F34" s="60"/>
      <c r="G34" s="60"/>
      <c r="H34" s="60"/>
      <c r="I34" s="120"/>
      <c r="J34" s="120"/>
    </row>
    <row r="35" spans="1:16" ht="15" customHeight="1" x14ac:dyDescent="0.25">
      <c r="C35" s="60"/>
      <c r="D35" s="60"/>
      <c r="E35" s="60"/>
      <c r="F35" s="60"/>
      <c r="G35" s="60"/>
      <c r="H35" s="60"/>
      <c r="I35" s="120"/>
      <c r="J35" s="120"/>
    </row>
    <row r="36" spans="1:16" x14ac:dyDescent="0.25">
      <c r="A36" s="17" t="str">
        <f>A5&amp;".2"</f>
        <v>14.2</v>
      </c>
      <c r="B36" s="774" t="str">
        <f>"Note "&amp;A36&amp;" : Micro and Small Enterprises"</f>
        <v>Note 14.2 : Micro and Small Enterprises</v>
      </c>
      <c r="C36" s="60"/>
      <c r="D36" s="60"/>
      <c r="E36" s="60"/>
      <c r="F36" s="60"/>
      <c r="G36" s="60"/>
      <c r="H36" s="60"/>
      <c r="I36" s="120"/>
      <c r="J36" s="120"/>
    </row>
    <row r="37" spans="1:16" x14ac:dyDescent="0.25">
      <c r="B37" s="54" t="s">
        <v>703</v>
      </c>
      <c r="C37" s="735"/>
      <c r="D37" s="735"/>
      <c r="E37" s="735"/>
      <c r="F37" s="735"/>
      <c r="G37" s="735"/>
      <c r="H37" s="735"/>
      <c r="I37" s="735"/>
      <c r="J37" s="735"/>
    </row>
    <row r="38" spans="1:16" x14ac:dyDescent="0.25">
      <c r="B38" s="286" t="s">
        <v>704</v>
      </c>
      <c r="C38" s="60"/>
      <c r="D38" s="60"/>
      <c r="E38" s="60"/>
      <c r="F38" s="60"/>
      <c r="G38" s="60"/>
      <c r="H38" s="60"/>
      <c r="I38" s="121"/>
      <c r="J38" s="121"/>
      <c r="M38" s="3"/>
      <c r="N38" s="3"/>
      <c r="O38" s="3"/>
      <c r="P38" s="3"/>
    </row>
    <row r="39" spans="1:16" ht="25" customHeight="1" x14ac:dyDescent="0.25">
      <c r="B39" s="284" t="s">
        <v>5</v>
      </c>
      <c r="C39" s="60"/>
      <c r="D39" s="60"/>
      <c r="E39" s="60"/>
      <c r="F39" s="60"/>
      <c r="G39" s="60"/>
      <c r="H39" s="612" t="str">
        <f>H5</f>
        <v>As at 
31 March 2025</v>
      </c>
      <c r="I39" s="612" t="str">
        <f>I5</f>
        <v>As at 
31 March 2025</v>
      </c>
      <c r="J39" s="612" t="str">
        <f>J5</f>
        <v>As at 
31 March 2024</v>
      </c>
      <c r="M39" s="3"/>
      <c r="N39" s="3"/>
      <c r="O39" s="3"/>
      <c r="P39" s="3"/>
    </row>
    <row r="40" spans="1:16" x14ac:dyDescent="0.25">
      <c r="B40" s="286" t="s">
        <v>705</v>
      </c>
      <c r="C40" s="60"/>
      <c r="D40" s="60"/>
      <c r="E40" s="60"/>
      <c r="F40" s="60"/>
      <c r="G40" s="60"/>
      <c r="H40" s="60"/>
      <c r="I40" s="122"/>
      <c r="J40" s="123"/>
    </row>
    <row r="41" spans="1:16" x14ac:dyDescent="0.25">
      <c r="B41" s="302" t="s">
        <v>706</v>
      </c>
      <c r="C41" s="60"/>
      <c r="D41" s="60"/>
      <c r="E41" s="60"/>
      <c r="F41" s="60"/>
      <c r="G41" s="60"/>
      <c r="H41" s="78">
        <f>'14-16'!H8</f>
        <v>95474.65</v>
      </c>
      <c r="I41" s="78">
        <f>H41/10^5</f>
        <v>0.95474649999999994</v>
      </c>
      <c r="J41" s="85">
        <v>78.558140399999999</v>
      </c>
    </row>
    <row r="42" spans="1:16" x14ac:dyDescent="0.25">
      <c r="B42" s="302" t="s">
        <v>707</v>
      </c>
      <c r="C42" s="60"/>
      <c r="D42" s="60"/>
      <c r="E42" s="60"/>
      <c r="F42" s="60"/>
      <c r="G42" s="60"/>
      <c r="H42" s="60"/>
      <c r="I42" s="124">
        <v>0</v>
      </c>
      <c r="J42" s="85">
        <v>0</v>
      </c>
    </row>
    <row r="43" spans="1:16" x14ac:dyDescent="0.25">
      <c r="B43" s="286" t="s">
        <v>708</v>
      </c>
      <c r="C43" s="60"/>
      <c r="D43" s="60"/>
      <c r="E43" s="60"/>
      <c r="F43" s="60"/>
      <c r="G43" s="60"/>
      <c r="H43" s="60"/>
      <c r="I43" s="124">
        <v>0</v>
      </c>
      <c r="J43" s="124">
        <v>0</v>
      </c>
    </row>
    <row r="44" spans="1:16" x14ac:dyDescent="0.25">
      <c r="B44" s="286" t="s">
        <v>709</v>
      </c>
      <c r="C44" s="60"/>
      <c r="D44" s="60"/>
      <c r="E44" s="60"/>
      <c r="F44" s="60"/>
      <c r="G44" s="60"/>
      <c r="H44" s="60">
        <v>461.03611223229899</v>
      </c>
      <c r="I44" s="659">
        <f>H44/10^5</f>
        <v>4.6103611223229897E-3</v>
      </c>
      <c r="J44" s="85">
        <v>0.40588746217558547</v>
      </c>
    </row>
    <row r="45" spans="1:16" x14ac:dyDescent="0.25">
      <c r="B45" s="286" t="s">
        <v>710</v>
      </c>
      <c r="C45" s="60"/>
      <c r="D45" s="60"/>
      <c r="E45" s="60"/>
      <c r="F45" s="60"/>
      <c r="G45" s="60"/>
      <c r="H45" s="60">
        <v>1081905.88736851</v>
      </c>
      <c r="I45" s="85">
        <f>H45/10^5</f>
        <v>10.819058873685099</v>
      </c>
      <c r="J45" s="85">
        <v>10.814448512562786</v>
      </c>
      <c r="K45" s="85"/>
    </row>
    <row r="46" spans="1:16" ht="37" customHeight="1" x14ac:dyDescent="0.25">
      <c r="B46" s="1121" t="s">
        <v>711</v>
      </c>
      <c r="C46" s="1121"/>
      <c r="D46" s="1121"/>
      <c r="E46" s="1121"/>
      <c r="F46" s="1121"/>
      <c r="G46" s="771"/>
      <c r="H46" s="60"/>
      <c r="I46" s="659">
        <f>H46/10^5</f>
        <v>0</v>
      </c>
      <c r="J46" s="453">
        <v>1.0331175747974503E-2</v>
      </c>
    </row>
    <row r="47" spans="1:16" x14ac:dyDescent="0.25">
      <c r="B47" s="19" t="s">
        <v>473</v>
      </c>
      <c r="C47" s="60"/>
      <c r="D47" s="60"/>
      <c r="E47" s="60"/>
      <c r="F47" s="60"/>
      <c r="G47" s="60"/>
      <c r="H47" s="60"/>
      <c r="I47" s="125"/>
      <c r="J47" s="316"/>
    </row>
    <row r="48" spans="1:16" x14ac:dyDescent="0.25">
      <c r="B48" s="19"/>
      <c r="C48" s="60"/>
      <c r="D48" s="60"/>
      <c r="E48" s="60"/>
      <c r="F48" s="60"/>
      <c r="G48" s="60"/>
      <c r="H48" s="60"/>
      <c r="I48" s="125"/>
      <c r="J48" s="316"/>
    </row>
    <row r="49" spans="1:11" ht="25" customHeight="1" x14ac:dyDescent="0.25">
      <c r="A49" s="129">
        <f>A5+1</f>
        <v>15</v>
      </c>
      <c r="B49" s="300" t="str">
        <f>"Note "&amp;A49&amp;": Other financial liabilities"</f>
        <v>Note 15: Other financial liabilities</v>
      </c>
      <c r="C49" s="60"/>
      <c r="D49" s="60"/>
      <c r="E49" s="60"/>
      <c r="F49" s="60"/>
      <c r="G49" s="60"/>
      <c r="H49" s="610" t="str">
        <f>H39</f>
        <v>As at 
31 March 2025</v>
      </c>
      <c r="I49" s="610" t="str">
        <f>I39</f>
        <v>As at 
31 March 2025</v>
      </c>
      <c r="J49" s="610" t="str">
        <f>J5</f>
        <v>As at 
31 March 2024</v>
      </c>
    </row>
    <row r="50" spans="1:11" x14ac:dyDescent="0.25">
      <c r="A50" s="17" t="s">
        <v>712</v>
      </c>
      <c r="B50" s="298" t="s">
        <v>713</v>
      </c>
      <c r="C50" s="60"/>
      <c r="D50" s="60"/>
      <c r="E50" s="60"/>
      <c r="F50" s="60"/>
      <c r="G50" s="60"/>
      <c r="H50" s="60">
        <f>-SUMIFS('Standalone TB'!$X:$X,'Standalone TB'!$Z:$Z,'14-16'!$A50)</f>
        <v>52497699.300354496</v>
      </c>
      <c r="I50" s="78">
        <f>(SUM(H50:H50))/10^5</f>
        <v>524.97699300354498</v>
      </c>
      <c r="J50" s="78">
        <v>689.46914081218006</v>
      </c>
      <c r="K50" s="27"/>
    </row>
    <row r="51" spans="1:11" x14ac:dyDescent="0.25">
      <c r="A51" s="17" t="s">
        <v>714</v>
      </c>
      <c r="B51" s="18" t="s">
        <v>715</v>
      </c>
      <c r="C51" s="60"/>
      <c r="D51" s="60"/>
      <c r="E51" s="60"/>
      <c r="F51" s="60"/>
      <c r="G51" s="60"/>
      <c r="H51" s="60">
        <f>-SUMIFS('Standalone TB'!$X:$X,'Standalone TB'!$Z:$Z,'14-16'!$A51)</f>
        <v>362837080.69554996</v>
      </c>
      <c r="I51" s="78">
        <f>(SUM(H51:H51))/10^5</f>
        <v>3628.3708069554996</v>
      </c>
      <c r="J51" s="78">
        <v>4549.2901144416091</v>
      </c>
      <c r="K51" s="27"/>
    </row>
    <row r="52" spans="1:11" x14ac:dyDescent="0.25">
      <c r="A52" s="17" t="s">
        <v>716</v>
      </c>
      <c r="B52" s="18" t="s">
        <v>717</v>
      </c>
      <c r="C52" s="60"/>
      <c r="D52" s="60"/>
      <c r="E52" s="60"/>
      <c r="F52" s="60"/>
      <c r="G52" s="60"/>
      <c r="H52" s="60">
        <f>-SUMIFS('Standalone TB'!$X:$X,'Standalone TB'!$Z:$Z,'14-16'!$A52)</f>
        <v>3582592.7015763209</v>
      </c>
      <c r="I52" s="78">
        <f>(SUM(H52:H52))/10^5</f>
        <v>35.825927015763206</v>
      </c>
      <c r="J52" s="78">
        <v>33.577196217864703</v>
      </c>
      <c r="K52" s="27"/>
    </row>
    <row r="53" spans="1:11" ht="12" thickBot="1" x14ac:dyDescent="0.3">
      <c r="B53" s="284" t="s">
        <v>100</v>
      </c>
      <c r="C53" s="60"/>
      <c r="D53" s="60"/>
      <c r="E53" s="60"/>
      <c r="F53" s="60"/>
      <c r="G53" s="60"/>
      <c r="H53" s="545">
        <f>SUM(H50:H52)</f>
        <v>418917372.69748074</v>
      </c>
      <c r="I53" s="545">
        <f>SUM(I50:I52)</f>
        <v>4189.1737269748082</v>
      </c>
      <c r="J53" s="545">
        <f>SUM(J50:J52)</f>
        <v>5272.3364514716541</v>
      </c>
      <c r="K53" s="27"/>
    </row>
    <row r="54" spans="1:11" ht="7.4" customHeight="1" thickTop="1" x14ac:dyDescent="0.25">
      <c r="B54" s="287"/>
      <c r="C54" s="60"/>
      <c r="D54" s="60"/>
      <c r="E54" s="60"/>
      <c r="F54" s="60"/>
      <c r="G54" s="60"/>
      <c r="H54" s="60"/>
      <c r="I54" s="84"/>
      <c r="J54" s="84"/>
    </row>
    <row r="55" spans="1:11" hidden="1" x14ac:dyDescent="0.25">
      <c r="B55" s="287"/>
      <c r="C55" s="60"/>
      <c r="D55" s="60"/>
      <c r="E55" s="60"/>
      <c r="F55" s="60"/>
      <c r="G55" s="60"/>
      <c r="H55" s="60"/>
      <c r="I55" s="84"/>
      <c r="J55" s="84"/>
    </row>
    <row r="56" spans="1:11" x14ac:dyDescent="0.25">
      <c r="B56" s="17"/>
      <c r="C56" s="60"/>
      <c r="D56" s="60"/>
      <c r="E56" s="60"/>
      <c r="F56" s="60"/>
      <c r="G56" s="60"/>
      <c r="H56" s="60"/>
      <c r="I56" s="125"/>
    </row>
    <row r="57" spans="1:11" ht="25" customHeight="1" x14ac:dyDescent="0.25">
      <c r="A57" s="129">
        <f>A49+1</f>
        <v>16</v>
      </c>
      <c r="B57" s="300" t="str">
        <f>"Note "&amp;A57&amp;": Other current liabilities"</f>
        <v>Note 16: Other current liabilities</v>
      </c>
      <c r="C57" s="60"/>
      <c r="D57" s="60"/>
      <c r="E57" s="60"/>
      <c r="F57" s="60"/>
      <c r="G57" s="60"/>
      <c r="H57" s="610" t="str">
        <f>H49</f>
        <v>As at 
31 March 2025</v>
      </c>
      <c r="I57" s="610" t="str">
        <f>I49</f>
        <v>As at 
31 March 2025</v>
      </c>
      <c r="J57" s="610" t="str">
        <f>J5</f>
        <v>As at 
31 March 2024</v>
      </c>
    </row>
    <row r="58" spans="1:11" ht="12.65" customHeight="1" x14ac:dyDescent="0.25">
      <c r="A58" s="17" t="s">
        <v>718</v>
      </c>
      <c r="B58" s="298" t="s">
        <v>719</v>
      </c>
      <c r="C58" s="60"/>
      <c r="D58" s="60"/>
      <c r="E58" s="60"/>
      <c r="F58" s="60"/>
      <c r="G58" s="60"/>
      <c r="H58" s="60">
        <f>-SUMIFS('Standalone TB'!$X:$X,'Standalone TB'!$Z:$Z,'14-16'!$A58)</f>
        <v>22083002.837689459</v>
      </c>
      <c r="I58" s="78">
        <f>(SUM(H58:H58))/10^5+0.4</f>
        <v>221.23002837689461</v>
      </c>
      <c r="J58" s="78">
        <v>631.25136169999996</v>
      </c>
      <c r="K58" s="17">
        <f t="shared" ref="K58:K66" si="0">ROUND(I58,0)</f>
        <v>221</v>
      </c>
    </row>
    <row r="59" spans="1:11" ht="12.65" customHeight="1" x14ac:dyDescent="0.25">
      <c r="B59" s="298" t="s">
        <v>720</v>
      </c>
      <c r="C59" s="60"/>
      <c r="D59" s="60"/>
      <c r="E59" s="60"/>
      <c r="F59" s="60"/>
      <c r="G59" s="60"/>
      <c r="H59" s="129"/>
      <c r="K59" s="17">
        <f t="shared" si="0"/>
        <v>0</v>
      </c>
    </row>
    <row r="60" spans="1:11" ht="12.65" customHeight="1" x14ac:dyDescent="0.25">
      <c r="A60" s="17" t="s">
        <v>721</v>
      </c>
      <c r="B60" s="1034" t="str">
        <f>"- Related parties (refer note "&amp;'30 RPT'!A5&amp;")"</f>
        <v>- Related parties (refer note 30)</v>
      </c>
      <c r="C60" s="60"/>
      <c r="D60" s="60"/>
      <c r="E60" s="60"/>
      <c r="F60" s="60"/>
      <c r="G60" s="60"/>
      <c r="H60" s="60">
        <f>-SUMIFS('Standalone TB'!$X:$X,'Standalone TB'!$Z:$Z,'14-16'!$A60)-H61</f>
        <v>21312521.099999998</v>
      </c>
      <c r="I60" s="78">
        <f>H60/10^5</f>
        <v>213.12521099999998</v>
      </c>
      <c r="J60" s="78">
        <v>2.1062501045499999</v>
      </c>
      <c r="K60" s="17">
        <f t="shared" si="0"/>
        <v>213</v>
      </c>
    </row>
    <row r="61" spans="1:11" ht="12.65" customHeight="1" x14ac:dyDescent="0.25">
      <c r="B61" s="1035" t="s">
        <v>555</v>
      </c>
      <c r="C61" s="60"/>
      <c r="D61" s="60"/>
      <c r="E61" s="60"/>
      <c r="F61" s="60"/>
      <c r="G61" s="60"/>
      <c r="H61" s="129">
        <f>-ROUND('Standalone TB'!X211+'Standalone TB'!X210,0)</f>
        <v>0</v>
      </c>
      <c r="I61" s="78">
        <f>H61/10^5</f>
        <v>0</v>
      </c>
      <c r="J61" s="78">
        <v>12.500830000000001</v>
      </c>
      <c r="K61" s="17">
        <f t="shared" si="0"/>
        <v>0</v>
      </c>
    </row>
    <row r="62" spans="1:11" ht="12.65" customHeight="1" x14ac:dyDescent="0.25">
      <c r="B62" s="298" t="s">
        <v>722</v>
      </c>
      <c r="C62" s="60"/>
      <c r="D62" s="60"/>
      <c r="E62" s="60"/>
      <c r="F62" s="60"/>
      <c r="G62" s="60"/>
      <c r="H62" s="129"/>
      <c r="I62" s="78">
        <f>H62/10^5</f>
        <v>0</v>
      </c>
      <c r="J62" s="78">
        <v>8.9123760000000001</v>
      </c>
      <c r="K62" s="17">
        <f t="shared" si="0"/>
        <v>0</v>
      </c>
    </row>
    <row r="63" spans="1:11" ht="12.65" customHeight="1" x14ac:dyDescent="0.25">
      <c r="A63" s="17" t="s">
        <v>723</v>
      </c>
      <c r="B63" s="298" t="s">
        <v>724</v>
      </c>
      <c r="C63" s="60"/>
      <c r="D63" s="60"/>
      <c r="E63" s="60"/>
      <c r="F63" s="60"/>
      <c r="G63" s="60"/>
      <c r="H63" s="60">
        <f>-SUMIFS('Standalone TB'!$X:$X,'Standalone TB'!$Z:$Z,'14-16'!$A63)</f>
        <v>606973.23272799409</v>
      </c>
      <c r="I63" s="78">
        <f>H63/10^5</f>
        <v>6.0697323272799411</v>
      </c>
      <c r="J63" s="78">
        <v>8.4656821302775427</v>
      </c>
      <c r="K63" s="17">
        <f t="shared" si="0"/>
        <v>6</v>
      </c>
    </row>
    <row r="64" spans="1:11" ht="12.65" customHeight="1" x14ac:dyDescent="0.25">
      <c r="B64" s="32" t="s">
        <v>725</v>
      </c>
      <c r="C64" s="60"/>
      <c r="D64" s="60"/>
      <c r="E64" s="60"/>
      <c r="F64" s="60"/>
      <c r="G64" s="60"/>
      <c r="H64" s="129"/>
      <c r="K64" s="17">
        <f t="shared" si="0"/>
        <v>0</v>
      </c>
    </row>
    <row r="65" spans="1:11" ht="12.65" customHeight="1" x14ac:dyDescent="0.25">
      <c r="A65" s="17" t="s">
        <v>726</v>
      </c>
      <c r="B65" s="824" t="str">
        <f>"- Related parties (refer note "&amp;'30 RPT'!A5&amp;")"</f>
        <v>- Related parties (refer note 30)</v>
      </c>
      <c r="C65" s="60"/>
      <c r="D65" s="60"/>
      <c r="E65" s="60"/>
      <c r="F65" s="60"/>
      <c r="G65" s="60"/>
      <c r="H65" s="60">
        <f>-SUMIFS('Standalone TB'!$X:$X,'Standalone TB'!$Z:$Z,'14-16'!$A65)</f>
        <v>0</v>
      </c>
      <c r="I65" s="78">
        <f>H65/10^5</f>
        <v>0</v>
      </c>
      <c r="J65" s="78">
        <v>155.81266534265001</v>
      </c>
      <c r="K65" s="17">
        <f t="shared" si="0"/>
        <v>0</v>
      </c>
    </row>
    <row r="66" spans="1:11" ht="12.65" customHeight="1" x14ac:dyDescent="0.25">
      <c r="A66" s="17" t="s">
        <v>727</v>
      </c>
      <c r="B66" s="1035" t="s">
        <v>555</v>
      </c>
      <c r="C66" s="60"/>
      <c r="D66" s="60"/>
      <c r="E66" s="60"/>
      <c r="F66" s="60"/>
      <c r="G66" s="60"/>
      <c r="H66" s="60">
        <f>-SUMIFS('Standalone TB'!$X:$X,'Standalone TB'!$Z:$Z,'14-16'!$A66)</f>
        <v>45202929.632994466</v>
      </c>
      <c r="I66" s="78">
        <f>H66/10^5</f>
        <v>452.02929632994466</v>
      </c>
      <c r="J66" s="78">
        <v>496.06185237843999</v>
      </c>
      <c r="K66" s="17">
        <f t="shared" si="0"/>
        <v>452</v>
      </c>
    </row>
    <row r="67" spans="1:11" ht="12" thickBot="1" x14ac:dyDescent="0.3">
      <c r="B67" s="284" t="s">
        <v>100</v>
      </c>
      <c r="C67" s="60"/>
      <c r="D67" s="60"/>
      <c r="E67" s="60"/>
      <c r="F67" s="60"/>
      <c r="G67" s="60"/>
      <c r="H67" s="545">
        <f>SUM(H58:H66)</f>
        <v>89205426.803411916</v>
      </c>
      <c r="I67" s="545">
        <f>SUM(I58:I66)</f>
        <v>892.4542680341192</v>
      </c>
      <c r="J67" s="545">
        <f>SUM(J58:J66)</f>
        <v>1315.1110176559173</v>
      </c>
    </row>
    <row r="68" spans="1:11" ht="12" thickTop="1" x14ac:dyDescent="0.25">
      <c r="B68" s="287"/>
      <c r="C68" s="60"/>
      <c r="D68" s="60"/>
      <c r="E68" s="60"/>
      <c r="F68" s="60"/>
      <c r="G68" s="60"/>
      <c r="H68" s="60"/>
      <c r="I68" s="77"/>
      <c r="J68" s="77"/>
    </row>
    <row r="71" spans="1:11" ht="12" x14ac:dyDescent="0.25">
      <c r="B71" s="319"/>
      <c r="E71" s="130"/>
      <c r="F71" s="60"/>
      <c r="G71" s="60"/>
      <c r="H71" s="60"/>
    </row>
    <row r="72" spans="1:11" ht="12" x14ac:dyDescent="0.25">
      <c r="E72" s="130"/>
    </row>
  </sheetData>
  <mergeCells count="1">
    <mergeCell ref="B46:F46"/>
  </mergeCells>
  <pageMargins left="0.23622047244094491" right="0.23622047244094491" top="0.74803149606299213" bottom="0.74803149606299213" header="0.31496062992125984" footer="0.31496062992125984"/>
  <pageSetup paperSize="9" scale="6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04E87-F639-4652-94F0-788391E7DE15}">
  <sheetPr>
    <tabColor rgb="FF7030A0"/>
  </sheetPr>
  <dimension ref="A1:H205"/>
  <sheetViews>
    <sheetView showGridLines="0" view="pageBreakPreview" topLeftCell="A175" zoomScaleNormal="100" zoomScaleSheetLayoutView="100" workbookViewId="0">
      <selection activeCell="D114" sqref="D114"/>
    </sheetView>
  </sheetViews>
  <sheetFormatPr defaultColWidth="9.1796875" defaultRowHeight="11.5" outlineLevelCol="1" x14ac:dyDescent="0.25"/>
  <cols>
    <col min="1" max="1" width="5.81640625" style="129" customWidth="1"/>
    <col min="2" max="2" width="71.1796875" style="19" customWidth="1"/>
    <col min="3" max="3" width="18.1796875" style="17" customWidth="1" outlineLevel="1"/>
    <col min="4" max="5" width="25.81640625" style="78" customWidth="1"/>
    <col min="6" max="6" width="12" style="17" bestFit="1" customWidth="1"/>
    <col min="7" max="7" width="12.90625" style="17" bestFit="1" customWidth="1"/>
    <col min="8" max="8" width="11.1796875" style="17" bestFit="1" customWidth="1"/>
    <col min="9" max="16384" width="9.1796875" style="17"/>
  </cols>
  <sheetData>
    <row r="1" spans="1:8" x14ac:dyDescent="0.25">
      <c r="B1" s="39" t="str">
        <f>'3-4'!B1</f>
        <v>Paladion Networks Private Limited</v>
      </c>
    </row>
    <row r="2" spans="1:8" x14ac:dyDescent="0.25">
      <c r="A2" s="615"/>
      <c r="B2" s="39" t="str">
        <f>'3-4'!B2</f>
        <v>Summary of Material accounting policies and other explanatory information</v>
      </c>
      <c r="C2" s="79"/>
      <c r="D2" s="80"/>
      <c r="E2" s="80"/>
    </row>
    <row r="3" spans="1:8" ht="12" x14ac:dyDescent="0.3">
      <c r="B3" s="231" t="str">
        <f>'3-4'!B3</f>
        <v>(Amounts are stated in ₹ lakhs, except share and per share data, unless ottherwise stated)</v>
      </c>
      <c r="C3" s="79"/>
      <c r="D3" s="80"/>
      <c r="E3" s="80"/>
    </row>
    <row r="4" spans="1:8" x14ac:dyDescent="0.25">
      <c r="B4" s="81"/>
      <c r="C4" s="134"/>
      <c r="D4" s="80"/>
      <c r="E4" s="80"/>
    </row>
    <row r="5" spans="1:8" ht="23" x14ac:dyDescent="0.25">
      <c r="A5" s="129">
        <f>'14-16'!A57+1</f>
        <v>17</v>
      </c>
      <c r="B5" s="53" t="str">
        <f>"Note "&amp;A5&amp;": Revenue from contract with customers"</f>
        <v>Note 17: Revenue from contract with customers</v>
      </c>
      <c r="C5" s="294" t="s">
        <v>146</v>
      </c>
      <c r="D5" s="294" t="s">
        <v>146</v>
      </c>
      <c r="E5" s="294" t="s">
        <v>147</v>
      </c>
    </row>
    <row r="6" spans="1:8" x14ac:dyDescent="0.25">
      <c r="B6" s="82" t="s">
        <v>728</v>
      </c>
      <c r="C6" s="51"/>
      <c r="D6" s="51"/>
      <c r="E6" s="51"/>
    </row>
    <row r="7" spans="1:8" x14ac:dyDescent="0.25">
      <c r="B7" s="83" t="s">
        <v>729</v>
      </c>
      <c r="C7" s="84"/>
      <c r="D7" s="85"/>
      <c r="E7" s="85"/>
    </row>
    <row r="8" spans="1:8" x14ac:dyDescent="0.25">
      <c r="B8" s="1034" t="str">
        <f>"- Related parties (refer note "&amp;'30 RPT'!A5&amp;")"</f>
        <v>- Related parties (refer note 30)</v>
      </c>
      <c r="C8" s="57">
        <f>1690580687.09239</f>
        <v>1690580687.0923901</v>
      </c>
      <c r="D8" s="85">
        <f>(SUM(C8:C8))/10^5</f>
        <v>16905.806870923901</v>
      </c>
      <c r="E8" s="85">
        <v>18783.094580000001</v>
      </c>
      <c r="F8" s="775" t="s">
        <v>1499</v>
      </c>
      <c r="G8" s="17">
        <v>1694030104.31109</v>
      </c>
      <c r="H8" s="17">
        <f>C8-G8</f>
        <v>-3449417.2186999321</v>
      </c>
    </row>
    <row r="9" spans="1:8" x14ac:dyDescent="0.25">
      <c r="A9" s="129" t="s">
        <v>730</v>
      </c>
      <c r="B9" s="1033" t="s">
        <v>555</v>
      </c>
      <c r="C9" s="60">
        <f>-SUMIFS('Standalone TB'!$X:$X,'Standalone TB'!$Z:$Z,'17-25'!$A9)-C8</f>
        <v>639548276.39891911</v>
      </c>
      <c r="D9" s="85">
        <f>(SUM(C9:C9))/10^5</f>
        <v>6395.482763989191</v>
      </c>
      <c r="E9" s="85">
        <v>9294.8720890058848</v>
      </c>
      <c r="G9" s="17">
        <v>640021336.78045034</v>
      </c>
      <c r="H9" s="17">
        <f>C9-G9</f>
        <v>-473060.38153123856</v>
      </c>
    </row>
    <row r="10" spans="1:8" hidden="1" x14ac:dyDescent="0.25">
      <c r="B10" s="82" t="s">
        <v>731</v>
      </c>
      <c r="C10" s="57">
        <v>0</v>
      </c>
      <c r="D10" s="85">
        <f>(SUM(C10:C10))/10^5</f>
        <v>0</v>
      </c>
      <c r="E10" s="85">
        <v>0</v>
      </c>
    </row>
    <row r="11" spans="1:8" x14ac:dyDescent="0.25">
      <c r="B11" s="82"/>
      <c r="C11" s="49"/>
      <c r="D11" s="49"/>
      <c r="E11" s="49"/>
    </row>
    <row r="12" spans="1:8" ht="12" thickBot="1" x14ac:dyDescent="0.3">
      <c r="B12" s="61" t="s">
        <v>100</v>
      </c>
      <c r="C12" s="546">
        <f>SUM(C6:C11)</f>
        <v>2330128963.4913092</v>
      </c>
      <c r="D12" s="546">
        <f>SUM(D6:D11)</f>
        <v>23301.289634913093</v>
      </c>
      <c r="E12" s="546">
        <f>SUM(E6:E11)</f>
        <v>28077.966669005888</v>
      </c>
    </row>
    <row r="13" spans="1:8" ht="12" thickTop="1" x14ac:dyDescent="0.25">
      <c r="B13" s="61"/>
      <c r="C13" s="77"/>
      <c r="D13" s="77"/>
      <c r="E13" s="77"/>
    </row>
    <row r="14" spans="1:8" x14ac:dyDescent="0.25">
      <c r="B14" s="61" t="str">
        <f>A5&amp;".1 Disaggregated revenue information"</f>
        <v>17.1 Disaggregated revenue information</v>
      </c>
      <c r="C14" s="77"/>
      <c r="D14" s="77"/>
      <c r="E14" s="436"/>
    </row>
    <row r="15" spans="1:8" hidden="1" x14ac:dyDescent="0.25">
      <c r="B15" s="320"/>
      <c r="C15" s="321"/>
      <c r="D15" s="321"/>
      <c r="E15" s="437"/>
    </row>
    <row r="16" spans="1:8" ht="23" x14ac:dyDescent="0.25">
      <c r="B16" s="455" t="s">
        <v>732</v>
      </c>
      <c r="C16" s="294" t="str">
        <f>C5</f>
        <v>For the year ended
31 March 2025</v>
      </c>
      <c r="D16" s="294" t="str">
        <f>D5</f>
        <v>For the year ended
31 March 2025</v>
      </c>
      <c r="E16" s="294" t="str">
        <f>E5</f>
        <v>For the year ended
31 March 2024</v>
      </c>
    </row>
    <row r="17" spans="2:5" ht="7.4" customHeight="1" x14ac:dyDescent="0.25">
      <c r="B17" s="61"/>
      <c r="C17" s="77"/>
      <c r="D17" s="88"/>
      <c r="E17" s="77"/>
    </row>
    <row r="18" spans="2:5" x14ac:dyDescent="0.25">
      <c r="B18" s="1006" t="s">
        <v>733</v>
      </c>
      <c r="C18" s="57">
        <f>542482447.523959</f>
        <v>542482447.52395904</v>
      </c>
      <c r="D18" s="85">
        <f t="shared" ref="D18:D23" si="0">(SUM(C18:C18))/10^5</f>
        <v>5424.8244752395904</v>
      </c>
      <c r="E18" s="85">
        <v>6213.9769500000002</v>
      </c>
    </row>
    <row r="19" spans="2:5" x14ac:dyDescent="0.25">
      <c r="B19" s="1006" t="s">
        <v>549</v>
      </c>
      <c r="C19" s="57">
        <f>495599735.83</f>
        <v>495599735.82999998</v>
      </c>
      <c r="D19" s="85">
        <f t="shared" si="0"/>
        <v>4955.9973583000001</v>
      </c>
      <c r="E19" s="85">
        <v>6756.5608499999998</v>
      </c>
    </row>
    <row r="20" spans="2:5" x14ac:dyDescent="0.25">
      <c r="B20" s="1006" t="s">
        <v>734</v>
      </c>
      <c r="C20" s="57">
        <f>360072124.453192</f>
        <v>360072124.453192</v>
      </c>
      <c r="D20" s="85">
        <f t="shared" si="0"/>
        <v>3600.7212445319201</v>
      </c>
      <c r="E20" s="85">
        <v>8009.7931200000003</v>
      </c>
    </row>
    <row r="21" spans="2:5" x14ac:dyDescent="0.25">
      <c r="B21" s="1006" t="s">
        <v>735</v>
      </c>
      <c r="C21" s="57">
        <f>574931206.614334</f>
        <v>574931206.61433399</v>
      </c>
      <c r="D21" s="85">
        <f t="shared" si="0"/>
        <v>5749.3120661433395</v>
      </c>
      <c r="E21" s="85">
        <v>4101.0867398856199</v>
      </c>
    </row>
    <row r="22" spans="2:5" x14ac:dyDescent="0.25">
      <c r="B22" s="1006" t="s">
        <v>736</v>
      </c>
      <c r="C22" s="57">
        <f>141338903.28</f>
        <v>141338903.28</v>
      </c>
      <c r="D22" s="85">
        <f t="shared" si="0"/>
        <v>1413.3890328</v>
      </c>
      <c r="E22" s="85">
        <v>1140.30341</v>
      </c>
    </row>
    <row r="23" spans="2:5" x14ac:dyDescent="0.25">
      <c r="B23" s="1006" t="s">
        <v>737</v>
      </c>
      <c r="C23" s="156">
        <f>215704545.789825</f>
        <v>215704545.78982499</v>
      </c>
      <c r="D23" s="85">
        <f t="shared" si="0"/>
        <v>2157.0454578982499</v>
      </c>
      <c r="E23" s="85">
        <v>1856.2456</v>
      </c>
    </row>
    <row r="24" spans="2:5" ht="12" thickBot="1" x14ac:dyDescent="0.3">
      <c r="B24" s="2" t="s">
        <v>100</v>
      </c>
      <c r="C24" s="263">
        <f>SUM(C18:C23)</f>
        <v>2330128963.4913101</v>
      </c>
      <c r="D24" s="263">
        <f>SUM(D18:D23)</f>
        <v>23301.289634913101</v>
      </c>
      <c r="E24" s="263">
        <f>SUM(E18:E23)</f>
        <v>28077.96666988562</v>
      </c>
    </row>
    <row r="25" spans="2:5" ht="12" thickTop="1" x14ac:dyDescent="0.25">
      <c r="B25" s="61"/>
      <c r="C25" s="77"/>
      <c r="D25" s="77"/>
      <c r="E25" s="77"/>
    </row>
    <row r="26" spans="2:5" ht="23" x14ac:dyDescent="0.25">
      <c r="B26" s="2" t="s">
        <v>738</v>
      </c>
      <c r="C26" s="294" t="str">
        <f>C16</f>
        <v>For the year ended
31 March 2025</v>
      </c>
      <c r="D26" s="294" t="str">
        <f>D16</f>
        <v>For the year ended
31 March 2025</v>
      </c>
      <c r="E26" s="294" t="str">
        <f>E5</f>
        <v>For the year ended
31 March 2024</v>
      </c>
    </row>
    <row r="27" spans="2:5" ht="7.4" customHeight="1" x14ac:dyDescent="0.25">
      <c r="B27" s="2"/>
      <c r="C27" s="77"/>
      <c r="D27" s="89"/>
      <c r="E27" s="89"/>
    </row>
    <row r="28" spans="2:5" x14ac:dyDescent="0.25">
      <c r="B28" s="803" t="s">
        <v>739</v>
      </c>
      <c r="C28" s="57">
        <f>198115661.937855</f>
        <v>198115661.93785501</v>
      </c>
      <c r="D28" s="85">
        <f>C28/10^5</f>
        <v>1981.15661937855</v>
      </c>
      <c r="E28" s="85">
        <v>3841.7367100000001</v>
      </c>
    </row>
    <row r="29" spans="2:5" x14ac:dyDescent="0.25">
      <c r="B29" s="803" t="s">
        <v>740</v>
      </c>
      <c r="C29" s="57">
        <f>2001794164.86674</f>
        <v>2001794164.86674</v>
      </c>
      <c r="D29" s="85">
        <f t="shared" ref="D29:D30" si="1">C29/10^5</f>
        <v>20017.941648667398</v>
      </c>
      <c r="E29" s="85">
        <v>21743.13897</v>
      </c>
    </row>
    <row r="30" spans="2:5" x14ac:dyDescent="0.25">
      <c r="B30" s="803" t="s">
        <v>310</v>
      </c>
      <c r="C30" s="156">
        <f>130219136.686713</f>
        <v>130219136.686713</v>
      </c>
      <c r="D30" s="85">
        <f t="shared" si="1"/>
        <v>1302.19136686713</v>
      </c>
      <c r="E30" s="85">
        <v>2492.0909900000001</v>
      </c>
    </row>
    <row r="31" spans="2:5" ht="12" thickBot="1" x14ac:dyDescent="0.3">
      <c r="B31" s="2" t="s">
        <v>100</v>
      </c>
      <c r="C31" s="263">
        <f>SUM(C28:C30)</f>
        <v>2330128963.4913082</v>
      </c>
      <c r="D31" s="263">
        <f>SUM(D28:D30)</f>
        <v>23301.289634913079</v>
      </c>
      <c r="E31" s="547">
        <f>SUM(E28:E30)</f>
        <v>28076.966670000002</v>
      </c>
    </row>
    <row r="32" spans="2:5" ht="12" thickTop="1" x14ac:dyDescent="0.25">
      <c r="B32" s="2"/>
      <c r="C32" s="77"/>
      <c r="D32" s="91"/>
      <c r="E32" s="92"/>
    </row>
    <row r="33" spans="2:5" ht="23" x14ac:dyDescent="0.25">
      <c r="B33" s="2" t="s">
        <v>741</v>
      </c>
      <c r="C33" s="294" t="str">
        <f>C26</f>
        <v>For the year ended
31 March 2025</v>
      </c>
      <c r="D33" s="294" t="str">
        <f>D26</f>
        <v>For the year ended
31 March 2025</v>
      </c>
      <c r="E33" s="294" t="str">
        <f>E26</f>
        <v>For the year ended
31 March 2024</v>
      </c>
    </row>
    <row r="34" spans="2:5" x14ac:dyDescent="0.25">
      <c r="B34" s="2"/>
      <c r="C34" s="77"/>
      <c r="D34" s="91"/>
      <c r="E34" s="92"/>
    </row>
    <row r="35" spans="2:5" x14ac:dyDescent="0.25">
      <c r="B35" s="803" t="s">
        <v>742</v>
      </c>
      <c r="C35" s="57">
        <f>1416253280.33104</f>
        <v>1416253280.3310399</v>
      </c>
      <c r="D35" s="85">
        <f t="shared" ref="D35:D36" si="2">(SUM(C35:C35))/10^5</f>
        <v>14162.5328033104</v>
      </c>
      <c r="E35" s="1007">
        <v>16028.830009659099</v>
      </c>
    </row>
    <row r="36" spans="2:5" x14ac:dyDescent="0.25">
      <c r="B36" s="803" t="s">
        <v>310</v>
      </c>
      <c r="C36" s="57">
        <f>C12-C35</f>
        <v>913875683.16026926</v>
      </c>
      <c r="D36" s="85">
        <f t="shared" si="2"/>
        <v>9138.7568316026918</v>
      </c>
      <c r="E36" s="1007">
        <v>12049.136659346799</v>
      </c>
    </row>
    <row r="37" spans="2:5" x14ac:dyDescent="0.25">
      <c r="B37" s="2"/>
      <c r="C37" s="77"/>
      <c r="D37" s="91"/>
      <c r="E37" s="92"/>
    </row>
    <row r="38" spans="2:5" x14ac:dyDescent="0.25">
      <c r="B38" s="2" t="s">
        <v>743</v>
      </c>
      <c r="C38" s="77"/>
      <c r="D38" s="91"/>
      <c r="E38" s="92"/>
    </row>
    <row r="39" spans="2:5" x14ac:dyDescent="0.25">
      <c r="B39" s="2"/>
      <c r="C39" s="77"/>
      <c r="D39" s="91"/>
      <c r="E39" s="92"/>
    </row>
    <row r="40" spans="2:5" x14ac:dyDescent="0.25">
      <c r="B40" s="803" t="s">
        <v>744</v>
      </c>
      <c r="C40" s="57">
        <f>C12</f>
        <v>2330128963.4913092</v>
      </c>
      <c r="D40" s="1060">
        <f>D24-D41</f>
        <v>23301.289634913101</v>
      </c>
      <c r="E40" s="57">
        <v>24438.799955089591</v>
      </c>
    </row>
    <row r="41" spans="2:5" x14ac:dyDescent="0.25">
      <c r="B41" s="803" t="s">
        <v>745</v>
      </c>
      <c r="C41" s="77">
        <f>0</f>
        <v>0</v>
      </c>
      <c r="D41" s="1060">
        <f>C41/10^5</f>
        <v>0</v>
      </c>
      <c r="E41" s="57">
        <v>3639.1667147960302</v>
      </c>
    </row>
    <row r="42" spans="2:5" x14ac:dyDescent="0.25">
      <c r="B42" s="2"/>
      <c r="C42" s="77"/>
      <c r="D42" s="91"/>
      <c r="E42" s="92"/>
    </row>
    <row r="43" spans="2:5" ht="23" x14ac:dyDescent="0.25">
      <c r="B43" s="2" t="s">
        <v>746</v>
      </c>
      <c r="C43" s="294" t="str">
        <f>C5</f>
        <v>For the year ended
31 March 2025</v>
      </c>
      <c r="D43" s="294" t="str">
        <f>D5</f>
        <v>For the year ended
31 March 2025</v>
      </c>
      <c r="E43" s="294" t="str">
        <f>E5</f>
        <v>For the year ended
31 March 2024</v>
      </c>
    </row>
    <row r="44" spans="2:5" ht="7.4" customHeight="1" x14ac:dyDescent="0.25">
      <c r="B44" s="2"/>
      <c r="C44" s="77"/>
      <c r="D44" s="89"/>
      <c r="E44" s="89"/>
    </row>
    <row r="45" spans="2:5" x14ac:dyDescent="0.25">
      <c r="B45" s="803" t="s">
        <v>747</v>
      </c>
      <c r="C45" s="77"/>
      <c r="D45" s="85">
        <f>'8-10'!I14+'8-10'!I15</f>
        <v>3366.5583474271357</v>
      </c>
      <c r="E45" s="85">
        <v>1878.1639557660101</v>
      </c>
    </row>
    <row r="46" spans="2:5" x14ac:dyDescent="0.25">
      <c r="B46" s="803" t="s">
        <v>748</v>
      </c>
      <c r="C46" s="77"/>
      <c r="D46" s="85">
        <f>'14-16'!I65+'14-16'!I66+'14-16'!I60+'14-16'!I61</f>
        <v>665.15450732994464</v>
      </c>
      <c r="E46" s="85">
        <v>666.48159782563994</v>
      </c>
    </row>
    <row r="47" spans="2:5" ht="7.4" customHeight="1" x14ac:dyDescent="0.25">
      <c r="B47" s="2"/>
      <c r="C47" s="77"/>
      <c r="D47" s="89"/>
      <c r="E47" s="89"/>
    </row>
    <row r="48" spans="2:5" x14ac:dyDescent="0.25">
      <c r="B48" s="61"/>
      <c r="C48" s="77"/>
      <c r="D48" s="77"/>
      <c r="E48" s="77"/>
    </row>
    <row r="49" spans="2:5" x14ac:dyDescent="0.25">
      <c r="B49" s="61" t="s">
        <v>749</v>
      </c>
      <c r="C49" s="77"/>
      <c r="D49" s="77"/>
      <c r="E49" s="77"/>
    </row>
    <row r="50" spans="2:5" x14ac:dyDescent="0.25">
      <c r="B50" s="61" t="s">
        <v>23</v>
      </c>
      <c r="C50" s="77"/>
      <c r="D50" s="77"/>
      <c r="E50" s="77"/>
    </row>
    <row r="51" spans="2:5" ht="37.4" customHeight="1" x14ac:dyDescent="0.25">
      <c r="B51" s="1121" t="s">
        <v>750</v>
      </c>
      <c r="C51" s="1121"/>
      <c r="D51" s="1121"/>
      <c r="E51" s="1121"/>
    </row>
    <row r="52" spans="2:5" x14ac:dyDescent="0.25">
      <c r="B52" s="61" t="s">
        <v>751</v>
      </c>
      <c r="C52" s="94"/>
      <c r="D52" s="95"/>
      <c r="E52" s="95"/>
    </row>
    <row r="53" spans="2:5" ht="25.4" customHeight="1" x14ac:dyDescent="0.25">
      <c r="B53" s="1121" t="s">
        <v>752</v>
      </c>
      <c r="C53" s="1121"/>
      <c r="D53" s="1121"/>
      <c r="E53" s="1121"/>
    </row>
    <row r="54" spans="2:5" x14ac:dyDescent="0.25">
      <c r="B54" s="81"/>
      <c r="C54" s="94"/>
      <c r="D54" s="95"/>
      <c r="E54" s="95"/>
    </row>
    <row r="55" spans="2:5" x14ac:dyDescent="0.25">
      <c r="B55" s="2" t="s">
        <v>753</v>
      </c>
      <c r="C55" s="94"/>
      <c r="D55" s="95"/>
      <c r="E55" s="95"/>
    </row>
    <row r="56" spans="2:5" ht="23" x14ac:dyDescent="0.25">
      <c r="B56" s="113"/>
      <c r="C56" s="94"/>
      <c r="D56" s="294" t="str">
        <f>D43</f>
        <v>For the year ended
31 March 2025</v>
      </c>
      <c r="E56" s="294" t="str">
        <f>E5</f>
        <v>For the year ended
31 March 2024</v>
      </c>
    </row>
    <row r="57" spans="2:5" x14ac:dyDescent="0.25">
      <c r="B57" s="82" t="s">
        <v>754</v>
      </c>
      <c r="C57" s="94"/>
      <c r="D57" s="85">
        <f>E60</f>
        <v>666.48159782563994</v>
      </c>
      <c r="E57" s="85">
        <v>843.60372980901047</v>
      </c>
    </row>
    <row r="58" spans="2:5" x14ac:dyDescent="0.25">
      <c r="B58" s="82" t="s">
        <v>755</v>
      </c>
      <c r="C58" s="94"/>
      <c r="D58" s="85">
        <f>D46</f>
        <v>665.15450732994464</v>
      </c>
      <c r="E58" s="85">
        <v>666.48159782563994</v>
      </c>
    </row>
    <row r="59" spans="2:5" x14ac:dyDescent="0.25">
      <c r="B59" s="82" t="s">
        <v>756</v>
      </c>
      <c r="C59" s="94"/>
      <c r="D59" s="85">
        <f>-D57</f>
        <v>-666.48159782563994</v>
      </c>
      <c r="E59" s="85">
        <v>-843.60372980901047</v>
      </c>
    </row>
    <row r="60" spans="2:5" ht="12" thickBot="1" x14ac:dyDescent="0.3">
      <c r="B60" s="82" t="s">
        <v>757</v>
      </c>
      <c r="C60" s="94"/>
      <c r="D60" s="150">
        <f>SUM(D57:D59)</f>
        <v>665.15450732994464</v>
      </c>
      <c r="E60" s="150">
        <f>SUM(E57:E59)</f>
        <v>666.48159782563994</v>
      </c>
    </row>
    <row r="61" spans="2:5" ht="12" thickTop="1" x14ac:dyDescent="0.25">
      <c r="B61" s="17"/>
      <c r="C61" s="94"/>
      <c r="D61" s="125"/>
      <c r="E61" s="125"/>
    </row>
    <row r="62" spans="2:5" x14ac:dyDescent="0.25">
      <c r="B62" s="81"/>
      <c r="C62" s="94"/>
      <c r="D62" s="125"/>
      <c r="E62" s="125"/>
    </row>
    <row r="63" spans="2:5" x14ac:dyDescent="0.25">
      <c r="B63" s="82" t="s">
        <v>758</v>
      </c>
      <c r="C63" s="94"/>
      <c r="D63" s="85">
        <f>E45</f>
        <v>1878.1639557660101</v>
      </c>
      <c r="E63" s="85">
        <v>1806.1718900000001</v>
      </c>
    </row>
    <row r="64" spans="2:5" x14ac:dyDescent="0.25">
      <c r="B64" s="82" t="s">
        <v>759</v>
      </c>
      <c r="C64" s="94"/>
      <c r="D64" s="85">
        <f>D45</f>
        <v>3366.5583474271357</v>
      </c>
      <c r="E64" s="85">
        <v>1878.1639557660101</v>
      </c>
    </row>
    <row r="65" spans="1:7" x14ac:dyDescent="0.25">
      <c r="B65" s="82" t="s">
        <v>760</v>
      </c>
      <c r="C65" s="94"/>
      <c r="D65" s="85">
        <f>-D63</f>
        <v>-1878.1639557660101</v>
      </c>
      <c r="E65" s="85">
        <v>-1806.1718900000001</v>
      </c>
    </row>
    <row r="66" spans="1:7" ht="12" thickBot="1" x14ac:dyDescent="0.3">
      <c r="B66" s="82" t="s">
        <v>761</v>
      </c>
      <c r="C66" s="94"/>
      <c r="D66" s="150">
        <f>SUM(D63:D65)</f>
        <v>3366.5583474271361</v>
      </c>
      <c r="E66" s="150">
        <f>SUM(E63:E65)</f>
        <v>1878.1639557660101</v>
      </c>
    </row>
    <row r="67" spans="1:7" ht="12" thickTop="1" x14ac:dyDescent="0.25">
      <c r="B67" s="81"/>
      <c r="C67" s="94"/>
      <c r="D67" s="85"/>
      <c r="E67" s="85"/>
    </row>
    <row r="68" spans="1:7" x14ac:dyDescent="0.25">
      <c r="B68" s="81"/>
      <c r="C68" s="94"/>
      <c r="D68" s="85"/>
      <c r="E68" s="85"/>
    </row>
    <row r="69" spans="1:7" x14ac:dyDescent="0.25">
      <c r="B69" s="61" t="str">
        <f>B1</f>
        <v>Paladion Networks Private Limited</v>
      </c>
      <c r="C69" s="94"/>
      <c r="D69" s="85"/>
      <c r="E69" s="85"/>
    </row>
    <row r="70" spans="1:7" x14ac:dyDescent="0.25">
      <c r="B70" s="61" t="str">
        <f>B2</f>
        <v>Summary of Material accounting policies and other explanatory information</v>
      </c>
      <c r="C70" s="94"/>
      <c r="D70" s="85"/>
      <c r="E70" s="85"/>
    </row>
    <row r="71" spans="1:7" ht="12" x14ac:dyDescent="0.25">
      <c r="B71" s="382" t="str">
        <f>B3</f>
        <v>(Amounts are stated in ₹ lakhs, except share and per share data, unless ottherwise stated)</v>
      </c>
      <c r="C71" s="94"/>
      <c r="D71" s="85"/>
      <c r="E71" s="85"/>
    </row>
    <row r="72" spans="1:7" x14ac:dyDescent="0.25">
      <c r="B72" s="17"/>
      <c r="C72" s="53"/>
      <c r="D72" s="1138"/>
      <c r="E72" s="1138"/>
    </row>
    <row r="73" spans="1:7" ht="23" x14ac:dyDescent="0.25">
      <c r="A73" s="129">
        <f>A5+1</f>
        <v>18</v>
      </c>
      <c r="B73" s="53" t="str">
        <f>"Note "&amp;A73&amp;": Other income"</f>
        <v>Note 18: Other income</v>
      </c>
      <c r="C73" s="294" t="str">
        <f>C43</f>
        <v>For the year ended
31 March 2025</v>
      </c>
      <c r="D73" s="294" t="str">
        <f>D43</f>
        <v>For the year ended
31 March 2025</v>
      </c>
      <c r="E73" s="294" t="str">
        <f>E5</f>
        <v>For the year ended
31 March 2024</v>
      </c>
    </row>
    <row r="74" spans="1:7" ht="7.4" customHeight="1" x14ac:dyDescent="0.25">
      <c r="B74" s="2"/>
      <c r="C74" s="77"/>
      <c r="D74" s="89"/>
      <c r="E74" s="89"/>
    </row>
    <row r="75" spans="1:7" x14ac:dyDescent="0.25">
      <c r="B75" s="82" t="s">
        <v>762</v>
      </c>
      <c r="C75" s="51"/>
      <c r="D75" s="51"/>
      <c r="E75" s="1036"/>
    </row>
    <row r="76" spans="1:7" x14ac:dyDescent="0.25">
      <c r="A76" s="1" t="s">
        <v>763</v>
      </c>
      <c r="B76" s="83" t="s">
        <v>764</v>
      </c>
      <c r="C76" s="60">
        <f>-SUMIFS('Standalone TB'!$X:$X,'Standalone TB'!$Z:$Z,'17-25'!$A76)</f>
        <v>13158239.580000002</v>
      </c>
      <c r="D76" s="85">
        <f>C76/10^5</f>
        <v>131.58239580000003</v>
      </c>
      <c r="E76" s="85">
        <v>225.15439000000001</v>
      </c>
      <c r="G76" s="17">
        <f>D76*10^5</f>
        <v>13158239.580000004</v>
      </c>
    </row>
    <row r="77" spans="1:7" x14ac:dyDescent="0.25">
      <c r="A77" s="129" t="s">
        <v>765</v>
      </c>
      <c r="B77" s="83" t="s">
        <v>766</v>
      </c>
      <c r="C77" s="60">
        <f>-SUMIFS('Standalone TB'!$X:$X,'Standalone TB'!$Z:$Z,'17-25'!$A77)</f>
        <v>3709905</v>
      </c>
      <c r="D77" s="85">
        <f t="shared" ref="D77:D88" si="3">C77/10^5</f>
        <v>37.099049999999998</v>
      </c>
      <c r="E77" s="85">
        <v>55.27825</v>
      </c>
      <c r="G77" s="17">
        <f t="shared" ref="G77:G88" si="4">D77*10^5</f>
        <v>3709905</v>
      </c>
    </row>
    <row r="78" spans="1:7" x14ac:dyDescent="0.25">
      <c r="A78" s="129" t="s">
        <v>767</v>
      </c>
      <c r="B78" s="83" t="s">
        <v>768</v>
      </c>
      <c r="C78" s="60">
        <f>-SUMIFS('Standalone TB'!$X:$X,'Standalone TB'!$Z:$Z,'17-25'!$A78)</f>
        <v>25368</v>
      </c>
      <c r="D78" s="85">
        <f t="shared" si="3"/>
        <v>0.25368000000000002</v>
      </c>
      <c r="E78" s="85">
        <v>0.21159</v>
      </c>
      <c r="G78" s="17">
        <f t="shared" si="4"/>
        <v>25368</v>
      </c>
    </row>
    <row r="79" spans="1:7" x14ac:dyDescent="0.25">
      <c r="A79" s="129" t="s">
        <v>769</v>
      </c>
      <c r="B79" s="83" t="s">
        <v>769</v>
      </c>
      <c r="C79" s="60">
        <f>-SUMIFS('Standalone TB'!$X:$X,'Standalone TB'!$Z:$Z,'17-25'!$A79)</f>
        <v>1248351.7627162926</v>
      </c>
      <c r="D79" s="85">
        <f t="shared" si="3"/>
        <v>12.483517627162927</v>
      </c>
      <c r="E79" s="85">
        <v>9.5146338603669172</v>
      </c>
      <c r="G79" s="17">
        <f t="shared" si="4"/>
        <v>1248351.7627162926</v>
      </c>
    </row>
    <row r="80" spans="1:7" x14ac:dyDescent="0.25">
      <c r="A80" s="129" t="s">
        <v>770</v>
      </c>
      <c r="B80" s="83" t="s">
        <v>771</v>
      </c>
      <c r="C80" s="60">
        <f>-SUMIFS('Standalone TB'!$X:$X,'Standalone TB'!$Z:$Z,'17-25'!$A80)</f>
        <v>2746032.9881389299</v>
      </c>
      <c r="D80" s="85">
        <f t="shared" si="3"/>
        <v>27.460329881389299</v>
      </c>
      <c r="E80" s="85">
        <v>20.082086119738602</v>
      </c>
      <c r="G80" s="17">
        <f t="shared" si="4"/>
        <v>2746032.9881389299</v>
      </c>
    </row>
    <row r="81" spans="1:7" x14ac:dyDescent="0.25">
      <c r="A81" s="129" t="s">
        <v>772</v>
      </c>
      <c r="B81" s="82" t="s">
        <v>773</v>
      </c>
      <c r="C81" s="60">
        <f>-SUMIFS('Standalone TB'!$X:$X,'Standalone TB'!$Z:$Z,'17-25'!$A81)</f>
        <v>239594.77727200589</v>
      </c>
      <c r="D81" s="85">
        <f t="shared" si="3"/>
        <v>2.3959477727200587</v>
      </c>
      <c r="E81" s="85">
        <v>1.5972985151467063</v>
      </c>
      <c r="G81" s="17">
        <f t="shared" si="4"/>
        <v>239594.77727200586</v>
      </c>
    </row>
    <row r="82" spans="1:7" x14ac:dyDescent="0.25">
      <c r="A82" s="129" t="s">
        <v>774</v>
      </c>
      <c r="B82" s="82" t="s">
        <v>775</v>
      </c>
      <c r="C82" s="60">
        <f>-SUMIFS('Standalone TB'!$X:$X,'Standalone TB'!$Z:$Z,'17-25'!$A82)</f>
        <v>0</v>
      </c>
      <c r="D82" s="85">
        <f t="shared" si="3"/>
        <v>0</v>
      </c>
      <c r="E82" s="85">
        <v>66.197828466934112</v>
      </c>
      <c r="G82" s="17">
        <f t="shared" si="4"/>
        <v>0</v>
      </c>
    </row>
    <row r="83" spans="1:7" x14ac:dyDescent="0.25">
      <c r="B83" s="19" t="s">
        <v>776</v>
      </c>
      <c r="C83" s="49">
        <v>0</v>
      </c>
      <c r="D83" s="85" t="s">
        <v>174</v>
      </c>
      <c r="E83" s="96" t="s">
        <v>174</v>
      </c>
    </row>
    <row r="84" spans="1:7" x14ac:dyDescent="0.25">
      <c r="A84" s="652" t="s">
        <v>777</v>
      </c>
      <c r="B84" s="82" t="s">
        <v>122</v>
      </c>
      <c r="C84" s="60">
        <f>-SUMIFS('Standalone TB'!$X:$X,'Standalone TB'!$Z:$Z,'17-25'!$A84)</f>
        <v>0</v>
      </c>
      <c r="D84" s="85" t="s">
        <v>174</v>
      </c>
      <c r="E84" s="96" t="s">
        <v>174</v>
      </c>
    </row>
    <row r="85" spans="1:7" x14ac:dyDescent="0.25">
      <c r="B85" s="19" t="s">
        <v>778</v>
      </c>
      <c r="C85" s="60"/>
      <c r="D85" s="85"/>
      <c r="E85" s="96"/>
      <c r="G85" s="17">
        <f t="shared" si="4"/>
        <v>0</v>
      </c>
    </row>
    <row r="86" spans="1:7" x14ac:dyDescent="0.25">
      <c r="A86" s="129" t="s">
        <v>779</v>
      </c>
      <c r="B86" s="824" t="str">
        <f>"- Related parties (refer note "&amp;'30 RPT'!A5&amp;")"</f>
        <v>- Related parties (refer note 30)</v>
      </c>
      <c r="C86" s="60">
        <f>-SUMIFS('Standalone TB'!$X:$X,'Standalone TB'!$Z:$Z,'17-25'!$A86)</f>
        <v>2102692.88</v>
      </c>
      <c r="D86" s="85">
        <f t="shared" si="3"/>
        <v>21.0269288</v>
      </c>
      <c r="E86" s="96">
        <v>-1.05199</v>
      </c>
      <c r="G86" s="17">
        <f t="shared" si="4"/>
        <v>2102692.88</v>
      </c>
    </row>
    <row r="87" spans="1:7" x14ac:dyDescent="0.25">
      <c r="B87" s="824" t="s">
        <v>506</v>
      </c>
      <c r="C87" s="60"/>
      <c r="D87" s="85">
        <f t="shared" si="3"/>
        <v>0</v>
      </c>
      <c r="E87" s="96">
        <v>8.0295476000000008</v>
      </c>
      <c r="G87" s="17">
        <f t="shared" si="4"/>
        <v>0</v>
      </c>
    </row>
    <row r="88" spans="1:7" x14ac:dyDescent="0.25">
      <c r="A88" s="129" t="s">
        <v>780</v>
      </c>
      <c r="B88" s="19" t="s">
        <v>2834</v>
      </c>
      <c r="C88" s="60">
        <f>-SUMIFS('Standalone TB'!$X:$X,'Standalone TB'!$Z:$Z,'17-25'!$A88)</f>
        <v>2965488.1838062643</v>
      </c>
      <c r="D88" s="85">
        <f t="shared" si="3"/>
        <v>29.654881838062643</v>
      </c>
      <c r="E88" s="85">
        <v>6.7412000000000001E-3</v>
      </c>
      <c r="G88" s="17">
        <f t="shared" si="4"/>
        <v>2965488.1838062643</v>
      </c>
    </row>
    <row r="89" spans="1:7" x14ac:dyDescent="0.25">
      <c r="C89" s="49"/>
      <c r="D89" s="49"/>
      <c r="E89" s="49"/>
    </row>
    <row r="90" spans="1:7" ht="12" thickBot="1" x14ac:dyDescent="0.3">
      <c r="B90" s="61" t="s">
        <v>100</v>
      </c>
      <c r="C90" s="548">
        <f>SUM(C76:C89)</f>
        <v>26195673.171933491</v>
      </c>
      <c r="D90" s="548">
        <f>SUM(D76:D89)</f>
        <v>261.95673171933498</v>
      </c>
      <c r="E90" s="548">
        <f>SUM(E75:E89)</f>
        <v>385.0203757621864</v>
      </c>
    </row>
    <row r="91" spans="1:7" ht="12" thickTop="1" x14ac:dyDescent="0.25">
      <c r="B91" s="61"/>
      <c r="C91" s="77"/>
      <c r="D91" s="464"/>
      <c r="E91" s="464"/>
    </row>
    <row r="92" spans="1:7" ht="8.15" customHeight="1" x14ac:dyDescent="0.25">
      <c r="B92" s="17"/>
      <c r="C92" s="15"/>
      <c r="D92" s="97"/>
      <c r="E92" s="97"/>
    </row>
    <row r="93" spans="1:7" s="60" customFormat="1" ht="23" x14ac:dyDescent="0.35">
      <c r="A93" s="129">
        <f>A73+1</f>
        <v>19</v>
      </c>
      <c r="B93" s="53" t="str">
        <f>"Note "&amp;A93&amp;": Cost of software packages"</f>
        <v>Note 19: Cost of software packages</v>
      </c>
      <c r="C93" s="294" t="str">
        <f>C5</f>
        <v>For the year ended
31 March 2025</v>
      </c>
      <c r="D93" s="294" t="str">
        <f>D5</f>
        <v>For the year ended
31 March 2025</v>
      </c>
      <c r="E93" s="294" t="str">
        <f>E5</f>
        <v>For the year ended
31 March 2024</v>
      </c>
    </row>
    <row r="94" spans="1:7" ht="7.4" customHeight="1" x14ac:dyDescent="0.25">
      <c r="B94" s="39"/>
      <c r="C94" s="98"/>
      <c r="D94" s="51"/>
      <c r="E94" s="51"/>
    </row>
    <row r="95" spans="1:7" hidden="1" x14ac:dyDescent="0.25">
      <c r="B95" s="19" t="s">
        <v>781</v>
      </c>
      <c r="C95" s="99">
        <v>0</v>
      </c>
      <c r="D95" s="49">
        <f>C95/10^5</f>
        <v>0</v>
      </c>
      <c r="E95" s="96">
        <v>0</v>
      </c>
    </row>
    <row r="96" spans="1:7" x14ac:dyDescent="0.25">
      <c r="A96" s="129" t="s">
        <v>782</v>
      </c>
      <c r="B96" s="19" t="s">
        <v>783</v>
      </c>
      <c r="C96" s="60">
        <f>SUMIFS('Standalone TB'!$X:$X,'Standalone TB'!$Z:$Z,'17-25'!$A96)</f>
        <v>148351820.75492889</v>
      </c>
      <c r="D96" s="85">
        <f>C96/10^5</f>
        <v>1483.5182075492889</v>
      </c>
      <c r="E96" s="85">
        <v>1510.2087325564999</v>
      </c>
    </row>
    <row r="97" spans="1:6" ht="12" thickBot="1" x14ac:dyDescent="0.3">
      <c r="B97" s="61" t="s">
        <v>100</v>
      </c>
      <c r="C97" s="111">
        <f>SUM(C95:C96)</f>
        <v>148351820.75492889</v>
      </c>
      <c r="D97" s="111">
        <f t="shared" ref="D97:E97" si="5">SUM(D95:D96)</f>
        <v>1483.5182075492889</v>
      </c>
      <c r="E97" s="111">
        <f t="shared" si="5"/>
        <v>1510.2087325564999</v>
      </c>
    </row>
    <row r="98" spans="1:6" ht="8.15" customHeight="1" thickTop="1" x14ac:dyDescent="0.25">
      <c r="B98" s="17"/>
      <c r="C98" s="61"/>
      <c r="D98" s="1138"/>
      <c r="E98" s="1138"/>
    </row>
    <row r="99" spans="1:6" ht="23" x14ac:dyDescent="0.25">
      <c r="A99" s="129">
        <f>A93+1</f>
        <v>20</v>
      </c>
      <c r="B99" s="61" t="str">
        <f>"Note "&amp;A99&amp;": Technical contract charges"</f>
        <v>Note 20: Technical contract charges</v>
      </c>
      <c r="C99" s="294" t="str">
        <f>C5</f>
        <v>For the year ended
31 March 2025</v>
      </c>
      <c r="D99" s="294" t="str">
        <f>D5</f>
        <v>For the year ended
31 March 2025</v>
      </c>
      <c r="E99" s="294" t="str">
        <f>E5</f>
        <v>For the year ended
31 March 2024</v>
      </c>
    </row>
    <row r="100" spans="1:6" ht="7.4" customHeight="1" x14ac:dyDescent="0.25">
      <c r="B100" s="39"/>
      <c r="C100" s="15"/>
      <c r="D100" s="97"/>
      <c r="E100" s="97"/>
    </row>
    <row r="101" spans="1:6" x14ac:dyDescent="0.25">
      <c r="B101" s="825" t="s">
        <v>154</v>
      </c>
      <c r="D101" s="85"/>
      <c r="E101" s="85"/>
    </row>
    <row r="102" spans="1:6" x14ac:dyDescent="0.25">
      <c r="B102" s="824" t="str">
        <f>"- Related parties (refer note "&amp;'30 RPT'!A5&amp;")"</f>
        <v>- Related parties (refer note 30)</v>
      </c>
      <c r="C102" s="17">
        <v>670765426.70600224</v>
      </c>
      <c r="D102" s="85">
        <f>(SUM(C102:C102))/10^5</f>
        <v>6707.654267060022</v>
      </c>
      <c r="E102" s="85">
        <v>6120.4982900000005</v>
      </c>
    </row>
    <row r="103" spans="1:6" x14ac:dyDescent="0.25">
      <c r="A103" s="129" t="s">
        <v>784</v>
      </c>
      <c r="B103" s="824" t="s">
        <v>506</v>
      </c>
      <c r="C103" s="60">
        <f>SUMIFS('Standalone TB'!$X:$X,'Standalone TB'!$Z:$Z,'17-25'!$A103)-C102</f>
        <v>67335427.39254725</v>
      </c>
      <c r="D103" s="85">
        <f>(SUM(C103:C103))/10^5</f>
        <v>673.35427392547251</v>
      </c>
      <c r="E103" s="85">
        <v>2803.9009310548413</v>
      </c>
    </row>
    <row r="104" spans="1:6" ht="12" thickBot="1" x14ac:dyDescent="0.3">
      <c r="B104" s="61" t="s">
        <v>100</v>
      </c>
      <c r="C104" s="111">
        <f>SUM(C101:C103)</f>
        <v>738100854.09854949</v>
      </c>
      <c r="D104" s="111">
        <f>SUM(D101:D103)</f>
        <v>7381.0085409854946</v>
      </c>
      <c r="E104" s="111">
        <f>SUM(E101:E103)</f>
        <v>8924.3992210548422</v>
      </c>
    </row>
    <row r="105" spans="1:6" ht="12.5" hidden="1" thickTop="1" x14ac:dyDescent="0.25">
      <c r="B105" s="100"/>
      <c r="C105" s="75"/>
      <c r="D105" s="75"/>
      <c r="E105" s="75"/>
    </row>
    <row r="106" spans="1:6" ht="12" hidden="1" thickTop="1" x14ac:dyDescent="0.25">
      <c r="B106" s="3"/>
      <c r="C106" s="15"/>
      <c r="D106" s="97"/>
      <c r="E106" s="97"/>
    </row>
    <row r="107" spans="1:6" ht="12" hidden="1" thickTop="1" x14ac:dyDescent="0.25">
      <c r="B107" s="3" t="s">
        <v>785</v>
      </c>
      <c r="C107" s="15"/>
      <c r="D107" s="97"/>
      <c r="E107" s="97"/>
    </row>
    <row r="108" spans="1:6" ht="12.5" hidden="1" thickTop="1" x14ac:dyDescent="0.3">
      <c r="B108" s="279" t="s">
        <v>654</v>
      </c>
      <c r="C108" s="15"/>
      <c r="D108" s="97"/>
      <c r="E108" s="97"/>
    </row>
    <row r="109" spans="1:6" ht="8.15" customHeight="1" thickTop="1" x14ac:dyDescent="0.25">
      <c r="B109" s="3"/>
      <c r="C109" s="15"/>
      <c r="D109" s="97"/>
      <c r="E109" s="97"/>
    </row>
    <row r="110" spans="1:6" ht="23" x14ac:dyDescent="0.25">
      <c r="A110" s="129">
        <f>A99+1</f>
        <v>21</v>
      </c>
      <c r="B110" s="61" t="str">
        <f>"Note "&amp;A110&amp;": Employee benefits expense"</f>
        <v>Note 21: Employee benefits expense</v>
      </c>
      <c r="C110" s="294" t="str">
        <f>C5</f>
        <v>For the year ended
31 March 2025</v>
      </c>
      <c r="D110" s="294" t="str">
        <f>D5</f>
        <v>For the year ended
31 March 2025</v>
      </c>
      <c r="E110" s="294" t="str">
        <f>E5</f>
        <v>For the year ended
31 March 2024</v>
      </c>
    </row>
    <row r="111" spans="1:6" ht="7.4" customHeight="1" x14ac:dyDescent="0.25">
      <c r="B111" s="54"/>
      <c r="C111" s="101"/>
      <c r="D111" s="89"/>
      <c r="E111" s="89"/>
    </row>
    <row r="112" spans="1:6" x14ac:dyDescent="0.25">
      <c r="B112" s="825" t="s">
        <v>786</v>
      </c>
      <c r="C112" s="60"/>
      <c r="D112" s="85"/>
      <c r="E112" s="85"/>
      <c r="F112" s="17">
        <v>4127136.9902801998</v>
      </c>
    </row>
    <row r="113" spans="1:6" x14ac:dyDescent="0.25">
      <c r="B113" s="1034" t="str">
        <f>"- Related parties (refer note "&amp;'30 RPT'!A5&amp;")"</f>
        <v>- Related parties (refer note 30)</v>
      </c>
      <c r="C113" s="60">
        <v>-4127136.9902802049</v>
      </c>
      <c r="D113" s="85">
        <f>SUM(C113:C113)/10^5</f>
        <v>-41.27136990280205</v>
      </c>
      <c r="E113" s="85">
        <v>-70</v>
      </c>
    </row>
    <row r="114" spans="1:6" x14ac:dyDescent="0.25">
      <c r="A114" s="129" t="s">
        <v>787</v>
      </c>
      <c r="B114" s="824" t="s">
        <v>788</v>
      </c>
      <c r="C114" s="60">
        <f>SUMIFS('Standalone TB'!$X:$X,'Standalone TB'!$Z:$Z,'17-25'!$A114)-C113</f>
        <v>796556935.47424912</v>
      </c>
      <c r="D114" s="85">
        <f t="shared" ref="D114:D120" si="6">SUM(C114:C114)/10^5</f>
        <v>7965.5693547424917</v>
      </c>
      <c r="E114" s="85">
        <v>9994.43</v>
      </c>
    </row>
    <row r="115" spans="1:6" x14ac:dyDescent="0.25">
      <c r="A115" s="129" t="s">
        <v>389</v>
      </c>
      <c r="B115" s="825" t="str">
        <f>"Contribution to gratuity (refer note "&amp;'E''ee Benefits 28 '!A5&amp;"(b)(I))"</f>
        <v>Contribution to gratuity (refer note 28(b)(I))</v>
      </c>
      <c r="C115" s="60">
        <f>SUMIFS('Standalone TB'!$X:$X,'Standalone TB'!$Z:$Z,'17-25'!$A115)</f>
        <v>25500682.440817609</v>
      </c>
      <c r="D115" s="85">
        <f t="shared" si="6"/>
        <v>255.0068244081761</v>
      </c>
      <c r="E115" s="85">
        <v>211</v>
      </c>
    </row>
    <row r="116" spans="1:6" x14ac:dyDescent="0.25">
      <c r="A116" s="129" t="s">
        <v>789</v>
      </c>
      <c r="B116" s="825" t="str">
        <f>"Compensated absences (refer note "&amp;'E''ee Benefits 28 '!A5&amp;"(b)(II))"</f>
        <v>Compensated absences (refer note 28(b)(II))</v>
      </c>
      <c r="C116" s="60">
        <f>SUMIFS('Standalone TB'!$X:$X,'Standalone TB'!$Z:$Z,'17-25'!$A116)</f>
        <v>9311114.2607298624</v>
      </c>
      <c r="D116" s="85">
        <f t="shared" si="6"/>
        <v>93.111142607298618</v>
      </c>
      <c r="E116" s="85">
        <v>210</v>
      </c>
      <c r="F116" s="17">
        <v>800684072</v>
      </c>
    </row>
    <row r="117" spans="1:6" x14ac:dyDescent="0.25">
      <c r="A117" s="129" t="s">
        <v>790</v>
      </c>
      <c r="B117" s="825" t="str">
        <f>"Contribution to provident and other funds (refer note "&amp;'E''ee Benefits 28 '!A5&amp;"(a))"</f>
        <v>Contribution to provident and other funds (refer note 28(a))</v>
      </c>
      <c r="C117" s="60">
        <f>SUMIFS('Standalone TB'!$X:$X,'Standalone TB'!$Z:$Z,'17-25'!$A117)</f>
        <v>42830494</v>
      </c>
      <c r="D117" s="85">
        <f t="shared" si="6"/>
        <v>428.30493999999999</v>
      </c>
      <c r="E117" s="85">
        <v>574.01</v>
      </c>
    </row>
    <row r="118" spans="1:6" x14ac:dyDescent="0.25">
      <c r="B118" s="825" t="s">
        <v>791</v>
      </c>
      <c r="C118" s="60"/>
      <c r="D118" s="85">
        <f t="shared" si="6"/>
        <v>0</v>
      </c>
      <c r="E118" s="85"/>
    </row>
    <row r="119" spans="1:6" x14ac:dyDescent="0.25">
      <c r="B119" s="1034" t="str">
        <f>"- Related parties (refer note "&amp;'30 RPT'!A5&amp;")"</f>
        <v>- Related parties (refer note 30)</v>
      </c>
      <c r="C119" s="60">
        <v>19858</v>
      </c>
      <c r="D119" s="85">
        <f t="shared" si="6"/>
        <v>0.19858000000000001</v>
      </c>
      <c r="E119" s="85">
        <v>3</v>
      </c>
    </row>
    <row r="120" spans="1:6" x14ac:dyDescent="0.25">
      <c r="A120" s="129" t="s">
        <v>792</v>
      </c>
      <c r="B120" s="824" t="s">
        <v>788</v>
      </c>
      <c r="C120" s="60">
        <f>SUMIFS('Standalone TB'!$X:$X,'Standalone TB'!$Z:$Z,'17-25'!$A120)-C119</f>
        <v>2649570.3682904611</v>
      </c>
      <c r="D120" s="85">
        <f t="shared" si="6"/>
        <v>26.495703682904612</v>
      </c>
      <c r="E120" s="85">
        <v>108</v>
      </c>
    </row>
    <row r="121" spans="1:6" ht="12" thickBot="1" x14ac:dyDescent="0.3">
      <c r="B121" s="53" t="s">
        <v>100</v>
      </c>
      <c r="C121" s="546">
        <f>SUM(C113:C120)</f>
        <v>872741517.5538069</v>
      </c>
      <c r="D121" s="546">
        <f>SUM(D113:D120)</f>
        <v>8727.4151755380699</v>
      </c>
      <c r="E121" s="546">
        <f>SUM(E113:E120)</f>
        <v>11030.44</v>
      </c>
    </row>
    <row r="122" spans="1:6" ht="8.15" customHeight="1" thickTop="1" x14ac:dyDescent="0.25">
      <c r="B122" s="39"/>
      <c r="C122" s="15"/>
      <c r="D122" s="97"/>
      <c r="E122" s="97"/>
    </row>
    <row r="123" spans="1:6" ht="23" x14ac:dyDescent="0.25">
      <c r="A123" s="129">
        <f>A110+1</f>
        <v>22</v>
      </c>
      <c r="B123" s="61" t="str">
        <f>"Note "&amp;A123&amp;": Finance costs"</f>
        <v>Note 22: Finance costs</v>
      </c>
      <c r="C123" s="294" t="str">
        <f>C5</f>
        <v>For the year ended
31 March 2025</v>
      </c>
      <c r="D123" s="294" t="str">
        <f>D5</f>
        <v>For the year ended
31 March 2025</v>
      </c>
      <c r="E123" s="294" t="str">
        <f>E5</f>
        <v>For the year ended
31 March 2024</v>
      </c>
    </row>
    <row r="124" spans="1:6" ht="4.5" customHeight="1" x14ac:dyDescent="0.25">
      <c r="B124" s="54"/>
      <c r="C124" s="102"/>
      <c r="D124" s="75"/>
      <c r="E124" s="75"/>
    </row>
    <row r="125" spans="1:6" ht="12.65" customHeight="1" x14ac:dyDescent="0.25">
      <c r="A125" s="129" t="s">
        <v>793</v>
      </c>
      <c r="B125" s="825" t="s">
        <v>794</v>
      </c>
      <c r="C125" s="60">
        <f>SUMIFS('Standalone TB'!$X:$X,'Standalone TB'!$Z:$Z,'17-25'!$A125)</f>
        <v>1820867.7855986629</v>
      </c>
      <c r="D125" s="78">
        <f>(SUM(C125:C125))/10^5</f>
        <v>18.208677855986629</v>
      </c>
      <c r="E125" s="78">
        <v>16.766581067460002</v>
      </c>
    </row>
    <row r="126" spans="1:6" ht="12.65" customHeight="1" x14ac:dyDescent="0.25">
      <c r="B126" s="825" t="s">
        <v>795</v>
      </c>
      <c r="C126" s="60"/>
    </row>
    <row r="127" spans="1:6" ht="12.65" customHeight="1" x14ac:dyDescent="0.25">
      <c r="A127" s="129" t="s">
        <v>796</v>
      </c>
      <c r="B127" s="824" t="str">
        <f>"- Lease liability (refer note "&amp;'Leases 29'!A5&amp;")"</f>
        <v>- Lease liability (refer note 29)</v>
      </c>
      <c r="C127" s="60">
        <f>SUMIFS('Standalone TB'!$X:$X,'Standalone TB'!$Z:$Z,'17-25'!$A127)</f>
        <v>10628667.715479299</v>
      </c>
      <c r="D127" s="78">
        <f>(SUM(C127:C127))/10^5</f>
        <v>106.286677154793</v>
      </c>
      <c r="E127" s="78">
        <v>67.661123118596151</v>
      </c>
    </row>
    <row r="128" spans="1:6" ht="12.65" customHeight="1" x14ac:dyDescent="0.25">
      <c r="A128" s="129" t="s">
        <v>797</v>
      </c>
      <c r="B128" s="1037" t="s">
        <v>798</v>
      </c>
      <c r="C128" s="60">
        <f>SUMIFS('Standalone TB'!$X:$X,'Standalone TB'!$Z:$Z,'17-25'!$A128)</f>
        <v>461.03611223229927</v>
      </c>
      <c r="D128" s="78">
        <f>(SUM(C128:C128))/10^5</f>
        <v>4.6103611223229923E-3</v>
      </c>
      <c r="E128" s="78">
        <v>0.40588999999999997</v>
      </c>
    </row>
    <row r="129" spans="1:5" ht="12.65" customHeight="1" x14ac:dyDescent="0.25">
      <c r="B129" s="1037" t="s">
        <v>799</v>
      </c>
      <c r="C129" s="60">
        <f>SUMIFS('Standalone TB'!$X:$X,'Standalone TB'!$Z:$Z,'17-25'!$A129)</f>
        <v>0</v>
      </c>
      <c r="D129" s="78">
        <f>(SUM(C129:C129))/10^5</f>
        <v>0</v>
      </c>
      <c r="E129" s="78">
        <v>0</v>
      </c>
    </row>
    <row r="130" spans="1:5" ht="12.65" customHeight="1" x14ac:dyDescent="0.25">
      <c r="B130" s="1034" t="str">
        <f>"- Related parties (refer note "&amp;'30 RPT'!A5&amp;")"</f>
        <v>- Related parties (refer note 30)</v>
      </c>
      <c r="C130" s="60">
        <v>224872.70157632098</v>
      </c>
      <c r="D130" s="78">
        <f>(SUM(C130:C130))/10^5</f>
        <v>2.24872701576321</v>
      </c>
      <c r="E130" s="78">
        <v>1.4201768632889489</v>
      </c>
    </row>
    <row r="131" spans="1:5" ht="12.65" customHeight="1" x14ac:dyDescent="0.25">
      <c r="A131" s="129" t="s">
        <v>800</v>
      </c>
      <c r="B131" s="825" t="s">
        <v>801</v>
      </c>
      <c r="C131" s="60">
        <f>SUMIFS('Standalone TB'!$X:$X,'Standalone TB'!$Z:$Z,'17-25'!$A131)-C130</f>
        <v>1391815.5088975239</v>
      </c>
      <c r="D131" s="78">
        <f>(SUM(C131:C131))/10^5</f>
        <v>13.918155088975238</v>
      </c>
      <c r="E131" s="78">
        <v>6.5297609779999997</v>
      </c>
    </row>
    <row r="132" spans="1:5" ht="6" customHeight="1" x14ac:dyDescent="0.25">
      <c r="B132" s="803"/>
      <c r="C132" s="49"/>
      <c r="D132" s="49"/>
      <c r="E132" s="49"/>
    </row>
    <row r="133" spans="1:5" ht="12" thickBot="1" x14ac:dyDescent="0.3">
      <c r="B133" s="61" t="s">
        <v>100</v>
      </c>
      <c r="C133" s="546">
        <f>SUM(C125:C132)</f>
        <v>14066684.74766404</v>
      </c>
      <c r="D133" s="546">
        <f>SUM(D125:D132)</f>
        <v>140.66684747664038</v>
      </c>
      <c r="E133" s="546">
        <f>SUM(E125:E132)</f>
        <v>92.783532027345103</v>
      </c>
    </row>
    <row r="134" spans="1:5" ht="8.15" customHeight="1" thickTop="1" x14ac:dyDescent="0.25">
      <c r="B134" s="103"/>
      <c r="C134" s="75"/>
      <c r="D134" s="75"/>
      <c r="E134" s="75"/>
    </row>
    <row r="135" spans="1:5" ht="12.65" customHeight="1" x14ac:dyDescent="0.25">
      <c r="B135" s="297" t="s">
        <v>802</v>
      </c>
      <c r="C135" s="75"/>
      <c r="D135" s="75"/>
      <c r="E135" s="75"/>
    </row>
    <row r="136" spans="1:5" ht="8.15" customHeight="1" x14ac:dyDescent="0.25">
      <c r="B136" s="53"/>
      <c r="C136" s="75"/>
      <c r="D136" s="75"/>
      <c r="E136" s="75"/>
    </row>
    <row r="137" spans="1:5" ht="23" x14ac:dyDescent="0.25">
      <c r="A137" s="129">
        <f>A123+1</f>
        <v>23</v>
      </c>
      <c r="B137" s="61" t="str">
        <f>"Note "&amp;A137&amp;": Depreciation and amortisation expense"</f>
        <v>Note 23: Depreciation and amortisation expense</v>
      </c>
      <c r="C137" s="294" t="str">
        <f>C5</f>
        <v>For the year ended
31 March 2025</v>
      </c>
      <c r="D137" s="294" t="str">
        <f>D5</f>
        <v>For the year ended
31 March 2025</v>
      </c>
      <c r="E137" s="294" t="str">
        <f>E5</f>
        <v>For the year ended
31 March 2024</v>
      </c>
    </row>
    <row r="138" spans="1:5" ht="7.4" customHeight="1" x14ac:dyDescent="0.25">
      <c r="B138" s="53"/>
      <c r="C138" s="101"/>
      <c r="D138" s="89"/>
      <c r="E138" s="89"/>
    </row>
    <row r="139" spans="1:5" x14ac:dyDescent="0.25">
      <c r="A139" s="129" t="s">
        <v>803</v>
      </c>
      <c r="B139" s="825" t="s">
        <v>804</v>
      </c>
      <c r="C139" s="60">
        <f>SUMIFS('Standalone TB'!$X:$X,'Standalone TB'!$Z:$Z,'17-25'!$A139)</f>
        <v>18331775.399694525</v>
      </c>
      <c r="D139" s="78">
        <f>(SUM(C139:C139))/10^5</f>
        <v>183.31775399694524</v>
      </c>
      <c r="E139" s="78">
        <v>287.78943026596005</v>
      </c>
    </row>
    <row r="140" spans="1:5" x14ac:dyDescent="0.25">
      <c r="A140" s="129" t="s">
        <v>805</v>
      </c>
      <c r="B140" s="825" t="s">
        <v>806</v>
      </c>
      <c r="C140" s="60">
        <f>SUMIFS('Standalone TB'!$X:$X,'Standalone TB'!$Z:$Z,'17-25'!$A140)</f>
        <v>195235507.07999998</v>
      </c>
      <c r="D140" s="78">
        <f>(SUM(C140:C140))/10^5</f>
        <v>1952.3550707999998</v>
      </c>
      <c r="E140" s="78">
        <v>214.29472578125001</v>
      </c>
    </row>
    <row r="141" spans="1:5" x14ac:dyDescent="0.25">
      <c r="A141" s="129" t="s">
        <v>807</v>
      </c>
      <c r="B141" s="825" t="str">
        <f>"Depreciation on right of use asset (refer note "&amp;'Leases 29'!A5&amp;")"</f>
        <v>Depreciation on right of use asset (refer note 29)</v>
      </c>
      <c r="C141" s="60">
        <f>SUMIFS('Standalone TB'!$X:$X,'Standalone TB'!$Z:$Z,'17-25'!$A141)</f>
        <v>34202811.953980312</v>
      </c>
      <c r="D141" s="78">
        <f>(SUM(C141:C141))/10^5</f>
        <v>342.02811953980313</v>
      </c>
      <c r="E141" s="78">
        <v>238.67974872895698</v>
      </c>
    </row>
    <row r="142" spans="1:5" ht="12" thickBot="1" x14ac:dyDescent="0.3">
      <c r="B142" s="825" t="s">
        <v>100</v>
      </c>
      <c r="C142" s="546">
        <f>SUM(C139:C141)</f>
        <v>247770094.43367481</v>
      </c>
      <c r="D142" s="546">
        <f>SUM(D139:D141)</f>
        <v>2477.7009443367479</v>
      </c>
      <c r="E142" s="546">
        <f>SUM(E139:E141)</f>
        <v>740.76390477616701</v>
      </c>
    </row>
    <row r="143" spans="1:5" ht="8.15" customHeight="1" thickTop="1" x14ac:dyDescent="0.25">
      <c r="B143" s="53"/>
      <c r="C143" s="75"/>
      <c r="D143" s="75"/>
      <c r="E143" s="75"/>
    </row>
    <row r="144" spans="1:5" s="78" customFormat="1" hidden="1" x14ac:dyDescent="0.25">
      <c r="A144" s="129"/>
      <c r="B144" s="53" t="str">
        <f>B1</f>
        <v>Paladion Networks Private Limited</v>
      </c>
      <c r="D144" s="1138"/>
      <c r="E144" s="1138"/>
    </row>
    <row r="145" spans="1:5" s="78" customFormat="1" hidden="1" x14ac:dyDescent="0.25">
      <c r="A145" s="129"/>
      <c r="B145" s="53" t="str">
        <f>B2</f>
        <v>Summary of Material accounting policies and other explanatory information</v>
      </c>
      <c r="D145" s="316"/>
      <c r="E145" s="316"/>
    </row>
    <row r="146" spans="1:5" s="78" customFormat="1" hidden="1" x14ac:dyDescent="0.25">
      <c r="A146" s="129"/>
      <c r="B146" s="53" t="str">
        <f>B3</f>
        <v>(Amounts are stated in ₹ lakhs, except share and per share data, unless ottherwise stated)</v>
      </c>
      <c r="D146" s="316"/>
      <c r="E146" s="316"/>
    </row>
    <row r="147" spans="1:5" s="78" customFormat="1" x14ac:dyDescent="0.25">
      <c r="A147" s="129"/>
      <c r="B147" s="61" t="str">
        <f>B69</f>
        <v>Paladion Networks Private Limited</v>
      </c>
      <c r="D147" s="316"/>
      <c r="E147" s="316"/>
    </row>
    <row r="148" spans="1:5" s="78" customFormat="1" x14ac:dyDescent="0.25">
      <c r="A148" s="129"/>
      <c r="B148" s="61" t="str">
        <f>B70</f>
        <v>Summary of Material accounting policies and other explanatory information</v>
      </c>
      <c r="D148" s="316"/>
      <c r="E148" s="316"/>
    </row>
    <row r="149" spans="1:5" s="78" customFormat="1" ht="12" x14ac:dyDescent="0.25">
      <c r="A149" s="129"/>
      <c r="B149" s="382" t="str">
        <f>B71</f>
        <v>(Amounts are stated in ₹ lakhs, except share and per share data, unless ottherwise stated)</v>
      </c>
      <c r="D149" s="316"/>
      <c r="E149" s="316"/>
    </row>
    <row r="150" spans="1:5" s="78" customFormat="1" x14ac:dyDescent="0.25">
      <c r="A150" s="129"/>
      <c r="D150" s="316"/>
      <c r="E150" s="316"/>
    </row>
    <row r="151" spans="1:5" ht="23" x14ac:dyDescent="0.25">
      <c r="A151" s="129">
        <f>A137+1</f>
        <v>24</v>
      </c>
      <c r="B151" s="61" t="str">
        <f>"Note "&amp;A151&amp;": Other expenses"</f>
        <v>Note 24: Other expenses</v>
      </c>
      <c r="C151" s="294" t="str">
        <f>C5</f>
        <v>For the year ended
31 March 2025</v>
      </c>
      <c r="D151" s="294" t="str">
        <f>D5</f>
        <v>For the year ended
31 March 2025</v>
      </c>
      <c r="E151" s="294" t="str">
        <f>E5</f>
        <v>For the year ended
31 March 2024</v>
      </c>
    </row>
    <row r="152" spans="1:5" ht="9.75" customHeight="1" x14ac:dyDescent="0.25">
      <c r="B152" s="54"/>
      <c r="C152" s="106"/>
      <c r="D152" s="84"/>
      <c r="E152" s="84"/>
    </row>
    <row r="153" spans="1:5" ht="12.65" customHeight="1" x14ac:dyDescent="0.25">
      <c r="B153" s="825" t="s">
        <v>808</v>
      </c>
    </row>
    <row r="154" spans="1:5" ht="12.65" customHeight="1" x14ac:dyDescent="0.25">
      <c r="B154" s="1034" t="str">
        <f>"- Related parties (refer note "&amp;'30 RPT'!A5&amp;")"</f>
        <v>- Related parties (refer note 30)</v>
      </c>
      <c r="C154" s="60">
        <v>80849661.531531155</v>
      </c>
      <c r="D154" s="78">
        <f>(SUM(C154:C154))/10^5</f>
        <v>808.4966153153116</v>
      </c>
      <c r="E154" s="78">
        <v>1180</v>
      </c>
    </row>
    <row r="155" spans="1:5" ht="12.65" customHeight="1" x14ac:dyDescent="0.25">
      <c r="A155" s="129" t="s">
        <v>809</v>
      </c>
      <c r="B155" s="825" t="s">
        <v>801</v>
      </c>
      <c r="C155" s="60">
        <f>SUMIFS('Standalone TB'!$X:$X,'Standalone TB'!$Z:$Z,'17-25'!$A155)-C154</f>
        <v>0</v>
      </c>
      <c r="D155" s="78">
        <f t="shared" ref="D155:D189" si="7">(SUM(C155:C155))/10^5</f>
        <v>0</v>
      </c>
      <c r="E155" s="78">
        <v>0</v>
      </c>
    </row>
    <row r="156" spans="1:5" ht="12.65" customHeight="1" x14ac:dyDescent="0.25">
      <c r="B156" s="825" t="s">
        <v>810</v>
      </c>
    </row>
    <row r="157" spans="1:5" ht="12.65" customHeight="1" x14ac:dyDescent="0.25">
      <c r="B157" s="1034" t="str">
        <f>"- Related parties (refer note "&amp;'30 RPT'!A5&amp;")"</f>
        <v>- Related parties (refer note 30)</v>
      </c>
      <c r="C157" s="60">
        <v>19954529.132705338</v>
      </c>
      <c r="D157" s="78">
        <f t="shared" si="7"/>
        <v>199.54529132705338</v>
      </c>
      <c r="E157" s="78">
        <v>6</v>
      </c>
    </row>
    <row r="158" spans="1:5" ht="12.65" customHeight="1" x14ac:dyDescent="0.25">
      <c r="A158" s="129" t="s">
        <v>811</v>
      </c>
      <c r="B158" s="825" t="s">
        <v>801</v>
      </c>
      <c r="C158" s="60">
        <f>SUMIFS('Standalone TB'!$X:$X,'Standalone TB'!$Z:$Z,'17-25'!$A158)-C186-C157</f>
        <v>17100558.23058863</v>
      </c>
      <c r="D158" s="78">
        <f t="shared" ref="D158:D168" si="8">(SUM(C158:C158))/10^5</f>
        <v>171.00558230588629</v>
      </c>
      <c r="E158" s="78">
        <v>490</v>
      </c>
    </row>
    <row r="159" spans="1:5" ht="12.65" customHeight="1" x14ac:dyDescent="0.25">
      <c r="B159" s="825" t="s">
        <v>812</v>
      </c>
      <c r="C159" s="60"/>
      <c r="E159" s="17"/>
    </row>
    <row r="160" spans="1:5" ht="12.65" customHeight="1" x14ac:dyDescent="0.25">
      <c r="B160" s="1034" t="str">
        <f>"- Related parties (refer note "&amp;'30 RPT'!A5&amp;")"</f>
        <v>- Related parties (refer note 30)</v>
      </c>
      <c r="C160" s="60">
        <v>1810562.0172142957</v>
      </c>
      <c r="D160" s="78">
        <f t="shared" si="8"/>
        <v>18.105620172142956</v>
      </c>
    </row>
    <row r="161" spans="1:5" ht="12.65" customHeight="1" x14ac:dyDescent="0.25">
      <c r="A161" s="129" t="s">
        <v>813</v>
      </c>
      <c r="B161" s="825" t="s">
        <v>801</v>
      </c>
      <c r="C161" s="60">
        <f>SUMIFS('Standalone TB'!$X:$X,'Standalone TB'!$Z:$Z,'17-25'!$A161)-C160</f>
        <v>15587699.577305151</v>
      </c>
      <c r="D161" s="78">
        <f t="shared" si="8"/>
        <v>155.8769957730515</v>
      </c>
      <c r="E161" s="78">
        <v>8</v>
      </c>
    </row>
    <row r="162" spans="1:5" ht="12.65" customHeight="1" x14ac:dyDescent="0.25">
      <c r="B162" s="825" t="s">
        <v>814</v>
      </c>
      <c r="C162" s="60"/>
    </row>
    <row r="163" spans="1:5" ht="12.65" customHeight="1" x14ac:dyDescent="0.25">
      <c r="B163" s="1034" t="str">
        <f>"- Related parties (refer note "&amp;'30 RPT'!A5&amp;")"</f>
        <v>- Related parties (refer note 30)</v>
      </c>
      <c r="C163" s="60">
        <v>27420.18</v>
      </c>
      <c r="D163" s="78">
        <f t="shared" si="8"/>
        <v>0.2742018</v>
      </c>
      <c r="E163" s="78">
        <v>0</v>
      </c>
    </row>
    <row r="164" spans="1:5" ht="12.65" customHeight="1" x14ac:dyDescent="0.25">
      <c r="A164" s="129" t="s">
        <v>815</v>
      </c>
      <c r="B164" s="825" t="s">
        <v>801</v>
      </c>
      <c r="C164" s="60">
        <f>SUMIFS('Standalone TB'!$X:$X,'Standalone TB'!$Z:$Z,'17-25'!$A164)-C163</f>
        <v>16276326.39455837</v>
      </c>
      <c r="D164" s="78">
        <f t="shared" si="8"/>
        <v>162.7632639455837</v>
      </c>
      <c r="E164" s="78">
        <v>118</v>
      </c>
    </row>
    <row r="165" spans="1:5" ht="12.65" customHeight="1" x14ac:dyDescent="0.25">
      <c r="A165" s="129" t="s">
        <v>816</v>
      </c>
      <c r="B165" s="825" t="s">
        <v>816</v>
      </c>
      <c r="C165" s="60">
        <f>SUMIFS('Standalone TB'!$X:$X,'Standalone TB'!$Z:$Z,'17-25'!$A165)</f>
        <v>28737987.764528647</v>
      </c>
      <c r="D165" s="78">
        <f t="shared" si="8"/>
        <v>287.37987764528646</v>
      </c>
      <c r="E165" s="78">
        <v>266</v>
      </c>
    </row>
    <row r="166" spans="1:5" ht="12.65" customHeight="1" x14ac:dyDescent="0.25">
      <c r="A166" s="129" t="s">
        <v>817</v>
      </c>
      <c r="B166" s="825" t="s">
        <v>817</v>
      </c>
      <c r="C166" s="60">
        <f>SUMIFS('Standalone TB'!$X:$X,'Standalone TB'!$Z:$Z,'17-25'!$A166)</f>
        <v>16827822.394667629</v>
      </c>
      <c r="D166" s="78">
        <f t="shared" si="8"/>
        <v>168.27822394667629</v>
      </c>
      <c r="E166" s="78">
        <v>225</v>
      </c>
    </row>
    <row r="167" spans="1:5" ht="12.65" customHeight="1" x14ac:dyDescent="0.25">
      <c r="A167" s="129" t="s">
        <v>818</v>
      </c>
      <c r="B167" s="825" t="s">
        <v>819</v>
      </c>
      <c r="C167" s="60"/>
    </row>
    <row r="168" spans="1:5" ht="12.65" customHeight="1" x14ac:dyDescent="0.25">
      <c r="B168" s="1034" t="str">
        <f>"- Related parties (refer note "&amp;'30 RPT'!A5&amp;")"</f>
        <v>- Related parties (refer note 30)</v>
      </c>
      <c r="C168" s="60">
        <v>-700686.91980853898</v>
      </c>
      <c r="D168" s="78">
        <f t="shared" si="8"/>
        <v>-7.0068691980853899</v>
      </c>
      <c r="E168" s="78">
        <v>8</v>
      </c>
    </row>
    <row r="169" spans="1:5" ht="12.65" customHeight="1" x14ac:dyDescent="0.25">
      <c r="A169" s="129" t="s">
        <v>818</v>
      </c>
      <c r="B169" s="825" t="s">
        <v>801</v>
      </c>
      <c r="C169" s="60">
        <f>SUMIFS('Standalone TB'!$X:$X,'Standalone TB'!$Z:$Z,'17-25'!$A169)-C168</f>
        <v>9162030.1574449893</v>
      </c>
      <c r="D169" s="78">
        <f t="shared" si="7"/>
        <v>91.620301574449897</v>
      </c>
      <c r="E169" s="78">
        <v>92</v>
      </c>
    </row>
    <row r="170" spans="1:5" ht="12.65" customHeight="1" x14ac:dyDescent="0.25">
      <c r="A170" s="129" t="s">
        <v>820</v>
      </c>
      <c r="B170" s="825" t="s">
        <v>821</v>
      </c>
      <c r="C170" s="60"/>
    </row>
    <row r="171" spans="1:5" ht="12.65" customHeight="1" x14ac:dyDescent="0.25">
      <c r="B171" s="824" t="s">
        <v>822</v>
      </c>
      <c r="C171" s="60"/>
      <c r="E171" s="17"/>
    </row>
    <row r="172" spans="1:5" ht="12.65" customHeight="1" x14ac:dyDescent="0.25">
      <c r="B172" s="1034" t="str">
        <f>"- Related parties (refer note "&amp;'30 RPT'!$A$5&amp;")"</f>
        <v>- Related parties (refer note 30)</v>
      </c>
      <c r="C172" s="60">
        <v>-108060</v>
      </c>
      <c r="D172" s="78">
        <f>(SUM(C172:C172))/10^5</f>
        <v>-1.0806</v>
      </c>
    </row>
    <row r="173" spans="1:5" ht="12.65" customHeight="1" x14ac:dyDescent="0.25">
      <c r="A173" s="129" t="s">
        <v>823</v>
      </c>
      <c r="B173" s="825" t="s">
        <v>801</v>
      </c>
      <c r="C173" s="60">
        <f>SUMIFS('Standalone TB'!$X:$X,'Standalone TB'!$Z:$Z,'17-25'!$A173)-C172</f>
        <v>500</v>
      </c>
      <c r="D173" s="78">
        <f>(SUM(C173:C173))/10^5</f>
        <v>5.0000000000000001E-3</v>
      </c>
      <c r="E173" s="78">
        <v>1</v>
      </c>
    </row>
    <row r="174" spans="1:5" ht="12.65" customHeight="1" x14ac:dyDescent="0.25">
      <c r="B174" s="824" t="s">
        <v>824</v>
      </c>
      <c r="C174" s="60"/>
      <c r="D174" s="78">
        <f>(SUM(C174:C174))/10^5</f>
        <v>0</v>
      </c>
    </row>
    <row r="175" spans="1:5" ht="12.65" customHeight="1" x14ac:dyDescent="0.25">
      <c r="B175" s="1034" t="str">
        <f>"- Related parties (refer note "&amp;'30 RPT'!A5&amp;")"</f>
        <v>- Related parties (refer note 30)</v>
      </c>
      <c r="C175" s="60">
        <v>4220931.2570538707</v>
      </c>
      <c r="D175" s="78">
        <f t="shared" si="7"/>
        <v>42.209312570538707</v>
      </c>
      <c r="E175" s="78">
        <v>27</v>
      </c>
    </row>
    <row r="176" spans="1:5" ht="12.65" customHeight="1" x14ac:dyDescent="0.25">
      <c r="A176" s="129" t="s">
        <v>825</v>
      </c>
      <c r="B176" s="825" t="s">
        <v>801</v>
      </c>
      <c r="C176" s="60">
        <f>SUMIFS('Standalone TB'!$X:$X,'Standalone TB'!$Z:$Z,'17-25'!$A176)-C175</f>
        <v>42695817.557658374</v>
      </c>
      <c r="D176" s="78">
        <f t="shared" si="7"/>
        <v>426.95817557658376</v>
      </c>
      <c r="E176" s="78">
        <v>327</v>
      </c>
    </row>
    <row r="177" spans="1:5" ht="12.65" customHeight="1" x14ac:dyDescent="0.25">
      <c r="A177" s="129" t="s">
        <v>826</v>
      </c>
      <c r="B177" s="825" t="s">
        <v>827</v>
      </c>
      <c r="C177" s="60">
        <f>SUMIFS('Standalone TB'!$X:$X,'Standalone TB'!$Z:$Z,'17-25'!$A177)</f>
        <v>2632863.047970132</v>
      </c>
      <c r="D177" s="78">
        <f t="shared" si="7"/>
        <v>26.328630479701321</v>
      </c>
      <c r="E177" s="78">
        <v>-77</v>
      </c>
    </row>
    <row r="178" spans="1:5" ht="12.65" customHeight="1" x14ac:dyDescent="0.25">
      <c r="A178" s="129" t="s">
        <v>117</v>
      </c>
      <c r="B178" s="825" t="s">
        <v>209</v>
      </c>
      <c r="C178" s="60">
        <f>SUMIFS('Standalone TB'!$X:$X,'Standalone TB'!$Z:$Z,'17-25'!$A178)</f>
        <v>0</v>
      </c>
      <c r="D178" s="78">
        <f t="shared" si="7"/>
        <v>0</v>
      </c>
      <c r="E178" s="78">
        <v>55</v>
      </c>
    </row>
    <row r="179" spans="1:5" ht="12.65" customHeight="1" x14ac:dyDescent="0.25">
      <c r="A179" s="129" t="s">
        <v>828</v>
      </c>
      <c r="B179" s="825" t="s">
        <v>828</v>
      </c>
      <c r="C179" s="60">
        <f>SUMIFS('Standalone TB'!$X:$X,'Standalone TB'!$Z:$Z,'17-25'!$A179)</f>
        <v>2160396.284354575</v>
      </c>
      <c r="D179" s="78">
        <f t="shared" si="7"/>
        <v>21.603962843545748</v>
      </c>
      <c r="E179" s="78">
        <v>18</v>
      </c>
    </row>
    <row r="180" spans="1:5" ht="12.65" customHeight="1" x14ac:dyDescent="0.25">
      <c r="B180" s="825" t="s">
        <v>829</v>
      </c>
      <c r="D180" s="78">
        <f t="shared" si="7"/>
        <v>0</v>
      </c>
    </row>
    <row r="181" spans="1:5" s="60" customFormat="1" ht="12.65" customHeight="1" x14ac:dyDescent="0.25">
      <c r="A181" s="129"/>
      <c r="B181" s="1034" t="str">
        <f>"- Related parties (refer note "&amp;'30 RPT'!A5&amp;")"</f>
        <v>- Related parties (refer note 30)</v>
      </c>
      <c r="D181" s="78">
        <f t="shared" si="7"/>
        <v>0</v>
      </c>
      <c r="E181" s="60">
        <v>35</v>
      </c>
    </row>
    <row r="182" spans="1:5" s="60" customFormat="1" ht="12.65" customHeight="1" x14ac:dyDescent="0.25">
      <c r="A182" s="129" t="s">
        <v>829</v>
      </c>
      <c r="B182" s="825" t="s">
        <v>801</v>
      </c>
      <c r="C182" s="60">
        <f>SUMIFS('Standalone TB'!$X:$X,'Standalone TB'!$Z:$Z,'17-25'!$A182)-C181</f>
        <v>48516.280000001192</v>
      </c>
      <c r="D182" s="78">
        <f t="shared" si="7"/>
        <v>0.48516280000001194</v>
      </c>
      <c r="E182" s="60">
        <v>39</v>
      </c>
    </row>
    <row r="183" spans="1:5" ht="12.65" customHeight="1" x14ac:dyDescent="0.25">
      <c r="B183" s="825" t="s">
        <v>830</v>
      </c>
      <c r="C183" s="60"/>
      <c r="D183" s="78">
        <f t="shared" si="7"/>
        <v>0</v>
      </c>
    </row>
    <row r="184" spans="1:5" ht="12.65" customHeight="1" x14ac:dyDescent="0.25">
      <c r="B184" s="1034" t="str">
        <f>"- Related parties (refer note "&amp;'30 RPT'!A5&amp;")"</f>
        <v>- Related parties (refer note 30)</v>
      </c>
      <c r="C184" s="60">
        <v>1506694.75</v>
      </c>
      <c r="D184" s="78">
        <f t="shared" si="7"/>
        <v>15.066947499999999</v>
      </c>
      <c r="E184" s="78">
        <v>21</v>
      </c>
    </row>
    <row r="185" spans="1:5" ht="12.65" customHeight="1" x14ac:dyDescent="0.25">
      <c r="A185" s="129" t="s">
        <v>830</v>
      </c>
      <c r="B185" s="825" t="s">
        <v>801</v>
      </c>
      <c r="C185" s="60">
        <f>SUMIFS('Standalone TB'!$X:$X,'Standalone TB'!$Z:$Z,'17-25'!$A185)-C184</f>
        <v>5830248.2000000002</v>
      </c>
      <c r="D185" s="78">
        <f t="shared" si="7"/>
        <v>58.302482000000005</v>
      </c>
      <c r="E185" s="78">
        <v>63</v>
      </c>
    </row>
    <row r="186" spans="1:5" ht="12.65" customHeight="1" x14ac:dyDescent="0.25">
      <c r="A186" s="129" t="s">
        <v>831</v>
      </c>
      <c r="B186" s="825" t="s">
        <v>832</v>
      </c>
      <c r="C186" s="17">
        <f>C199</f>
        <v>4742000</v>
      </c>
      <c r="D186" s="78">
        <f t="shared" si="7"/>
        <v>47.42</v>
      </c>
      <c r="E186" s="78">
        <v>45</v>
      </c>
    </row>
    <row r="187" spans="1:5" ht="12.65" customHeight="1" x14ac:dyDescent="0.25">
      <c r="B187" s="825" t="s">
        <v>833</v>
      </c>
    </row>
    <row r="188" spans="1:5" ht="12.65" customHeight="1" x14ac:dyDescent="0.25">
      <c r="B188" s="1034" t="str">
        <f>"- Related parties (refer note "&amp;'30 RPT'!A5&amp;")"</f>
        <v>- Related parties (refer note 30)</v>
      </c>
      <c r="C188" s="60">
        <v>102010.6</v>
      </c>
      <c r="D188" s="78">
        <f t="shared" si="7"/>
        <v>1.020106</v>
      </c>
      <c r="E188" s="78">
        <v>0</v>
      </c>
    </row>
    <row r="189" spans="1:5" ht="12.65" customHeight="1" x14ac:dyDescent="0.25">
      <c r="A189" s="129" t="s">
        <v>834</v>
      </c>
      <c r="B189" s="825" t="s">
        <v>801</v>
      </c>
      <c r="C189" s="60">
        <f>SUMIFS('Standalone TB'!$X:$X,'Standalone TB'!$Z:$Z,'17-25'!$A189)-C188</f>
        <v>740830.90622149571</v>
      </c>
      <c r="D189" s="78">
        <f t="shared" si="7"/>
        <v>7.4083090622149568</v>
      </c>
      <c r="E189" s="17">
        <v>9</v>
      </c>
    </row>
    <row r="190" spans="1:5" ht="12" thickBot="1" x14ac:dyDescent="0.3">
      <c r="B190" s="61" t="s">
        <v>100</v>
      </c>
      <c r="C190" s="546">
        <f>SUM(C154:C189)</f>
        <v>270206659.34399414</v>
      </c>
      <c r="D190" s="546">
        <f>SUM(D154:D189)</f>
        <v>2702.0665934399412</v>
      </c>
      <c r="E190" s="549">
        <f>SUM(E153:E189)</f>
        <v>2956</v>
      </c>
    </row>
    <row r="191" spans="1:5" ht="12" thickTop="1" x14ac:dyDescent="0.25">
      <c r="C191" s="1038"/>
      <c r="D191" s="109"/>
      <c r="E191" s="49"/>
    </row>
    <row r="192" spans="1:5" ht="12.65" customHeight="1" x14ac:dyDescent="0.25">
      <c r="B192" s="297" t="s">
        <v>802</v>
      </c>
      <c r="C192" s="1038"/>
      <c r="D192" s="109"/>
      <c r="E192" s="49"/>
    </row>
    <row r="193" spans="1:5" s="446" customFormat="1" x14ac:dyDescent="0.25">
      <c r="A193" s="1039"/>
      <c r="B193" s="1115"/>
      <c r="C193" s="1115"/>
      <c r="D193" s="1115"/>
      <c r="E193" s="1040"/>
    </row>
    <row r="194" spans="1:5" s="445" customFormat="1" ht="23" x14ac:dyDescent="0.35">
      <c r="A194" s="1041">
        <v>24.1</v>
      </c>
      <c r="B194" s="407" t="str">
        <f>"Note "&amp;A194&amp;": Auditor's remuneration"</f>
        <v>Note 24.1: Auditor's remuneration</v>
      </c>
      <c r="C194" s="616" t="str">
        <f>C5</f>
        <v>For the year ended
31 March 2025</v>
      </c>
      <c r="D194" s="616" t="str">
        <f>D5</f>
        <v>For the year ended
31 March 2025</v>
      </c>
      <c r="E194" s="616" t="str">
        <f>E5</f>
        <v>For the year ended
31 March 2024</v>
      </c>
    </row>
    <row r="195" spans="1:5" s="446" customFormat="1" x14ac:dyDescent="0.25">
      <c r="A195" s="1039"/>
      <c r="B195" s="825" t="s">
        <v>835</v>
      </c>
      <c r="C195" s="1020">
        <v>4113210</v>
      </c>
      <c r="D195" s="78">
        <f>C195/10^5+0.45</f>
        <v>41.582100000000004</v>
      </c>
      <c r="E195" s="78">
        <v>37.450000000000003</v>
      </c>
    </row>
    <row r="196" spans="1:5" s="446" customFormat="1" x14ac:dyDescent="0.25">
      <c r="A196" s="1039"/>
      <c r="B196" s="825" t="s">
        <v>836</v>
      </c>
      <c r="C196" s="1020">
        <v>133960</v>
      </c>
      <c r="D196" s="78">
        <f>C196/10^5</f>
        <v>1.3395999999999999</v>
      </c>
      <c r="E196" s="78">
        <v>1.25</v>
      </c>
    </row>
    <row r="197" spans="1:5" s="446" customFormat="1" x14ac:dyDescent="0.25">
      <c r="A197" s="1039"/>
      <c r="B197" s="825" t="s">
        <v>837</v>
      </c>
      <c r="C197" s="1042">
        <v>240000</v>
      </c>
      <c r="D197" s="78">
        <f>C197/10^5</f>
        <v>2.4</v>
      </c>
      <c r="E197" s="78">
        <v>4.4118399999999998</v>
      </c>
    </row>
    <row r="198" spans="1:5" s="446" customFormat="1" x14ac:dyDescent="0.25">
      <c r="A198" s="1039"/>
      <c r="B198" s="825" t="s">
        <v>838</v>
      </c>
      <c r="C198" s="1020">
        <v>254830</v>
      </c>
      <c r="D198" s="78">
        <f>C198/10^5</f>
        <v>2.5482999999999998</v>
      </c>
      <c r="E198" s="1043">
        <v>2.4</v>
      </c>
    </row>
    <row r="199" spans="1:5" s="446" customFormat="1" ht="12" thickBot="1" x14ac:dyDescent="0.3">
      <c r="A199" s="1039"/>
      <c r="B199" s="61" t="s">
        <v>100</v>
      </c>
      <c r="C199" s="111">
        <f>SUM(C195:C198)</f>
        <v>4742000</v>
      </c>
      <c r="D199" s="111">
        <f>SUM(D195:D198)</f>
        <v>47.87</v>
      </c>
      <c r="E199" s="112">
        <f>SUM(E195:E198)</f>
        <v>45.511839999999999</v>
      </c>
    </row>
    <row r="200" spans="1:5" ht="12" thickTop="1" x14ac:dyDescent="0.25"/>
    <row r="201" spans="1:5" ht="23" x14ac:dyDescent="0.25">
      <c r="A201" s="1041">
        <v>25</v>
      </c>
      <c r="B201" s="407" t="str">
        <f>"Note "&amp;A201&amp;": Exceptional items"</f>
        <v>Note 25: Exceptional items</v>
      </c>
      <c r="C201" s="616" t="str">
        <f>C194</f>
        <v>For the year ended
31 March 2025</v>
      </c>
      <c r="D201" s="925"/>
      <c r="E201" s="925"/>
    </row>
    <row r="202" spans="1:5" hidden="1" x14ac:dyDescent="0.25">
      <c r="A202" s="129" t="s">
        <v>839</v>
      </c>
      <c r="B202" s="19" t="s">
        <v>840</v>
      </c>
      <c r="C202" s="60">
        <f>SUMIFS('Standalone TB'!$X:$X,'Standalone TB'!$Z:$Z,'17-25'!$A202)</f>
        <v>0</v>
      </c>
      <c r="D202" s="78">
        <f t="shared" ref="D202" si="9">ROUND(SUM(C202:C202)/10^5,0)</f>
        <v>0</v>
      </c>
      <c r="E202" s="78">
        <f>0</f>
        <v>0</v>
      </c>
    </row>
    <row r="203" spans="1:5" ht="12" hidden="1" thickBot="1" x14ac:dyDescent="0.3">
      <c r="B203" s="61" t="s">
        <v>100</v>
      </c>
      <c r="C203" s="111">
        <f>SUM(C202)</f>
        <v>0</v>
      </c>
      <c r="D203" s="111">
        <f>SUM(D202)</f>
        <v>0</v>
      </c>
      <c r="E203" s="111">
        <f>SUM(E202)</f>
        <v>0</v>
      </c>
    </row>
    <row r="204" spans="1:5" hidden="1" x14ac:dyDescent="0.25"/>
    <row r="205" spans="1:5" ht="69.75" customHeight="1" x14ac:dyDescent="0.25">
      <c r="B205" s="1101" t="s">
        <v>841</v>
      </c>
      <c r="C205" s="1101"/>
      <c r="D205" s="1101"/>
      <c r="E205" s="1101"/>
    </row>
  </sheetData>
  <mergeCells count="7">
    <mergeCell ref="B205:E205"/>
    <mergeCell ref="B193:D193"/>
    <mergeCell ref="D72:E72"/>
    <mergeCell ref="D98:E98"/>
    <mergeCell ref="B51:E51"/>
    <mergeCell ref="B53:E53"/>
    <mergeCell ref="D144:E144"/>
  </mergeCells>
  <pageMargins left="0.23622047244094491" right="0.23622047244094491" top="0.74803149606299213" bottom="0.74803149606299213" header="0.31496062992125984" footer="0.31496062992125984"/>
  <pageSetup paperSize="9" scale="70" orientation="portrait" r:id="rId1"/>
  <rowBreaks count="2" manualBreakCount="2">
    <brk id="68" min="1" max="4" man="1"/>
    <brk id="143" min="1" max="4"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2B36F-E6C0-4291-8C8B-FF6AE326996A}">
  <sheetPr>
    <tabColor rgb="FF7030A0"/>
  </sheetPr>
  <dimension ref="A1:M165"/>
  <sheetViews>
    <sheetView showGridLines="0" tabSelected="1" view="pageBreakPreview" topLeftCell="A112" zoomScale="90" zoomScaleNormal="100" zoomScaleSheetLayoutView="90" workbookViewId="0">
      <selection activeCell="B83" sqref="B83:C83"/>
    </sheetView>
  </sheetViews>
  <sheetFormatPr defaultColWidth="9.1796875" defaultRowHeight="85.4" customHeight="1" outlineLevelRow="1" x14ac:dyDescent="0.25"/>
  <cols>
    <col min="1" max="1" width="3.81640625" style="17" customWidth="1"/>
    <col min="2" max="2" width="48.1796875" style="340" customWidth="1"/>
    <col min="3" max="4" width="11.81640625" style="19" customWidth="1"/>
    <col min="5" max="5" width="13.1796875" style="19" customWidth="1"/>
    <col min="6" max="6" width="18.453125" style="78" customWidth="1"/>
    <col min="7" max="7" width="19.54296875" style="78" customWidth="1"/>
    <col min="8" max="8" width="11.453125" style="17" bestFit="1" customWidth="1"/>
    <col min="9" max="9" width="10.54296875" style="17" bestFit="1" customWidth="1"/>
    <col min="10" max="11" width="13.81640625" style="17" bestFit="1" customWidth="1"/>
    <col min="12" max="13" width="11" style="17" bestFit="1" customWidth="1"/>
    <col min="14" max="16384" width="9.1796875" style="17"/>
  </cols>
  <sheetData>
    <row r="1" spans="1:7" ht="11.5" x14ac:dyDescent="0.25">
      <c r="B1" s="333" t="str">
        <f>'17-25'!B1</f>
        <v>Paladion Networks Private Limited</v>
      </c>
      <c r="C1" s="39"/>
      <c r="D1" s="39"/>
      <c r="E1" s="39"/>
      <c r="G1" s="80"/>
    </row>
    <row r="2" spans="1:7" ht="11.5" x14ac:dyDescent="0.25">
      <c r="A2" s="37"/>
      <c r="B2" s="285" t="str">
        <f>'17-25'!B2</f>
        <v>Summary of Material accounting policies and other explanatory information</v>
      </c>
      <c r="C2" s="40"/>
      <c r="D2" s="40"/>
      <c r="E2" s="40"/>
      <c r="G2" s="80"/>
    </row>
    <row r="3" spans="1:7" ht="12" x14ac:dyDescent="0.3">
      <c r="B3" s="283" t="str">
        <f>'17-25'!B3</f>
        <v>(Amounts are stated in ₹ lakhs, except share and per share data, unless ottherwise stated)</v>
      </c>
      <c r="C3" s="39"/>
      <c r="D3" s="39"/>
      <c r="E3" s="39"/>
      <c r="F3" s="80"/>
      <c r="G3" s="80"/>
    </row>
    <row r="4" spans="1:7" ht="11.5" x14ac:dyDescent="0.25">
      <c r="B4" s="1139"/>
      <c r="C4" s="1139"/>
      <c r="D4" s="1139"/>
      <c r="E4" s="1139"/>
      <c r="F4" s="1139"/>
      <c r="G4" s="1139"/>
    </row>
    <row r="5" spans="1:7" s="43" customFormat="1" ht="11.5" x14ac:dyDescent="0.25">
      <c r="A5" s="17">
        <f>'17-25'!A201+1</f>
        <v>26</v>
      </c>
      <c r="B5" s="646" t="str">
        <f>"Note "&amp;A5&amp;": Deferred and Income tax "</f>
        <v xml:space="preserve">Note 26: Deferred and Income tax </v>
      </c>
      <c r="C5" s="41"/>
      <c r="D5" s="41"/>
      <c r="E5" s="41"/>
      <c r="F5" s="325"/>
      <c r="G5" s="325"/>
    </row>
    <row r="6" spans="1:7" s="43" customFormat="1" ht="11.5" x14ac:dyDescent="0.25">
      <c r="A6" s="17" t="s">
        <v>66</v>
      </c>
      <c r="B6" s="335"/>
      <c r="C6" s="44"/>
      <c r="D6" s="44"/>
      <c r="E6" s="44"/>
      <c r="F6" s="325"/>
      <c r="G6" s="325"/>
    </row>
    <row r="7" spans="1:7" s="43" customFormat="1" ht="11.5" x14ac:dyDescent="0.25">
      <c r="A7" s="17"/>
      <c r="B7" s="348" t="s">
        <v>842</v>
      </c>
      <c r="C7" s="41"/>
      <c r="D7" s="41"/>
      <c r="E7" s="41"/>
      <c r="F7" s="325"/>
      <c r="G7" s="325"/>
    </row>
    <row r="8" spans="1:7" s="46" customFormat="1" ht="11.5" x14ac:dyDescent="0.25">
      <c r="A8" s="78"/>
      <c r="B8" s="336"/>
      <c r="C8" s="45"/>
      <c r="D8" s="45"/>
      <c r="E8" s="45"/>
      <c r="F8" s="1140"/>
      <c r="G8" s="1140"/>
    </row>
    <row r="9" spans="1:7" s="43" customFormat="1" ht="23" x14ac:dyDescent="0.25">
      <c r="A9" s="17"/>
      <c r="B9" s="334" t="s">
        <v>182</v>
      </c>
      <c r="C9" s="41"/>
      <c r="D9" s="41"/>
      <c r="E9" s="41"/>
      <c r="F9" s="323" t="s">
        <v>146</v>
      </c>
      <c r="G9" s="323" t="s">
        <v>147</v>
      </c>
    </row>
    <row r="10" spans="1:7" s="43" customFormat="1" ht="12.75" hidden="1" customHeight="1" thickBot="1" x14ac:dyDescent="0.3">
      <c r="A10" s="17" t="s">
        <v>188</v>
      </c>
      <c r="B10" s="334" t="s">
        <v>843</v>
      </c>
      <c r="C10" s="41"/>
      <c r="D10" s="41"/>
      <c r="E10" s="41"/>
      <c r="F10" s="47"/>
      <c r="G10" s="47"/>
    </row>
    <row r="11" spans="1:7" s="43" customFormat="1" ht="11.5" hidden="1" x14ac:dyDescent="0.25">
      <c r="A11" s="17"/>
      <c r="B11" s="334"/>
      <c r="C11" s="41"/>
      <c r="D11" s="41"/>
      <c r="E11" s="41"/>
      <c r="F11" s="47"/>
      <c r="G11" s="47"/>
    </row>
    <row r="12" spans="1:7" s="43" customFormat="1" ht="11.5" x14ac:dyDescent="0.25">
      <c r="A12" s="17"/>
      <c r="B12" s="337" t="s">
        <v>844</v>
      </c>
      <c r="C12" s="48"/>
      <c r="D12" s="48"/>
      <c r="E12" s="48"/>
      <c r="F12" s="49"/>
      <c r="G12" s="49"/>
    </row>
    <row r="13" spans="1:7" s="43" customFormat="1" ht="11.5" x14ac:dyDescent="0.25">
      <c r="A13" s="17" t="s">
        <v>845</v>
      </c>
      <c r="B13" s="338" t="s">
        <v>846</v>
      </c>
      <c r="C13" s="50"/>
      <c r="D13" s="50"/>
      <c r="E13" s="50"/>
      <c r="F13" s="840">
        <f>SUMIFS('Standalone TB'!$X:$X,'Standalone TB'!$Z:$Z,A13)/10^5</f>
        <v>654.50305137625924</v>
      </c>
      <c r="G13" s="78">
        <v>8.6357999999999997</v>
      </c>
    </row>
    <row r="14" spans="1:7" s="43" customFormat="1" ht="12" thickBot="1" x14ac:dyDescent="0.3">
      <c r="A14" s="17"/>
      <c r="B14" s="338"/>
      <c r="C14" s="50"/>
      <c r="D14" s="50"/>
      <c r="E14" s="50"/>
      <c r="F14" s="555">
        <f>SUM(F13:F13)</f>
        <v>654.50305137625924</v>
      </c>
      <c r="G14" s="555" t="s">
        <v>174</v>
      </c>
    </row>
    <row r="15" spans="1:7" s="43" customFormat="1" ht="12" thickTop="1" x14ac:dyDescent="0.25">
      <c r="A15" s="17"/>
      <c r="B15" s="334" t="s">
        <v>847</v>
      </c>
      <c r="C15" s="41"/>
      <c r="D15" s="41"/>
      <c r="E15" s="41"/>
      <c r="F15" s="49"/>
      <c r="G15" s="49"/>
    </row>
    <row r="16" spans="1:7" s="43" customFormat="1" ht="11.5" x14ac:dyDescent="0.25">
      <c r="A16" s="17"/>
      <c r="B16" s="1147" t="s">
        <v>848</v>
      </c>
      <c r="C16" s="1147"/>
      <c r="D16" s="1147"/>
      <c r="E16" s="50"/>
      <c r="F16" s="78">
        <f>-E104</f>
        <v>398.71986811427968</v>
      </c>
      <c r="G16" s="78">
        <v>1082.1452266753804</v>
      </c>
    </row>
    <row r="17" spans="1:12" s="43" customFormat="1" ht="11.5" x14ac:dyDescent="0.25">
      <c r="A17" s="17"/>
      <c r="B17" s="338"/>
      <c r="C17" s="50"/>
      <c r="D17" s="50"/>
      <c r="E17" s="50"/>
      <c r="F17" s="49"/>
      <c r="G17" s="49"/>
    </row>
    <row r="18" spans="1:12" s="43" customFormat="1" ht="12" thickBot="1" x14ac:dyDescent="0.3">
      <c r="A18" s="17"/>
      <c r="B18" s="334" t="s">
        <v>849</v>
      </c>
      <c r="C18" s="41"/>
      <c r="D18" s="41"/>
      <c r="E18" s="41"/>
      <c r="F18" s="555">
        <f>SUM(F14:F16)</f>
        <v>1053.222919490539</v>
      </c>
      <c r="G18" s="555">
        <f>SUM(G14:G16)</f>
        <v>1082.1452266753804</v>
      </c>
    </row>
    <row r="19" spans="1:12" s="43" customFormat="1" ht="12" thickTop="1" x14ac:dyDescent="0.25">
      <c r="A19" s="17"/>
      <c r="B19" s="334"/>
      <c r="C19" s="41"/>
      <c r="D19" s="41"/>
      <c r="E19" s="41"/>
      <c r="F19" s="326"/>
      <c r="G19" s="326"/>
    </row>
    <row r="20" spans="1:12" s="43" customFormat="1" ht="11.5" x14ac:dyDescent="0.25">
      <c r="A20" s="17"/>
      <c r="B20" s="334" t="s">
        <v>850</v>
      </c>
      <c r="C20" s="41"/>
      <c r="D20" s="41"/>
      <c r="E20" s="41"/>
      <c r="F20" s="52"/>
      <c r="G20" s="52"/>
    </row>
    <row r="21" spans="1:12" s="43" customFormat="1" ht="23" x14ac:dyDescent="0.25">
      <c r="A21" s="17"/>
      <c r="B21" s="334" t="s">
        <v>182</v>
      </c>
      <c r="C21" s="41"/>
      <c r="D21" s="41"/>
      <c r="E21" s="41"/>
      <c r="F21" s="324" t="str">
        <f>$F$9</f>
        <v>For the year ended
31 March 2025</v>
      </c>
      <c r="G21" s="324" t="str">
        <f>$G$9</f>
        <v>For the year ended
31 March 2024</v>
      </c>
    </row>
    <row r="22" spans="1:12" s="43" customFormat="1" ht="11.5" x14ac:dyDescent="0.25">
      <c r="A22" s="17"/>
      <c r="B22" s="334"/>
      <c r="C22" s="41"/>
      <c r="D22" s="41"/>
      <c r="E22" s="41"/>
      <c r="F22" s="51"/>
      <c r="G22" s="51"/>
    </row>
    <row r="23" spans="1:12" s="43" customFormat="1" ht="11.5" x14ac:dyDescent="0.25">
      <c r="A23" s="17"/>
      <c r="B23" s="338" t="s">
        <v>851</v>
      </c>
      <c r="C23" s="50"/>
      <c r="D23" s="50"/>
      <c r="E23" s="50"/>
      <c r="F23" s="78">
        <f>-PL!D38</f>
        <v>0</v>
      </c>
      <c r="G23" s="78">
        <v>12.5567883584</v>
      </c>
    </row>
    <row r="24" spans="1:12" s="43" customFormat="1" ht="12" thickBot="1" x14ac:dyDescent="0.3">
      <c r="A24" s="17"/>
      <c r="B24" s="1144" t="s">
        <v>852</v>
      </c>
      <c r="C24" s="1144"/>
      <c r="D24" s="41"/>
      <c r="E24" s="41"/>
      <c r="F24" s="555">
        <f>F23</f>
        <v>0</v>
      </c>
      <c r="G24" s="555">
        <f>G23</f>
        <v>12.5567883584</v>
      </c>
    </row>
    <row r="25" spans="1:12" s="43" customFormat="1" ht="12" thickTop="1" x14ac:dyDescent="0.25">
      <c r="A25" s="17"/>
      <c r="B25" s="338"/>
      <c r="C25" s="50"/>
      <c r="D25" s="50"/>
      <c r="E25" s="50"/>
      <c r="F25" s="51"/>
      <c r="G25" s="51"/>
    </row>
    <row r="26" spans="1:12" s="78" customFormat="1" ht="11.5" x14ac:dyDescent="0.25">
      <c r="B26" s="440" t="s">
        <v>853</v>
      </c>
      <c r="C26" s="441"/>
      <c r="D26" s="441"/>
      <c r="E26" s="441"/>
      <c r="F26" s="316"/>
      <c r="G26" s="316"/>
    </row>
    <row r="27" spans="1:12" ht="23" x14ac:dyDescent="0.25">
      <c r="B27" s="347"/>
      <c r="C27" s="54"/>
      <c r="D27" s="54"/>
      <c r="E27" s="54"/>
      <c r="F27" s="294" t="str">
        <f>F9</f>
        <v>For the year ended
31 March 2025</v>
      </c>
      <c r="G27" s="294" t="str">
        <f>G9</f>
        <v>For the year ended
31 March 2024</v>
      </c>
    </row>
    <row r="28" spans="1:12" ht="11.5" x14ac:dyDescent="0.25">
      <c r="B28" s="301" t="s">
        <v>854</v>
      </c>
      <c r="C28" s="53"/>
      <c r="D28" s="53"/>
      <c r="E28" s="53"/>
      <c r="F28" s="78">
        <f>PL!D23</f>
        <v>650.87005730624514</v>
      </c>
      <c r="G28" s="78">
        <v>-15033.408345646782</v>
      </c>
    </row>
    <row r="29" spans="1:12" ht="11.5" x14ac:dyDescent="0.25">
      <c r="B29" s="347" t="s">
        <v>855</v>
      </c>
      <c r="C29" s="54"/>
      <c r="D29" s="54"/>
      <c r="E29" s="54"/>
      <c r="F29" s="442">
        <v>0.25168000000000001</v>
      </c>
      <c r="G29" s="442">
        <v>0.25168000000000001</v>
      </c>
      <c r="K29" s="775">
        <f>F29</f>
        <v>0.25168000000000001</v>
      </c>
      <c r="L29" s="775">
        <f>G29</f>
        <v>0.25168000000000001</v>
      </c>
    </row>
    <row r="30" spans="1:12" ht="11.5" x14ac:dyDescent="0.25">
      <c r="B30" s="347" t="s">
        <v>856</v>
      </c>
      <c r="C30" s="54"/>
      <c r="D30" s="54"/>
      <c r="E30" s="54"/>
      <c r="F30" s="77">
        <f>F28*F29</f>
        <v>163.81097602283577</v>
      </c>
      <c r="G30" s="77">
        <v>-3783.6082124323821</v>
      </c>
    </row>
    <row r="31" spans="1:12" ht="11.5" x14ac:dyDescent="0.25">
      <c r="B31" s="301" t="s">
        <v>857</v>
      </c>
      <c r="C31" s="54"/>
      <c r="D31" s="54"/>
      <c r="E31" s="54"/>
      <c r="F31" s="57"/>
      <c r="G31" s="57"/>
    </row>
    <row r="32" spans="1:12" ht="11.5" x14ac:dyDescent="0.25">
      <c r="B32" s="347" t="s">
        <v>858</v>
      </c>
      <c r="C32" s="54"/>
      <c r="D32" s="54"/>
      <c r="E32" s="54"/>
      <c r="F32" s="57"/>
      <c r="G32" s="78">
        <v>3</v>
      </c>
      <c r="K32" s="775">
        <f>F32/F28</f>
        <v>0</v>
      </c>
      <c r="L32" s="775">
        <f>G32/G28</f>
        <v>-1.9955554529114543E-4</v>
      </c>
    </row>
    <row r="33" spans="2:12" ht="13.5" x14ac:dyDescent="0.25">
      <c r="B33" s="347" t="s">
        <v>859</v>
      </c>
      <c r="C33" s="54"/>
      <c r="D33" s="54"/>
      <c r="E33" s="54"/>
      <c r="F33" s="57"/>
      <c r="G33" s="78">
        <v>0</v>
      </c>
      <c r="L33" s="775">
        <f>G33/G28</f>
        <v>0</v>
      </c>
    </row>
    <row r="34" spans="2:12" ht="11.5" x14ac:dyDescent="0.25">
      <c r="B34" s="347" t="s">
        <v>860</v>
      </c>
      <c r="C34" s="54"/>
      <c r="D34" s="54"/>
      <c r="E34" s="54"/>
      <c r="F34" s="57"/>
      <c r="G34" s="78">
        <v>4591</v>
      </c>
      <c r="L34" s="775"/>
    </row>
    <row r="35" spans="2:12" ht="11.5" x14ac:dyDescent="0.25">
      <c r="B35" s="347" t="s">
        <v>861</v>
      </c>
      <c r="C35" s="54"/>
      <c r="D35" s="54"/>
      <c r="E35" s="54"/>
      <c r="F35" s="57"/>
      <c r="G35" s="78">
        <v>276</v>
      </c>
      <c r="L35" s="775"/>
    </row>
    <row r="36" spans="2:12" ht="11.5" x14ac:dyDescent="0.25">
      <c r="B36" s="347" t="s">
        <v>862</v>
      </c>
      <c r="C36" s="54"/>
      <c r="D36" s="54"/>
      <c r="E36" s="54"/>
      <c r="F36" s="57"/>
      <c r="G36" s="78">
        <v>4.4000000000000004</v>
      </c>
      <c r="K36" s="775">
        <f>F36/F28</f>
        <v>0</v>
      </c>
      <c r="L36" s="775">
        <f>G36/G28</f>
        <v>-2.9268146642701332E-4</v>
      </c>
    </row>
    <row r="37" spans="2:12" ht="12" thickBot="1" x14ac:dyDescent="0.3">
      <c r="B37" s="301" t="s">
        <v>863</v>
      </c>
      <c r="C37" s="53"/>
      <c r="D37" s="53"/>
      <c r="E37" s="53"/>
      <c r="F37" s="546">
        <f>SUM(F30:F36)</f>
        <v>163.81097602283577</v>
      </c>
      <c r="G37" s="548">
        <f>SUM(G30:G36)</f>
        <v>1090.791787567618</v>
      </c>
      <c r="I37" s="775">
        <f>F37/F28</f>
        <v>0.25168000000000001</v>
      </c>
      <c r="J37" s="775">
        <f>G37/G28</f>
        <v>-7.2557849989053097E-2</v>
      </c>
      <c r="K37" s="775">
        <f>F37/F28</f>
        <v>0.25168000000000001</v>
      </c>
      <c r="L37" s="775">
        <f>G37/G28</f>
        <v>-7.2557849989053097E-2</v>
      </c>
    </row>
    <row r="38" spans="2:12" ht="12" thickTop="1" x14ac:dyDescent="0.25">
      <c r="B38" s="301"/>
      <c r="C38" s="53"/>
      <c r="D38" s="53"/>
      <c r="E38" s="53"/>
      <c r="F38" s="77"/>
      <c r="G38" s="464"/>
      <c r="K38" s="775"/>
      <c r="L38" s="775"/>
    </row>
    <row r="39" spans="2:12" ht="23" x14ac:dyDescent="0.25">
      <c r="B39" s="440" t="s">
        <v>864</v>
      </c>
      <c r="C39" s="53"/>
      <c r="D39" s="53"/>
      <c r="E39" s="53"/>
      <c r="F39" s="294" t="str">
        <f>F27</f>
        <v>For the year ended
31 March 2025</v>
      </c>
      <c r="G39" s="294" t="str">
        <f>G27</f>
        <v>For the year ended
31 March 2024</v>
      </c>
      <c r="K39" s="775"/>
      <c r="L39" s="775"/>
    </row>
    <row r="40" spans="2:12" ht="11.5" x14ac:dyDescent="0.25">
      <c r="B40" s="347" t="s">
        <v>855</v>
      </c>
      <c r="C40" s="54"/>
      <c r="D40" s="54"/>
      <c r="E40" s="54"/>
      <c r="F40" s="442">
        <f>-F29</f>
        <v>-0.25168000000000001</v>
      </c>
      <c r="G40" s="442">
        <f>-G29</f>
        <v>-0.25168000000000001</v>
      </c>
      <c r="K40" s="775"/>
      <c r="L40" s="775"/>
    </row>
    <row r="41" spans="2:12" ht="11.5" x14ac:dyDescent="0.25">
      <c r="B41" s="301" t="s">
        <v>857</v>
      </c>
      <c r="C41" s="54"/>
      <c r="D41" s="54"/>
      <c r="E41" s="54"/>
      <c r="F41" s="442"/>
      <c r="G41" s="442"/>
      <c r="K41" s="775"/>
      <c r="L41" s="775"/>
    </row>
    <row r="42" spans="2:12" ht="11.5" x14ac:dyDescent="0.25">
      <c r="B42" s="804" t="str">
        <f>B32</f>
        <v>Non-deductible interest and taxes</v>
      </c>
      <c r="C42" s="53"/>
      <c r="D42" s="53"/>
      <c r="E42" s="53"/>
      <c r="F42" s="776">
        <f>F32/-$F$28</f>
        <v>0</v>
      </c>
      <c r="G42" s="777">
        <f>G32/-$G$28</f>
        <v>1.9955554529114543E-4</v>
      </c>
      <c r="K42" s="775"/>
      <c r="L42" s="775"/>
    </row>
    <row r="43" spans="2:12" ht="11.5" x14ac:dyDescent="0.25">
      <c r="B43" s="804" t="str">
        <f>B33</f>
        <v>Difference on account of adoption of new tax rate (*)</v>
      </c>
      <c r="C43" s="53"/>
      <c r="D43" s="53"/>
      <c r="E43" s="53"/>
      <c r="F43" s="776">
        <f t="shared" ref="F43:F46" si="0">F33/-$F$28</f>
        <v>0</v>
      </c>
      <c r="G43" s="777">
        <f t="shared" ref="G43:G46" si="1">G33/-$G$28</f>
        <v>0</v>
      </c>
      <c r="K43" s="775"/>
      <c r="L43" s="775"/>
    </row>
    <row r="44" spans="2:12" ht="11.5" x14ac:dyDescent="0.25">
      <c r="B44" s="804" t="str">
        <f>B34</f>
        <v>Taxes on exceptional items</v>
      </c>
      <c r="C44" s="53"/>
      <c r="D44" s="53"/>
      <c r="E44" s="53"/>
      <c r="F44" s="776">
        <f t="shared" si="0"/>
        <v>0</v>
      </c>
      <c r="G44" s="777">
        <f t="shared" si="1"/>
        <v>0.30538650281054958</v>
      </c>
      <c r="K44" s="775"/>
      <c r="L44" s="775"/>
    </row>
    <row r="45" spans="2:12" ht="11.5" x14ac:dyDescent="0.25">
      <c r="B45" s="804" t="str">
        <f>B35</f>
        <v>DTA Reversal on business loss</v>
      </c>
      <c r="C45" s="53"/>
      <c r="D45" s="53"/>
      <c r="E45" s="53"/>
      <c r="F45" s="776">
        <f t="shared" si="0"/>
        <v>0</v>
      </c>
      <c r="G45" s="777">
        <f t="shared" si="1"/>
        <v>1.8359110166785379E-2</v>
      </c>
      <c r="K45" s="775"/>
      <c r="L45" s="775"/>
    </row>
    <row r="46" spans="2:12" ht="11.5" x14ac:dyDescent="0.25">
      <c r="B46" s="804" t="str">
        <f>B36</f>
        <v>Other differences</v>
      </c>
      <c r="C46" s="53"/>
      <c r="D46" s="53"/>
      <c r="E46" s="53"/>
      <c r="F46" s="776">
        <f t="shared" si="0"/>
        <v>0</v>
      </c>
      <c r="G46" s="777">
        <f t="shared" si="1"/>
        <v>2.9268146642701332E-4</v>
      </c>
      <c r="K46" s="775"/>
      <c r="L46" s="775"/>
    </row>
    <row r="47" spans="2:12" ht="12" thickBot="1" x14ac:dyDescent="0.3">
      <c r="B47" s="301" t="s">
        <v>865</v>
      </c>
      <c r="C47" s="53"/>
      <c r="D47" s="53"/>
      <c r="E47" s="53"/>
      <c r="F47" s="778">
        <f>SUM(F40:F46)</f>
        <v>-0.25168000000000001</v>
      </c>
      <c r="G47" s="778">
        <f>SUM(G40:G46)</f>
        <v>7.2557849989053111E-2</v>
      </c>
      <c r="K47" s="775"/>
      <c r="L47" s="775"/>
    </row>
    <row r="48" spans="2:12" ht="12" thickTop="1" x14ac:dyDescent="0.25">
      <c r="B48" s="301"/>
      <c r="C48" s="53"/>
      <c r="D48" s="53"/>
      <c r="E48" s="53"/>
      <c r="F48" s="77"/>
      <c r="G48" s="77"/>
    </row>
    <row r="49" spans="1:7" ht="11.5" x14ac:dyDescent="0.25">
      <c r="B49" s="301" t="s">
        <v>866</v>
      </c>
      <c r="C49" s="53"/>
      <c r="D49" s="53"/>
      <c r="E49" s="53"/>
      <c r="F49" s="77"/>
      <c r="G49" s="77"/>
    </row>
    <row r="50" spans="1:7" ht="11.5" x14ac:dyDescent="0.25">
      <c r="B50" s="299" t="s">
        <v>867</v>
      </c>
      <c r="C50" s="53"/>
      <c r="D50" s="53"/>
      <c r="E50" s="53"/>
      <c r="F50" s="57">
        <f>PL!D26</f>
        <v>654.50305137625924</v>
      </c>
      <c r="G50" s="57">
        <v>8.6357999999999997</v>
      </c>
    </row>
    <row r="51" spans="1:7" ht="11.5" x14ac:dyDescent="0.25">
      <c r="B51" s="299" t="s">
        <v>868</v>
      </c>
      <c r="C51" s="53"/>
      <c r="D51" s="53"/>
      <c r="E51" s="53"/>
      <c r="F51" s="156">
        <f>F16</f>
        <v>398.71986811427968</v>
      </c>
      <c r="G51" s="156">
        <v>1082.1452266753804</v>
      </c>
    </row>
    <row r="52" spans="1:7" ht="11.5" x14ac:dyDescent="0.25">
      <c r="B52" s="301" t="s">
        <v>869</v>
      </c>
      <c r="C52" s="53"/>
      <c r="D52" s="53"/>
      <c r="E52" s="53"/>
      <c r="F52" s="556">
        <f>SUM(F50:F51)</f>
        <v>1053.222919490539</v>
      </c>
      <c r="G52" s="556">
        <f>SUM(G50:G51)</f>
        <v>1090.7810266753804</v>
      </c>
    </row>
    <row r="53" spans="1:7" ht="11.5" hidden="1" x14ac:dyDescent="0.25">
      <c r="B53" s="347" t="s">
        <v>870</v>
      </c>
      <c r="C53" s="53"/>
      <c r="D53" s="53"/>
      <c r="E53" s="53"/>
      <c r="F53" s="57" t="s">
        <v>174</v>
      </c>
      <c r="G53" s="57" t="s">
        <v>174</v>
      </c>
    </row>
    <row r="54" spans="1:7" ht="11.5" hidden="1" x14ac:dyDescent="0.25">
      <c r="B54" s="347" t="s">
        <v>871</v>
      </c>
      <c r="C54" s="53"/>
      <c r="D54" s="53"/>
      <c r="E54" s="53"/>
      <c r="F54" s="156">
        <v>0</v>
      </c>
      <c r="G54" s="87" t="s">
        <v>174</v>
      </c>
    </row>
    <row r="55" spans="1:7" ht="12" thickBot="1" x14ac:dyDescent="0.3">
      <c r="B55" s="301" t="s">
        <v>872</v>
      </c>
      <c r="C55" s="53"/>
      <c r="D55" s="53"/>
      <c r="E55" s="53"/>
      <c r="F55" s="546">
        <f>SUM(F52:F53)</f>
        <v>1053.222919490539</v>
      </c>
      <c r="G55" s="546">
        <f>SUM(G52:G53)</f>
        <v>1090.7810266753804</v>
      </c>
    </row>
    <row r="56" spans="1:7" ht="12" thickTop="1" x14ac:dyDescent="0.25">
      <c r="B56" s="301"/>
      <c r="C56" s="53"/>
      <c r="D56" s="53"/>
      <c r="E56" s="53"/>
      <c r="F56" s="77"/>
      <c r="G56" s="77"/>
    </row>
    <row r="57" spans="1:7" ht="12" customHeight="1" x14ac:dyDescent="0.25">
      <c r="B57" s="1141" t="s">
        <v>873</v>
      </c>
      <c r="C57" s="1141"/>
      <c r="D57" s="1141"/>
      <c r="E57" s="1141"/>
      <c r="F57" s="1141"/>
      <c r="G57" s="1141"/>
    </row>
    <row r="58" spans="1:7" ht="11.5" x14ac:dyDescent="0.25">
      <c r="B58" s="301"/>
      <c r="C58" s="53"/>
      <c r="D58" s="53"/>
      <c r="E58" s="53"/>
      <c r="F58" s="77"/>
      <c r="G58" s="77"/>
    </row>
    <row r="59" spans="1:7" s="43" customFormat="1" ht="11.5" x14ac:dyDescent="0.25">
      <c r="A59" s="17"/>
      <c r="B59" s="339" t="s">
        <v>874</v>
      </c>
      <c r="C59" s="58"/>
      <c r="D59" s="58"/>
      <c r="E59" s="53"/>
      <c r="F59" s="77"/>
      <c r="G59" s="77"/>
    </row>
    <row r="60" spans="1:7" s="43" customFormat="1" ht="23" x14ac:dyDescent="0.25">
      <c r="A60" s="17"/>
      <c r="B60" s="301"/>
      <c r="C60" s="53"/>
      <c r="D60" s="53"/>
      <c r="E60" s="59"/>
      <c r="F60" s="323" t="str">
        <f>'14-16'!H49</f>
        <v>As at 
31 March 2025</v>
      </c>
      <c r="G60" s="323" t="str">
        <f>'14-16'!J49</f>
        <v>As at 
31 March 2024</v>
      </c>
    </row>
    <row r="61" spans="1:7" s="43" customFormat="1" ht="11.5" x14ac:dyDescent="0.25">
      <c r="A61" s="17"/>
      <c r="B61" s="301"/>
      <c r="C61" s="53"/>
      <c r="D61" s="53"/>
      <c r="E61" s="53"/>
      <c r="F61" s="77"/>
      <c r="G61" s="77"/>
    </row>
    <row r="62" spans="1:7" s="43" customFormat="1" ht="11.5" hidden="1" x14ac:dyDescent="0.25">
      <c r="A62" s="17"/>
      <c r="B62" s="347" t="s">
        <v>875</v>
      </c>
      <c r="C62" s="54"/>
      <c r="D62" s="54"/>
      <c r="E62" s="60"/>
      <c r="F62" s="85">
        <v>0</v>
      </c>
      <c r="G62" s="85">
        <v>0</v>
      </c>
    </row>
    <row r="63" spans="1:7" s="43" customFormat="1" ht="11.5" x14ac:dyDescent="0.25">
      <c r="A63" s="17"/>
      <c r="B63" s="347" t="s">
        <v>876</v>
      </c>
      <c r="C63" s="54"/>
      <c r="D63" s="54"/>
      <c r="E63" s="60"/>
      <c r="F63" s="78">
        <f>F69</f>
        <v>533.64167680000003</v>
      </c>
      <c r="G63" s="78">
        <v>740.02418999999998</v>
      </c>
    </row>
    <row r="64" spans="1:7" s="43" customFormat="1" ht="12" thickBot="1" x14ac:dyDescent="0.3">
      <c r="A64" s="17"/>
      <c r="B64" s="301" t="s">
        <v>100</v>
      </c>
      <c r="C64" s="79"/>
      <c r="D64" s="79"/>
      <c r="E64" s="79"/>
      <c r="F64" s="150">
        <f>SUM(F61:F63)</f>
        <v>533.64167680000003</v>
      </c>
      <c r="G64" s="150">
        <f>SUM(G61:G63)</f>
        <v>740.02418999999998</v>
      </c>
    </row>
    <row r="65" spans="1:13" s="43" customFormat="1" ht="12" thickTop="1" x14ac:dyDescent="0.25">
      <c r="A65" s="17"/>
      <c r="B65" s="529" t="s">
        <v>877</v>
      </c>
      <c r="C65" s="530"/>
      <c r="D65" s="530"/>
      <c r="E65" s="53"/>
      <c r="F65" s="77"/>
      <c r="G65" s="77"/>
    </row>
    <row r="66" spans="1:13" s="43" customFormat="1" ht="11.5" x14ac:dyDescent="0.25">
      <c r="A66" s="17"/>
      <c r="B66" s="528"/>
      <c r="C66" s="61"/>
      <c r="D66" s="61"/>
      <c r="E66" s="53"/>
      <c r="F66" s="77"/>
      <c r="G66" s="77"/>
    </row>
    <row r="67" spans="1:13" s="43" customFormat="1" ht="23" x14ac:dyDescent="0.25">
      <c r="A67" s="17"/>
      <c r="B67" s="528" t="s">
        <v>5</v>
      </c>
      <c r="C67" s="61"/>
      <c r="D67" s="61"/>
      <c r="E67" s="17"/>
      <c r="F67" s="323" t="str">
        <f>F60</f>
        <v>As at 
31 March 2025</v>
      </c>
      <c r="G67" s="323" t="str">
        <f>G60</f>
        <v>As at 
31 March 2024</v>
      </c>
    </row>
    <row r="68" spans="1:13" s="43" customFormat="1" ht="11.5" x14ac:dyDescent="0.25">
      <c r="A68" s="17"/>
      <c r="B68" s="528" t="s">
        <v>588</v>
      </c>
      <c r="C68" s="61"/>
      <c r="D68" s="61"/>
      <c r="E68" s="17"/>
      <c r="F68" s="80">
        <f>G72</f>
        <v>1849.6467655909764</v>
      </c>
      <c r="G68" s="57">
        <v>1855.3025555909762</v>
      </c>
      <c r="J68" s="43">
        <v>53397727</v>
      </c>
    </row>
    <row r="69" spans="1:13" s="43" customFormat="1" ht="11.5" x14ac:dyDescent="0.25">
      <c r="A69" s="17"/>
      <c r="B69" s="1145" t="s">
        <v>878</v>
      </c>
      <c r="C69" s="1145"/>
      <c r="D69" s="19"/>
      <c r="E69" s="17"/>
      <c r="F69" s="57">
        <f>J69/10^5</f>
        <v>533.64167680000003</v>
      </c>
      <c r="G69" s="57">
        <v>740.02418999999998</v>
      </c>
      <c r="H69" s="43">
        <f>G69*10^5</f>
        <v>74002419</v>
      </c>
      <c r="J69" s="43">
        <v>53364167.680000007</v>
      </c>
      <c r="L69" s="43">
        <v>84292810</v>
      </c>
      <c r="M69" s="43">
        <f>L69/10^5</f>
        <v>842.92809999999997</v>
      </c>
    </row>
    <row r="70" spans="1:13" s="43" customFormat="1" ht="11.5" x14ac:dyDescent="0.25">
      <c r="A70" s="17"/>
      <c r="B70" s="340" t="s">
        <v>879</v>
      </c>
      <c r="C70" s="19"/>
      <c r="D70" s="19"/>
      <c r="E70" s="17"/>
      <c r="F70" s="57">
        <f>-PL!D26</f>
        <v>-654.50305137625924</v>
      </c>
      <c r="G70" s="57">
        <v>-8.6357999999999997</v>
      </c>
    </row>
    <row r="71" spans="1:13" s="43" customFormat="1" ht="11.5" x14ac:dyDescent="0.25">
      <c r="A71" s="17"/>
      <c r="B71" s="340" t="s">
        <v>880</v>
      </c>
      <c r="C71" s="19"/>
      <c r="D71" s="19"/>
      <c r="E71" s="17"/>
      <c r="F71" s="57">
        <f>-J71/10^5</f>
        <v>-805.82903999999996</v>
      </c>
      <c r="G71" s="57">
        <v>-737.04417999999998</v>
      </c>
      <c r="J71" s="43">
        <v>80582904</v>
      </c>
      <c r="K71" s="43">
        <v>-79005240.969999999</v>
      </c>
      <c r="L71" s="43">
        <v>67533704</v>
      </c>
      <c r="M71" s="43">
        <v>13049200</v>
      </c>
    </row>
    <row r="72" spans="1:13" s="43" customFormat="1" ht="12" thickBot="1" x14ac:dyDescent="0.3">
      <c r="A72" s="17" t="s">
        <v>881</v>
      </c>
      <c r="B72" s="528" t="s">
        <v>592</v>
      </c>
      <c r="C72" s="61"/>
      <c r="D72" s="61"/>
      <c r="E72" s="17"/>
      <c r="F72" s="908">
        <f>SUMIFS('Standalone TB'!$X:$X,'Standalone TB'!$AB:$AB,A72)/10^5</f>
        <v>981.25817698576691</v>
      </c>
      <c r="G72" s="150">
        <f t="shared" ref="G72" si="2">SUM(G68:G71)</f>
        <v>1849.6467655909764</v>
      </c>
      <c r="H72" s="43">
        <f>G72*10^5</f>
        <v>184964676.55909765</v>
      </c>
    </row>
    <row r="73" spans="1:13" s="43" customFormat="1" ht="12" thickTop="1" x14ac:dyDescent="0.25">
      <c r="A73" s="17"/>
      <c r="B73" s="301"/>
      <c r="C73" s="53"/>
      <c r="D73" s="53"/>
      <c r="E73" s="53"/>
      <c r="F73" s="77"/>
      <c r="G73" s="77"/>
      <c r="J73" s="43">
        <f>SUM(F68:F71)</f>
        <v>922.95635101471714</v>
      </c>
      <c r="K73" s="43">
        <f>F72</f>
        <v>981.25817698576691</v>
      </c>
      <c r="L73" s="43">
        <f>K73-J73</f>
        <v>58.301825971049766</v>
      </c>
    </row>
    <row r="74" spans="1:13" s="43" customFormat="1" ht="11.5" x14ac:dyDescent="0.25">
      <c r="A74" s="17"/>
      <c r="B74" s="301" t="str">
        <f>B1</f>
        <v>Paladion Networks Private Limited</v>
      </c>
      <c r="C74" s="53"/>
      <c r="D74" s="53"/>
      <c r="E74" s="53"/>
      <c r="F74" s="77"/>
      <c r="G74" s="77"/>
    </row>
    <row r="75" spans="1:13" s="43" customFormat="1" ht="11.5" x14ac:dyDescent="0.25">
      <c r="A75" s="17"/>
      <c r="B75" s="300" t="str">
        <f>B2</f>
        <v>Summary of Material accounting policies and other explanatory information</v>
      </c>
      <c r="C75" s="53"/>
      <c r="D75" s="53"/>
      <c r="E75" s="53"/>
      <c r="F75" s="77"/>
      <c r="G75" s="77"/>
    </row>
    <row r="76" spans="1:13" s="43" customFormat="1" ht="12" x14ac:dyDescent="0.25">
      <c r="A76" s="17"/>
      <c r="B76" s="319" t="str">
        <f>B3</f>
        <v>(Amounts are stated in ₹ lakhs, except share and per share data, unless ottherwise stated)</v>
      </c>
      <c r="C76" s="53"/>
      <c r="D76" s="53"/>
      <c r="E76" s="53"/>
      <c r="F76" s="77"/>
      <c r="G76" s="77"/>
    </row>
    <row r="77" spans="1:13" s="43" customFormat="1" ht="11.5" x14ac:dyDescent="0.25">
      <c r="A77" s="17"/>
      <c r="B77" s="301"/>
      <c r="C77" s="53"/>
      <c r="D77" s="53"/>
      <c r="E77" s="53"/>
      <c r="F77" s="77"/>
      <c r="G77" s="77"/>
    </row>
    <row r="78" spans="1:13" s="43" customFormat="1" ht="11.5" x14ac:dyDescent="0.25">
      <c r="A78" s="17">
        <f>A5</f>
        <v>26</v>
      </c>
      <c r="B78" s="334" t="str">
        <f>"Note "&amp;A78&amp;": Current tax (Contd.)"</f>
        <v>Note 26: Current tax (Contd.)</v>
      </c>
      <c r="C78" s="53"/>
      <c r="D78" s="53"/>
      <c r="E78" s="53"/>
      <c r="F78" s="77"/>
      <c r="G78" s="77"/>
    </row>
    <row r="79" spans="1:13" s="43" customFormat="1" ht="11.5" x14ac:dyDescent="0.25">
      <c r="A79" s="17"/>
      <c r="B79" s="301"/>
      <c r="C79" s="53"/>
      <c r="D79" s="53"/>
      <c r="E79" s="53"/>
      <c r="F79" s="77"/>
      <c r="G79" s="77"/>
    </row>
    <row r="80" spans="1:13" s="43" customFormat="1" ht="11.5" x14ac:dyDescent="0.25">
      <c r="A80" s="17"/>
      <c r="B80" s="341" t="s">
        <v>882</v>
      </c>
      <c r="C80" s="62"/>
      <c r="D80" s="62"/>
      <c r="E80" s="53"/>
      <c r="F80" s="77"/>
      <c r="G80" s="77"/>
      <c r="J80" s="730"/>
    </row>
    <row r="81" spans="1:8" s="43" customFormat="1" ht="23" x14ac:dyDescent="0.25">
      <c r="A81" s="17"/>
      <c r="B81" s="301"/>
      <c r="C81" s="53"/>
      <c r="D81" s="53"/>
      <c r="E81" s="59"/>
      <c r="F81" s="323" t="str">
        <f>F9</f>
        <v>For the year ended
31 March 2025</v>
      </c>
      <c r="G81" s="323" t="str">
        <f>G9</f>
        <v>For the year ended
31 March 2024</v>
      </c>
    </row>
    <row r="82" spans="1:8" s="43" customFormat="1" ht="11.5" x14ac:dyDescent="0.25">
      <c r="A82" s="17"/>
      <c r="B82" s="337" t="s">
        <v>883</v>
      </c>
      <c r="C82" s="35"/>
      <c r="D82" s="35"/>
      <c r="E82" s="53"/>
      <c r="F82" s="77"/>
      <c r="G82" s="77"/>
    </row>
    <row r="83" spans="1:8" s="43" customFormat="1" ht="11.5" x14ac:dyDescent="0.25">
      <c r="A83" s="17"/>
      <c r="B83" s="1146" t="s">
        <v>884</v>
      </c>
      <c r="C83" s="1146"/>
      <c r="D83" s="63"/>
      <c r="E83" s="64"/>
      <c r="F83" s="57"/>
      <c r="G83" s="57">
        <v>-103.62856014566513</v>
      </c>
      <c r="H83" s="43">
        <f>F83-G83</f>
        <v>103.62856014566513</v>
      </c>
    </row>
    <row r="84" spans="1:8" s="43" customFormat="1" ht="11.5" x14ac:dyDescent="0.25">
      <c r="A84" s="17"/>
      <c r="B84" s="342" t="s">
        <v>885</v>
      </c>
      <c r="C84" s="63"/>
      <c r="D84" s="63"/>
      <c r="E84" s="64"/>
      <c r="F84" s="57"/>
      <c r="G84" s="57">
        <v>447.5994772482349</v>
      </c>
      <c r="H84" s="43">
        <f>F84-G84</f>
        <v>-447.5994772482349</v>
      </c>
    </row>
    <row r="85" spans="1:8" s="43" customFormat="1" ht="11.5" x14ac:dyDescent="0.25">
      <c r="A85" s="17"/>
      <c r="B85" s="342" t="s">
        <v>886</v>
      </c>
      <c r="C85" s="63"/>
      <c r="D85" s="63"/>
      <c r="E85" s="64"/>
      <c r="F85" s="57"/>
      <c r="G85" s="57">
        <v>12.244229655692138</v>
      </c>
      <c r="H85" s="43">
        <f>F85-G85</f>
        <v>-12.244229655692138</v>
      </c>
    </row>
    <row r="86" spans="1:8" s="43" customFormat="1" ht="11.5" x14ac:dyDescent="0.25">
      <c r="A86" s="17"/>
      <c r="B86" s="342" t="s">
        <v>887</v>
      </c>
      <c r="C86" s="63"/>
      <c r="D86" s="63"/>
      <c r="E86" s="64"/>
      <c r="F86" s="57"/>
      <c r="G86" s="57">
        <v>0</v>
      </c>
      <c r="H86" s="43">
        <f>F86-G86</f>
        <v>0</v>
      </c>
    </row>
    <row r="87" spans="1:8" s="43" customFormat="1" ht="11.5" x14ac:dyDescent="0.25">
      <c r="A87" s="17"/>
      <c r="B87" s="342" t="s">
        <v>888</v>
      </c>
      <c r="C87" s="63"/>
      <c r="D87" s="63"/>
      <c r="E87" s="64"/>
      <c r="F87" s="57"/>
      <c r="G87" s="57">
        <v>0</v>
      </c>
      <c r="H87" s="43">
        <f>F87-G87</f>
        <v>0</v>
      </c>
    </row>
    <row r="88" spans="1:8" s="43" customFormat="1" ht="11.5" x14ac:dyDescent="0.25">
      <c r="A88" s="17"/>
      <c r="B88" s="1146" t="s">
        <v>889</v>
      </c>
      <c r="C88" s="1146"/>
      <c r="D88" s="63"/>
      <c r="E88" s="64"/>
      <c r="F88" s="57"/>
      <c r="G88" s="57">
        <v>49.430775159708801</v>
      </c>
    </row>
    <row r="89" spans="1:8" s="43" customFormat="1" ht="11.5" x14ac:dyDescent="0.25">
      <c r="A89" s="17"/>
      <c r="B89" s="342" t="s">
        <v>310</v>
      </c>
      <c r="C89" s="63"/>
      <c r="D89" s="63"/>
      <c r="E89" s="64"/>
      <c r="F89" s="57"/>
      <c r="G89" s="57">
        <v>-6.9260538036910235</v>
      </c>
    </row>
    <row r="90" spans="1:8" s="43" customFormat="1" ht="12" thickBot="1" x14ac:dyDescent="0.3">
      <c r="A90" s="17" t="s">
        <v>890</v>
      </c>
      <c r="B90" s="301" t="s">
        <v>891</v>
      </c>
      <c r="C90" s="65"/>
      <c r="D90" s="65"/>
      <c r="E90" s="79"/>
      <c r="F90" s="908">
        <f>SUMIFS('Standalone TB'!$X:$X,'Standalone TB'!$Z:$Z,A90)/10^5</f>
        <v>398.71986500000003</v>
      </c>
      <c r="G90" s="327">
        <f>SUM(G83:G89)</f>
        <v>398.71986811427968</v>
      </c>
    </row>
    <row r="91" spans="1:8" s="43" customFormat="1" ht="12" thickTop="1" x14ac:dyDescent="0.25">
      <c r="A91" s="17"/>
      <c r="B91" s="301"/>
      <c r="C91" s="53"/>
      <c r="D91" s="53"/>
      <c r="E91" s="53"/>
      <c r="F91" s="77"/>
      <c r="G91" s="77"/>
    </row>
    <row r="92" spans="1:8" s="43" customFormat="1" ht="11.5" x14ac:dyDescent="0.25">
      <c r="A92" s="17"/>
      <c r="B92" s="300" t="s">
        <v>892</v>
      </c>
      <c r="C92" s="53"/>
      <c r="D92" s="53"/>
      <c r="E92" s="53"/>
      <c r="F92" s="77"/>
      <c r="G92" s="77"/>
    </row>
    <row r="93" spans="1:8" s="43" customFormat="1" ht="11.5" x14ac:dyDescent="0.25">
      <c r="A93" s="17"/>
      <c r="B93" s="301"/>
      <c r="C93" s="53"/>
      <c r="D93" s="53"/>
      <c r="E93" s="53"/>
      <c r="F93" s="77"/>
      <c r="G93" s="77"/>
    </row>
    <row r="94" spans="1:8" s="435" customFormat="1" ht="34.5" x14ac:dyDescent="0.25">
      <c r="A94" s="370"/>
      <c r="B94" s="335" t="s">
        <v>5</v>
      </c>
      <c r="C94" s="335"/>
      <c r="D94" s="66" t="s">
        <v>893</v>
      </c>
      <c r="E94" s="66" t="s">
        <v>894</v>
      </c>
      <c r="F94" s="66" t="s">
        <v>895</v>
      </c>
      <c r="G94" s="66" t="s">
        <v>896</v>
      </c>
    </row>
    <row r="95" spans="1:8" s="43" customFormat="1" ht="11.5" x14ac:dyDescent="0.25">
      <c r="A95" s="17"/>
      <c r="B95" s="334"/>
      <c r="C95" s="334"/>
      <c r="D95" s="53"/>
      <c r="E95" s="53"/>
      <c r="F95" s="53"/>
      <c r="G95" s="77"/>
    </row>
    <row r="96" spans="1:8" s="43" customFormat="1" ht="11.5" x14ac:dyDescent="0.25">
      <c r="A96" s="17"/>
      <c r="B96" s="337" t="s">
        <v>883</v>
      </c>
      <c r="C96" s="337"/>
      <c r="D96" s="53"/>
      <c r="E96" s="53"/>
      <c r="F96" s="53"/>
      <c r="G96" s="77"/>
    </row>
    <row r="97" spans="1:9" s="43" customFormat="1" ht="11.5" x14ac:dyDescent="0.25">
      <c r="A97" s="17"/>
      <c r="B97" s="456" t="str">
        <f t="shared" ref="B97:B103" si="3">B83</f>
        <v>Difference in written down value of property and equipment</v>
      </c>
      <c r="C97" s="456"/>
      <c r="D97" s="17">
        <f t="shared" ref="D97:D103" si="4">G113</f>
        <v>-103.62856014566512</v>
      </c>
      <c r="E97" s="457">
        <f>-G83+F83</f>
        <v>103.62856014566513</v>
      </c>
      <c r="F97" s="458" t="s">
        <v>174</v>
      </c>
      <c r="G97" s="459">
        <f>SUM(D97:F97)</f>
        <v>0</v>
      </c>
    </row>
    <row r="98" spans="1:9" s="43" customFormat="1" ht="11.5" x14ac:dyDescent="0.25">
      <c r="A98" s="17"/>
      <c r="B98" s="342" t="str">
        <f t="shared" si="3"/>
        <v>Provision for employees benefits</v>
      </c>
      <c r="C98" s="342"/>
      <c r="D98" s="17">
        <f t="shared" si="4"/>
        <v>447.5994772482349</v>
      </c>
      <c r="E98" s="67">
        <f>-G84+F84-F98</f>
        <v>-447.5994772482349</v>
      </c>
      <c r="F98" s="68">
        <f>PL!D38</f>
        <v>0</v>
      </c>
      <c r="G98" s="328">
        <f t="shared" ref="G98:G103" si="5">SUM(D98:F98)</f>
        <v>0</v>
      </c>
    </row>
    <row r="99" spans="1:9" s="43" customFormat="1" ht="11.5" x14ac:dyDescent="0.25">
      <c r="A99" s="17"/>
      <c r="B99" s="342" t="str">
        <f t="shared" si="3"/>
        <v>Provision for advances / trade receivables</v>
      </c>
      <c r="C99" s="342"/>
      <c r="D99" s="17">
        <f t="shared" si="4"/>
        <v>12.244229655692141</v>
      </c>
      <c r="E99" s="67">
        <f>-G85+F85</f>
        <v>-12.244229655692138</v>
      </c>
      <c r="F99" s="68" t="s">
        <v>174</v>
      </c>
      <c r="G99" s="328">
        <f t="shared" si="5"/>
        <v>0</v>
      </c>
    </row>
    <row r="100" spans="1:9" s="43" customFormat="1" ht="11.5" x14ac:dyDescent="0.25">
      <c r="A100" s="17"/>
      <c r="B100" s="342" t="str">
        <f t="shared" si="3"/>
        <v>Unabsorbed depreciation</v>
      </c>
      <c r="C100" s="342"/>
      <c r="D100" s="17">
        <f t="shared" si="4"/>
        <v>0</v>
      </c>
      <c r="E100" s="67">
        <f>-G86+F86</f>
        <v>0</v>
      </c>
      <c r="F100" s="68" t="s">
        <v>174</v>
      </c>
      <c r="G100" s="328">
        <f t="shared" si="5"/>
        <v>0</v>
      </c>
    </row>
    <row r="101" spans="1:9" s="43" customFormat="1" ht="11.5" x14ac:dyDescent="0.25">
      <c r="A101" s="17"/>
      <c r="B101" s="342" t="str">
        <f t="shared" si="3"/>
        <v>Brought forward losses</v>
      </c>
      <c r="C101" s="342"/>
      <c r="D101" s="17">
        <f t="shared" si="4"/>
        <v>-0.20000000000004547</v>
      </c>
      <c r="E101" s="67">
        <f>-G87+F87</f>
        <v>0</v>
      </c>
      <c r="F101" s="68" t="s">
        <v>174</v>
      </c>
      <c r="G101" s="328">
        <f t="shared" si="5"/>
        <v>-0.20000000000004547</v>
      </c>
    </row>
    <row r="102" spans="1:9" s="108" customFormat="1" ht="11.5" x14ac:dyDescent="0.35">
      <c r="A102" s="60"/>
      <c r="B102" s="342" t="str">
        <f t="shared" si="3"/>
        <v>Section 40(a) disallowance on account of non-deduction of TDS</v>
      </c>
      <c r="C102" s="342"/>
      <c r="D102" s="60">
        <f t="shared" si="4"/>
        <v>49.430775159708801</v>
      </c>
      <c r="E102" s="57">
        <f>-G88+F88</f>
        <v>-49.430775159708801</v>
      </c>
      <c r="F102" s="49" t="s">
        <v>174</v>
      </c>
      <c r="G102" s="597">
        <f t="shared" si="5"/>
        <v>0</v>
      </c>
    </row>
    <row r="103" spans="1:9" s="43" customFormat="1" ht="11.5" x14ac:dyDescent="0.25">
      <c r="A103" s="17"/>
      <c r="B103" s="342" t="str">
        <f t="shared" si="3"/>
        <v>Others</v>
      </c>
      <c r="C103" s="342"/>
      <c r="D103" s="17">
        <f t="shared" si="4"/>
        <v>-6.9260538036910226</v>
      </c>
      <c r="E103" s="67">
        <f>-G89+F89</f>
        <v>6.9260538036910235</v>
      </c>
      <c r="F103" s="68" t="s">
        <v>174</v>
      </c>
      <c r="G103" s="328">
        <f t="shared" si="5"/>
        <v>0</v>
      </c>
    </row>
    <row r="104" spans="1:9" s="43" customFormat="1" ht="12" thickBot="1" x14ac:dyDescent="0.3">
      <c r="A104" s="17"/>
      <c r="B104" s="301"/>
      <c r="C104" s="301"/>
      <c r="D104" s="191">
        <f>SUM(D97:D103)</f>
        <v>398.51986811427963</v>
      </c>
      <c r="E104" s="191">
        <f>SUM(E97:E103)</f>
        <v>-398.71986811427968</v>
      </c>
      <c r="F104" s="191">
        <f>SUM(F97:F103)</f>
        <v>0</v>
      </c>
      <c r="G104" s="263">
        <f>SUM(G97:G103)</f>
        <v>-0.20000000000004547</v>
      </c>
      <c r="I104" s="43">
        <f>G104-D104</f>
        <v>-398.71986811427968</v>
      </c>
    </row>
    <row r="105" spans="1:9" s="43" customFormat="1" ht="12" thickTop="1" x14ac:dyDescent="0.25">
      <c r="A105" s="17"/>
      <c r="B105" s="301"/>
      <c r="C105" s="70"/>
      <c r="D105" s="70"/>
      <c r="E105" s="70"/>
      <c r="F105" s="329"/>
      <c r="G105" s="329"/>
    </row>
    <row r="106" spans="1:9" s="43" customFormat="1" ht="11.5" hidden="1" x14ac:dyDescent="0.25">
      <c r="A106" s="17"/>
      <c r="B106" s="301"/>
      <c r="C106" s="53"/>
      <c r="D106" s="53"/>
      <c r="E106" s="53"/>
      <c r="F106" s="77"/>
      <c r="G106" s="77"/>
    </row>
    <row r="107" spans="1:9" s="43" customFormat="1" ht="11.5" hidden="1" outlineLevel="1" x14ac:dyDescent="0.25">
      <c r="A107" s="17"/>
      <c r="B107" s="301"/>
      <c r="C107" s="53"/>
      <c r="D107" s="53"/>
      <c r="E107" s="53"/>
      <c r="F107" s="77"/>
      <c r="G107" s="77"/>
    </row>
    <row r="108" spans="1:9" s="43" customFormat="1" ht="11.5" outlineLevel="1" x14ac:dyDescent="0.25">
      <c r="A108" s="17"/>
      <c r="B108" s="300" t="s">
        <v>897</v>
      </c>
      <c r="C108" s="53"/>
      <c r="D108" s="53"/>
      <c r="E108" s="53"/>
      <c r="F108" s="77"/>
      <c r="G108" s="77"/>
    </row>
    <row r="109" spans="1:9" s="43" customFormat="1" ht="11.5" outlineLevel="1" x14ac:dyDescent="0.25">
      <c r="A109" s="17"/>
      <c r="B109" s="301"/>
      <c r="C109" s="53"/>
      <c r="D109" s="53"/>
      <c r="E109" s="53"/>
      <c r="F109" s="77"/>
      <c r="G109" s="77"/>
    </row>
    <row r="110" spans="1:9" s="435" customFormat="1" ht="50.15" customHeight="1" outlineLevel="1" x14ac:dyDescent="0.25">
      <c r="A110" s="370"/>
      <c r="B110" s="335" t="s">
        <v>5</v>
      </c>
      <c r="C110" s="335"/>
      <c r="D110" s="71" t="s">
        <v>898</v>
      </c>
      <c r="E110" s="66" t="s">
        <v>894</v>
      </c>
      <c r="F110" s="66" t="s">
        <v>895</v>
      </c>
      <c r="G110" s="71" t="s">
        <v>899</v>
      </c>
    </row>
    <row r="111" spans="1:9" s="43" customFormat="1" ht="11.5" outlineLevel="1" x14ac:dyDescent="0.25">
      <c r="A111" s="17"/>
      <c r="B111" s="334"/>
      <c r="C111" s="334"/>
      <c r="D111" s="53"/>
      <c r="E111" s="53"/>
      <c r="F111" s="53"/>
      <c r="G111" s="77"/>
    </row>
    <row r="112" spans="1:9" s="43" customFormat="1" ht="11.5" outlineLevel="1" x14ac:dyDescent="0.25">
      <c r="A112" s="17"/>
      <c r="B112" s="337" t="s">
        <v>883</v>
      </c>
      <c r="C112" s="337"/>
      <c r="D112" s="53"/>
      <c r="E112" s="53"/>
      <c r="F112" s="53"/>
      <c r="G112" s="77"/>
    </row>
    <row r="113" spans="1:7" s="43" customFormat="1" ht="11.5" outlineLevel="1" x14ac:dyDescent="0.25">
      <c r="A113" s="17"/>
      <c r="B113" s="456" t="s">
        <v>884</v>
      </c>
      <c r="C113" s="456"/>
      <c r="D113" s="17">
        <v>-3.877039158500156</v>
      </c>
      <c r="E113" s="361">
        <v>-99.751520987164966</v>
      </c>
      <c r="F113" s="459" t="s">
        <v>174</v>
      </c>
      <c r="G113" s="459">
        <f t="shared" ref="G113:G119" si="6">SUM(D113:F113)</f>
        <v>-103.62856014566512</v>
      </c>
    </row>
    <row r="114" spans="1:7" s="43" customFormat="1" ht="11.5" outlineLevel="1" x14ac:dyDescent="0.25">
      <c r="A114" s="17"/>
      <c r="B114" s="342" t="s">
        <v>885</v>
      </c>
      <c r="C114" s="342"/>
      <c r="D114" s="17">
        <v>400.99979010373801</v>
      </c>
      <c r="E114" s="69">
        <v>59.156475502896896</v>
      </c>
      <c r="F114" s="69">
        <v>-12.5567883584</v>
      </c>
      <c r="G114" s="328">
        <f t="shared" si="6"/>
        <v>447.5994772482349</v>
      </c>
    </row>
    <row r="115" spans="1:7" s="43" customFormat="1" ht="11.5" outlineLevel="1" x14ac:dyDescent="0.25">
      <c r="A115" s="17"/>
      <c r="B115" s="342" t="s">
        <v>900</v>
      </c>
      <c r="C115" s="342"/>
      <c r="D115" s="17">
        <v>31.27841211326291</v>
      </c>
      <c r="E115" s="69">
        <v>-19.034182457570768</v>
      </c>
      <c r="F115" s="459" t="s">
        <v>174</v>
      </c>
      <c r="G115" s="328">
        <f t="shared" si="6"/>
        <v>12.244229655692141</v>
      </c>
    </row>
    <row r="116" spans="1:7" s="43" customFormat="1" ht="11.5" outlineLevel="1" x14ac:dyDescent="0.25">
      <c r="A116" s="17"/>
      <c r="B116" s="342" t="s">
        <v>887</v>
      </c>
      <c r="C116" s="342"/>
      <c r="D116" s="17">
        <v>532.47892045920003</v>
      </c>
      <c r="E116" s="69">
        <v>-532.47892045920014</v>
      </c>
      <c r="F116" s="459" t="s">
        <v>174</v>
      </c>
      <c r="G116" s="328">
        <f t="shared" si="6"/>
        <v>0</v>
      </c>
    </row>
    <row r="117" spans="1:7" s="43" customFormat="1" ht="11.5" outlineLevel="1" x14ac:dyDescent="0.25">
      <c r="A117" s="17"/>
      <c r="B117" s="342" t="s">
        <v>888</v>
      </c>
      <c r="C117" s="342"/>
      <c r="D117" s="17">
        <v>357.36506822608004</v>
      </c>
      <c r="E117" s="69">
        <v>-357.56506822608009</v>
      </c>
      <c r="F117" s="459" t="s">
        <v>174</v>
      </c>
      <c r="G117" s="328">
        <f t="shared" si="6"/>
        <v>-0.20000000000004547</v>
      </c>
    </row>
    <row r="118" spans="1:7" s="108" customFormat="1" ht="11.5" outlineLevel="1" x14ac:dyDescent="0.35">
      <c r="A118" s="60"/>
      <c r="B118" s="342" t="s">
        <v>889</v>
      </c>
      <c r="C118" s="342"/>
      <c r="D118" s="60">
        <v>171.92335468674082</v>
      </c>
      <c r="E118" s="64">
        <v>-122.49257952703202</v>
      </c>
      <c r="F118" s="597" t="s">
        <v>174</v>
      </c>
      <c r="G118" s="597">
        <f t="shared" si="6"/>
        <v>49.430775159708801</v>
      </c>
    </row>
    <row r="119" spans="1:7" s="43" customFormat="1" ht="11.5" outlineLevel="1" x14ac:dyDescent="0.25">
      <c r="A119" s="17"/>
      <c r="B119" s="342" t="s">
        <v>310</v>
      </c>
      <c r="C119" s="342"/>
      <c r="D119" s="17">
        <v>3.0533767175384199</v>
      </c>
      <c r="E119" s="69">
        <v>-9.9794305212294425</v>
      </c>
      <c r="F119" s="459" t="s">
        <v>174</v>
      </c>
      <c r="G119" s="328">
        <f t="shared" si="6"/>
        <v>-6.9260538036910226</v>
      </c>
    </row>
    <row r="120" spans="1:7" s="43" customFormat="1" ht="12" outlineLevel="1" thickBot="1" x14ac:dyDescent="0.3">
      <c r="A120" s="17"/>
      <c r="B120" s="301"/>
      <c r="C120" s="301"/>
      <c r="D120" s="191">
        <f>SUM(D113:D119)</f>
        <v>1493.22188314806</v>
      </c>
      <c r="E120" s="191">
        <f>SUM(E113:E119)+0.5</f>
        <v>-1081.6452266753804</v>
      </c>
      <c r="F120" s="191">
        <f>SUM(F113:F119)</f>
        <v>-12.5567883584</v>
      </c>
      <c r="G120" s="263">
        <f>SUM(G113:G119)</f>
        <v>398.51986811427963</v>
      </c>
    </row>
    <row r="121" spans="1:7" s="43" customFormat="1" ht="70.400000000000006" hidden="1" customHeight="1" outlineLevel="1" x14ac:dyDescent="0.25">
      <c r="A121" s="17"/>
      <c r="B121" s="1142" t="s">
        <v>901</v>
      </c>
      <c r="C121" s="1142"/>
      <c r="D121" s="1142"/>
      <c r="E121" s="1142"/>
      <c r="F121" s="1142"/>
      <c r="G121" s="1142"/>
    </row>
    <row r="122" spans="1:7" s="43" customFormat="1" ht="12" outlineLevel="1" thickTop="1" x14ac:dyDescent="0.25">
      <c r="A122" s="17"/>
      <c r="B122" s="343"/>
      <c r="C122" s="72"/>
      <c r="D122" s="72"/>
      <c r="E122" s="72"/>
      <c r="F122" s="330"/>
      <c r="G122" s="330"/>
    </row>
    <row r="123" spans="1:7" s="43" customFormat="1" ht="11.5" outlineLevel="1" x14ac:dyDescent="0.25">
      <c r="A123" s="17">
        <f>A78+1</f>
        <v>27</v>
      </c>
      <c r="B123" s="343" t="str">
        <f>"Note "&amp;A123&amp;": Earnings / (loss) per share"</f>
        <v>Note 27: Earnings / (loss) per share</v>
      </c>
      <c r="C123" s="72"/>
      <c r="D123" s="72"/>
      <c r="E123" s="72"/>
      <c r="F123" s="330"/>
      <c r="G123" s="330"/>
    </row>
    <row r="124" spans="1:7" s="43" customFormat="1" ht="11.5" outlineLevel="1" x14ac:dyDescent="0.25">
      <c r="A124" s="17"/>
      <c r="B124" s="343"/>
      <c r="C124" s="72"/>
      <c r="D124" s="72"/>
      <c r="E124" s="72"/>
      <c r="F124" s="330"/>
      <c r="G124" s="330"/>
    </row>
    <row r="125" spans="1:7" s="43" customFormat="1" ht="23" outlineLevel="1" x14ac:dyDescent="0.25">
      <c r="A125" s="17"/>
      <c r="B125" s="344" t="s">
        <v>5</v>
      </c>
      <c r="C125" s="73"/>
      <c r="D125" s="73"/>
      <c r="E125" s="73"/>
      <c r="F125" s="323" t="str">
        <f>F9</f>
        <v>For the year ended
31 March 2025</v>
      </c>
      <c r="G125" s="323" t="str">
        <f>G9</f>
        <v>For the year ended
31 March 2024</v>
      </c>
    </row>
    <row r="126" spans="1:7" s="43" customFormat="1" ht="11.5" outlineLevel="1" x14ac:dyDescent="0.25">
      <c r="A126" s="17"/>
      <c r="B126" s="1143" t="s">
        <v>902</v>
      </c>
      <c r="C126" s="1143"/>
      <c r="D126" s="1143"/>
      <c r="E126" s="1143"/>
      <c r="F126" s="1143"/>
      <c r="G126" s="1143"/>
    </row>
    <row r="127" spans="1:7" s="43" customFormat="1" ht="11.5" outlineLevel="1" x14ac:dyDescent="0.25">
      <c r="A127" s="17"/>
      <c r="B127" s="346"/>
      <c r="C127" s="72"/>
      <c r="D127" s="72"/>
      <c r="E127" s="72"/>
      <c r="F127" s="330"/>
      <c r="G127" s="330"/>
    </row>
    <row r="128" spans="1:7" s="43" customFormat="1" ht="11.5" outlineLevel="1" x14ac:dyDescent="0.25">
      <c r="A128" s="17"/>
      <c r="B128" s="1129" t="s">
        <v>903</v>
      </c>
      <c r="C128" s="1129"/>
      <c r="D128" s="1129"/>
      <c r="E128" s="1129"/>
      <c r="F128" s="331">
        <f>PL!$D$31</f>
        <v>-3.6329940700140924</v>
      </c>
      <c r="G128" s="331">
        <v>-16124.197957288381</v>
      </c>
    </row>
    <row r="129" spans="1:7" s="43" customFormat="1" ht="11.5" outlineLevel="1" x14ac:dyDescent="0.25">
      <c r="A129" s="17"/>
      <c r="B129" s="1129" t="s">
        <v>904</v>
      </c>
      <c r="C129" s="1129"/>
      <c r="D129" s="1129"/>
      <c r="E129" s="1129"/>
      <c r="F129" s="613">
        <f>'11-13'!G28</f>
        <v>10000</v>
      </c>
      <c r="G129" s="613">
        <v>10000</v>
      </c>
    </row>
    <row r="130" spans="1:7" s="43" customFormat="1" ht="11.5" outlineLevel="1" x14ac:dyDescent="0.25">
      <c r="A130" s="17"/>
      <c r="B130" s="1129" t="s">
        <v>905</v>
      </c>
      <c r="C130" s="1129"/>
      <c r="D130" s="1129"/>
      <c r="E130" s="1129"/>
      <c r="F130" s="331">
        <f>(F128/F129)*10^5</f>
        <v>-36.329940700140924</v>
      </c>
      <c r="G130" s="331">
        <v>-161241.97957288401</v>
      </c>
    </row>
    <row r="131" spans="1:7" s="43" customFormat="1" ht="11.5" outlineLevel="1" x14ac:dyDescent="0.25">
      <c r="A131" s="17"/>
      <c r="B131" s="1129"/>
      <c r="C131" s="1129"/>
      <c r="D131" s="1129"/>
      <c r="E131" s="1129"/>
      <c r="F131" s="74"/>
      <c r="G131" s="74"/>
    </row>
    <row r="132" spans="1:7" ht="11.5" customHeight="1" x14ac:dyDescent="0.25">
      <c r="B132" s="298" t="s">
        <v>906</v>
      </c>
      <c r="C132" s="298"/>
      <c r="D132" s="298"/>
      <c r="E132" s="298"/>
      <c r="F132" s="331"/>
      <c r="G132" s="331">
        <f>'11-13'!G16+'11-13'!G17*846</f>
        <v>419780818</v>
      </c>
    </row>
    <row r="133" spans="1:7" ht="11.5" x14ac:dyDescent="0.25">
      <c r="B133" s="298" t="s">
        <v>907</v>
      </c>
      <c r="C133" s="298"/>
      <c r="D133" s="298"/>
      <c r="E133" s="298"/>
      <c r="F133" s="757"/>
      <c r="G133" s="757">
        <f>G128*10^5/G132</f>
        <v>-3.8410992751194226</v>
      </c>
    </row>
    <row r="134" spans="1:7" ht="12" x14ac:dyDescent="0.25">
      <c r="B134" s="345"/>
      <c r="C134" s="76"/>
      <c r="D134" s="76"/>
      <c r="E134" s="76"/>
      <c r="F134" s="332"/>
      <c r="G134" s="332"/>
    </row>
    <row r="135" spans="1:7" ht="12" x14ac:dyDescent="0.25">
      <c r="B135" s="345"/>
      <c r="C135" s="76"/>
      <c r="D135" s="76"/>
      <c r="E135" s="76"/>
      <c r="F135" s="332"/>
      <c r="G135" s="332"/>
    </row>
    <row r="136" spans="1:7" ht="12" x14ac:dyDescent="0.25">
      <c r="B136" s="345"/>
      <c r="C136" s="76"/>
      <c r="D136" s="76"/>
      <c r="E136" s="76"/>
      <c r="F136" s="332"/>
      <c r="G136" s="332"/>
    </row>
    <row r="137" spans="1:7" ht="12" x14ac:dyDescent="0.25">
      <c r="B137" s="345"/>
      <c r="C137" s="76"/>
      <c r="D137" s="76"/>
      <c r="E137" s="76"/>
      <c r="F137" s="332"/>
      <c r="G137" s="332"/>
    </row>
    <row r="138" spans="1:7" ht="11.5" x14ac:dyDescent="0.25">
      <c r="B138" s="347"/>
      <c r="C138" s="54"/>
      <c r="D138" s="54"/>
      <c r="E138" s="54"/>
      <c r="F138" s="57"/>
      <c r="G138" s="57"/>
    </row>
    <row r="139" spans="1:7" ht="11.5" x14ac:dyDescent="0.25">
      <c r="B139" s="347"/>
      <c r="C139" s="54"/>
      <c r="D139" s="54"/>
      <c r="E139" s="54"/>
      <c r="F139" s="57"/>
      <c r="G139" s="57"/>
    </row>
    <row r="140" spans="1:7" ht="11.5" x14ac:dyDescent="0.25">
      <c r="B140" s="347"/>
      <c r="C140" s="54"/>
      <c r="D140" s="54"/>
      <c r="E140" s="54"/>
      <c r="F140" s="57"/>
      <c r="G140" s="57"/>
    </row>
    <row r="141" spans="1:7" ht="11.5" x14ac:dyDescent="0.25">
      <c r="B141" s="347"/>
      <c r="C141" s="54"/>
      <c r="D141" s="54"/>
      <c r="E141" s="54"/>
      <c r="F141" s="57"/>
      <c r="G141" s="57"/>
    </row>
    <row r="142" spans="1:7" ht="11.5" x14ac:dyDescent="0.25">
      <c r="B142" s="347"/>
      <c r="C142" s="54"/>
      <c r="D142" s="54"/>
      <c r="E142" s="54"/>
      <c r="F142" s="57"/>
      <c r="G142" s="57"/>
    </row>
    <row r="143" spans="1:7" ht="11.5" x14ac:dyDescent="0.25">
      <c r="B143" s="347"/>
      <c r="C143" s="54"/>
      <c r="D143" s="54"/>
      <c r="E143" s="54"/>
      <c r="F143" s="57"/>
      <c r="G143" s="57"/>
    </row>
    <row r="144" spans="1:7" ht="11.5" x14ac:dyDescent="0.25">
      <c r="B144" s="347"/>
      <c r="C144" s="54"/>
      <c r="D144" s="54"/>
      <c r="E144" s="54"/>
      <c r="F144" s="57"/>
      <c r="G144" s="57"/>
    </row>
    <row r="145" spans="2:6" ht="11.5" x14ac:dyDescent="0.25">
      <c r="B145" s="347"/>
      <c r="C145" s="54"/>
      <c r="D145" s="54"/>
      <c r="E145" s="54"/>
      <c r="F145" s="57"/>
    </row>
    <row r="146" spans="2:6" ht="11.5" x14ac:dyDescent="0.25">
      <c r="B146" s="301"/>
      <c r="C146" s="53"/>
      <c r="D146" s="53"/>
      <c r="E146" s="53"/>
      <c r="F146" s="77"/>
    </row>
    <row r="147" spans="2:6" ht="11.5" x14ac:dyDescent="0.25"/>
    <row r="148" spans="2:6" ht="11.5" x14ac:dyDescent="0.25"/>
    <row r="149" spans="2:6" ht="11.5" x14ac:dyDescent="0.25"/>
    <row r="150" spans="2:6" ht="11.5" x14ac:dyDescent="0.25"/>
    <row r="151" spans="2:6" ht="11.5" x14ac:dyDescent="0.25"/>
    <row r="152" spans="2:6" ht="11.5" x14ac:dyDescent="0.25"/>
    <row r="153" spans="2:6" ht="11.5" x14ac:dyDescent="0.25"/>
    <row r="154" spans="2:6" ht="11.5" x14ac:dyDescent="0.25"/>
    <row r="155" spans="2:6" ht="11.5" x14ac:dyDescent="0.25"/>
    <row r="156" spans="2:6" ht="11.5" x14ac:dyDescent="0.25"/>
    <row r="157" spans="2:6" ht="11.5" x14ac:dyDescent="0.25"/>
    <row r="158" spans="2:6" ht="11.5" x14ac:dyDescent="0.25"/>
    <row r="159" spans="2:6" ht="11.5" x14ac:dyDescent="0.25"/>
    <row r="160" spans="2:6" ht="11.5" x14ac:dyDescent="0.25"/>
    <row r="161" ht="11.5" x14ac:dyDescent="0.25"/>
    <row r="162" ht="11.5" x14ac:dyDescent="0.25"/>
    <row r="163" ht="11.5" x14ac:dyDescent="0.25"/>
    <row r="164" ht="11.5" x14ac:dyDescent="0.25"/>
    <row r="165" ht="11.5" x14ac:dyDescent="0.25"/>
  </sheetData>
  <mergeCells count="14">
    <mergeCell ref="B128:E128"/>
    <mergeCell ref="B129:E129"/>
    <mergeCell ref="B130:E130"/>
    <mergeCell ref="B131:E131"/>
    <mergeCell ref="B4:G4"/>
    <mergeCell ref="F8:G8"/>
    <mergeCell ref="B57:G57"/>
    <mergeCell ref="B121:G121"/>
    <mergeCell ref="B126:G126"/>
    <mergeCell ref="B24:C24"/>
    <mergeCell ref="B69:C69"/>
    <mergeCell ref="B83:C83"/>
    <mergeCell ref="B88:C88"/>
    <mergeCell ref="B16:D16"/>
  </mergeCells>
  <pageMargins left="0.23622047244094491" right="0.23622047244094491" top="0.74803149606299213" bottom="0.74803149606299213" header="0.31496062992125984" footer="0.31496062992125984"/>
  <pageSetup paperSize="9" scale="80" orientation="portrait" r:id="rId1"/>
  <rowBreaks count="1" manualBreakCount="1">
    <brk id="72" min="1" max="6"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097B5-301A-4BFB-86DC-291F6000695E}">
  <sheetPr>
    <tabColor rgb="FF7030A0"/>
  </sheetPr>
  <dimension ref="A1:N138"/>
  <sheetViews>
    <sheetView showGridLines="0" view="pageBreakPreview" topLeftCell="A30" zoomScale="90" zoomScaleNormal="100" zoomScaleSheetLayoutView="90" workbookViewId="0">
      <selection activeCell="F39" sqref="F39"/>
    </sheetView>
  </sheetViews>
  <sheetFormatPr defaultColWidth="9.1796875" defaultRowHeight="11.5" x14ac:dyDescent="0.25"/>
  <cols>
    <col min="1" max="1" width="5.1796875" style="17" customWidth="1"/>
    <col min="2" max="2" width="3.1796875" style="17" customWidth="1"/>
    <col min="3" max="3" width="5.1796875" style="17" customWidth="1"/>
    <col min="4" max="4" width="8.1796875" style="17" customWidth="1"/>
    <col min="5" max="5" width="24.1796875" style="17" customWidth="1"/>
    <col min="6" max="7" width="19.81640625" style="17" customWidth="1"/>
    <col min="8" max="9" width="21.1796875" style="17" customWidth="1"/>
    <col min="10" max="10" width="16.81640625" style="17" customWidth="1"/>
    <col min="11" max="11" width="16" style="17" bestFit="1" customWidth="1"/>
    <col min="12" max="12" width="12.81640625" style="17" bestFit="1" customWidth="1"/>
    <col min="13" max="13" width="16" style="17" bestFit="1" customWidth="1"/>
    <col min="14" max="14" width="20.453125" style="17" bestFit="1" customWidth="1"/>
    <col min="15" max="16" width="11.1796875" style="17" bestFit="1" customWidth="1"/>
    <col min="17" max="16384" width="9.1796875" style="17"/>
  </cols>
  <sheetData>
    <row r="1" spans="1:13" x14ac:dyDescent="0.25">
      <c r="B1" s="33" t="str">
        <f>'26-27'!B1</f>
        <v>Paladion Networks Private Limited</v>
      </c>
    </row>
    <row r="2" spans="1:13" x14ac:dyDescent="0.25">
      <c r="B2" s="285" t="str">
        <f>'26-27'!B2</f>
        <v>Summary of Material accounting policies and other explanatory information</v>
      </c>
      <c r="C2" s="79"/>
      <c r="D2" s="79"/>
      <c r="E2" s="79"/>
      <c r="F2" s="79"/>
      <c r="G2" s="79"/>
      <c r="H2" s="79"/>
      <c r="I2" s="79"/>
    </row>
    <row r="3" spans="1:13" ht="12" x14ac:dyDescent="0.3">
      <c r="B3" s="283" t="str">
        <f>'26-27'!B3</f>
        <v>(Amounts are stated in ₹ lakhs, except share and per share data, unless ottherwise stated)</v>
      </c>
      <c r="C3" s="79"/>
      <c r="D3" s="79"/>
      <c r="E3" s="79"/>
      <c r="F3" s="79"/>
      <c r="G3" s="79"/>
      <c r="H3" s="79"/>
      <c r="I3" s="79"/>
    </row>
    <row r="4" spans="1:13" x14ac:dyDescent="0.25">
      <c r="A4" s="134"/>
      <c r="B4" s="134"/>
      <c r="C4" s="134"/>
      <c r="D4" s="134"/>
      <c r="E4" s="134"/>
      <c r="F4" s="134"/>
      <c r="G4" s="134"/>
      <c r="H4" s="134"/>
      <c r="I4" s="134"/>
    </row>
    <row r="5" spans="1:13" x14ac:dyDescent="0.25">
      <c r="A5" s="17">
        <f>'26-27'!A123+1</f>
        <v>28</v>
      </c>
      <c r="B5" s="53" t="str">
        <f>"Note "&amp;A5&amp;": Employee benefit obligations"</f>
        <v>Note 28: Employee benefit obligations</v>
      </c>
      <c r="C5" s="60"/>
      <c r="D5" s="60"/>
      <c r="E5" s="60"/>
      <c r="F5" s="1159"/>
      <c r="G5" s="1159"/>
      <c r="H5" s="1159"/>
      <c r="I5" s="1159"/>
    </row>
    <row r="6" spans="1:13" x14ac:dyDescent="0.25">
      <c r="A6" s="79"/>
      <c r="B6" s="60"/>
      <c r="C6" s="60"/>
      <c r="D6" s="60"/>
      <c r="E6" s="60"/>
      <c r="F6" s="119"/>
      <c r="G6" s="119"/>
      <c r="H6" s="119"/>
      <c r="I6" s="119"/>
      <c r="K6" s="17">
        <v>100000</v>
      </c>
    </row>
    <row r="7" spans="1:13" ht="13.4" customHeight="1" x14ac:dyDescent="0.25">
      <c r="B7" s="34" t="s">
        <v>908</v>
      </c>
      <c r="C7" s="34" t="s">
        <v>909</v>
      </c>
      <c r="D7" s="353"/>
      <c r="E7" s="353"/>
      <c r="F7" s="353"/>
      <c r="G7" s="353"/>
      <c r="H7" s="353"/>
      <c r="I7" s="353"/>
    </row>
    <row r="8" spans="1:13" ht="25.4" customHeight="1" x14ac:dyDescent="0.25">
      <c r="B8" s="1118" t="s">
        <v>910</v>
      </c>
      <c r="C8" s="1121"/>
      <c r="D8" s="1121"/>
      <c r="E8" s="1121"/>
      <c r="F8" s="1121"/>
      <c r="G8" s="1121"/>
      <c r="H8" s="1121"/>
      <c r="I8" s="1121"/>
    </row>
    <row r="9" spans="1:13" x14ac:dyDescent="0.25">
      <c r="B9" s="1160" t="s">
        <v>911</v>
      </c>
      <c r="C9" s="1160"/>
      <c r="D9" s="1160"/>
      <c r="E9" s="1160"/>
      <c r="F9" s="1160"/>
      <c r="G9" s="1160"/>
      <c r="H9" s="1160"/>
      <c r="I9" s="1160"/>
    </row>
    <row r="10" spans="1:13" x14ac:dyDescent="0.25">
      <c r="B10" s="349"/>
      <c r="C10" s="349"/>
      <c r="D10" s="349"/>
      <c r="E10" s="349"/>
      <c r="F10" s="349"/>
      <c r="G10" s="349"/>
      <c r="H10" s="349"/>
      <c r="I10" s="349"/>
    </row>
    <row r="11" spans="1:13" x14ac:dyDescent="0.25">
      <c r="A11" s="60"/>
      <c r="C11" s="60"/>
      <c r="D11" s="60"/>
      <c r="E11" s="60"/>
      <c r="G11" s="350"/>
      <c r="H11" s="356" t="s">
        <v>912</v>
      </c>
      <c r="I11" s="356" t="s">
        <v>913</v>
      </c>
    </row>
    <row r="12" spans="1:13" x14ac:dyDescent="0.25">
      <c r="A12" s="79"/>
      <c r="B12" s="54" t="s">
        <v>914</v>
      </c>
      <c r="C12" s="60"/>
      <c r="D12" s="60"/>
      <c r="E12" s="60"/>
      <c r="G12" s="57"/>
      <c r="H12" s="351">
        <f>'17-25'!$D$117</f>
        <v>428.30493999999999</v>
      </c>
      <c r="I12" s="351">
        <f>'17-25'!$E$117</f>
        <v>574.01</v>
      </c>
      <c r="L12" s="1148"/>
      <c r="M12" s="1148"/>
    </row>
    <row r="13" spans="1:13" x14ac:dyDescent="0.25">
      <c r="A13" s="79"/>
      <c r="B13" s="54"/>
      <c r="C13" s="60"/>
      <c r="D13" s="60"/>
      <c r="E13" s="60"/>
      <c r="F13" s="352"/>
      <c r="G13" s="352"/>
      <c r="H13" s="352"/>
      <c r="I13" s="352"/>
    </row>
    <row r="14" spans="1:13" ht="13.4" customHeight="1" x14ac:dyDescent="0.25">
      <c r="A14" s="79"/>
      <c r="B14" s="34" t="s">
        <v>613</v>
      </c>
      <c r="C14" s="1106" t="s">
        <v>915</v>
      </c>
      <c r="D14" s="1106"/>
      <c r="E14" s="1106"/>
      <c r="F14" s="1106"/>
      <c r="G14" s="1106"/>
      <c r="H14" s="1106"/>
      <c r="I14" s="353"/>
      <c r="J14" s="353"/>
    </row>
    <row r="15" spans="1:13" x14ac:dyDescent="0.25">
      <c r="A15" s="79"/>
      <c r="B15" s="34" t="s">
        <v>916</v>
      </c>
      <c r="C15" s="34" t="s">
        <v>917</v>
      </c>
      <c r="D15" s="353"/>
      <c r="E15" s="353"/>
      <c r="F15" s="353"/>
      <c r="G15" s="353"/>
      <c r="H15" s="353"/>
      <c r="I15" s="353"/>
      <c r="J15" s="353"/>
    </row>
    <row r="16" spans="1:13" ht="30" customHeight="1" x14ac:dyDescent="0.25">
      <c r="A16" s="79"/>
      <c r="B16" s="1118" t="s">
        <v>918</v>
      </c>
      <c r="C16" s="1121"/>
      <c r="D16" s="1121"/>
      <c r="E16" s="1121"/>
      <c r="F16" s="1121"/>
      <c r="G16" s="1121"/>
      <c r="H16" s="1121"/>
      <c r="I16" s="1121"/>
    </row>
    <row r="17" spans="1:14" ht="39.75" customHeight="1" x14ac:dyDescent="0.25">
      <c r="A17" s="79"/>
      <c r="B17" s="1121" t="s">
        <v>919</v>
      </c>
      <c r="C17" s="1121"/>
      <c r="D17" s="1121"/>
      <c r="E17" s="1121"/>
      <c r="F17" s="1121"/>
      <c r="G17" s="1121"/>
      <c r="H17" s="1121"/>
      <c r="I17" s="1121"/>
    </row>
    <row r="18" spans="1:14" ht="25.4" customHeight="1" x14ac:dyDescent="0.25">
      <c r="A18" s="79"/>
      <c r="B18" s="1121" t="s">
        <v>920</v>
      </c>
      <c r="C18" s="1121"/>
      <c r="D18" s="1121"/>
      <c r="E18" s="1121"/>
      <c r="F18" s="1121"/>
      <c r="G18" s="1121"/>
      <c r="H18" s="1121"/>
      <c r="I18" s="1121"/>
    </row>
    <row r="19" spans="1:14" x14ac:dyDescent="0.25">
      <c r="A19" s="79"/>
      <c r="B19" s="193"/>
      <c r="C19" s="193"/>
      <c r="D19" s="193"/>
      <c r="E19" s="193"/>
      <c r="F19" s="193"/>
      <c r="G19" s="193"/>
      <c r="H19" s="193"/>
      <c r="I19" s="80"/>
    </row>
    <row r="20" spans="1:14" hidden="1" x14ac:dyDescent="0.25">
      <c r="A20" s="79"/>
      <c r="B20" s="193"/>
      <c r="C20" s="193"/>
      <c r="D20" s="193"/>
      <c r="E20" s="193"/>
      <c r="F20" s="193"/>
      <c r="G20" s="193"/>
      <c r="H20" s="193"/>
      <c r="I20" s="80"/>
    </row>
    <row r="21" spans="1:14" x14ac:dyDescent="0.25">
      <c r="A21" s="60"/>
      <c r="B21" s="60"/>
      <c r="C21" s="60"/>
      <c r="D21" s="60"/>
      <c r="E21" s="60"/>
      <c r="G21" s="354"/>
      <c r="H21" s="1157" t="s">
        <v>921</v>
      </c>
      <c r="I21" s="1157"/>
    </row>
    <row r="22" spans="1:14" ht="15" customHeight="1" x14ac:dyDescent="0.25">
      <c r="A22" s="60"/>
      <c r="B22" s="60"/>
      <c r="C22" s="60"/>
      <c r="D22" s="60"/>
      <c r="E22" s="60"/>
      <c r="G22" s="355"/>
      <c r="H22" s="356" t="str">
        <f>H11</f>
        <v>31 March 2025</v>
      </c>
      <c r="I22" s="356" t="str">
        <f>I11</f>
        <v>31 March 2024</v>
      </c>
    </row>
    <row r="23" spans="1:14" x14ac:dyDescent="0.25">
      <c r="A23" s="79"/>
      <c r="B23" s="61" t="s">
        <v>922</v>
      </c>
      <c r="C23" s="60"/>
      <c r="D23" s="60"/>
      <c r="E23" s="60"/>
      <c r="F23" s="77"/>
      <c r="G23" s="77"/>
      <c r="H23" s="57"/>
      <c r="I23" s="57"/>
    </row>
    <row r="24" spans="1:14" x14ac:dyDescent="0.25">
      <c r="A24" s="79"/>
      <c r="B24" s="82" t="s">
        <v>923</v>
      </c>
      <c r="C24" s="60"/>
      <c r="D24" s="60"/>
      <c r="E24" s="60"/>
      <c r="I24" s="17">
        <v>727.07732999999996</v>
      </c>
    </row>
    <row r="25" spans="1:14" x14ac:dyDescent="0.25">
      <c r="A25" s="79"/>
      <c r="B25" s="82" t="s">
        <v>924</v>
      </c>
      <c r="C25" s="60"/>
      <c r="D25" s="60"/>
      <c r="E25" s="60"/>
      <c r="I25" s="17">
        <v>50.55283</v>
      </c>
    </row>
    <row r="26" spans="1:14" x14ac:dyDescent="0.25">
      <c r="A26" s="79"/>
      <c r="B26" s="82" t="s">
        <v>925</v>
      </c>
      <c r="C26" s="60"/>
      <c r="D26" s="60"/>
      <c r="E26" s="60"/>
      <c r="I26" s="17">
        <v>140.49521999999999</v>
      </c>
    </row>
    <row r="27" spans="1:14" hidden="1" x14ac:dyDescent="0.25">
      <c r="A27" s="79"/>
      <c r="B27" s="82" t="s">
        <v>926</v>
      </c>
      <c r="C27" s="60"/>
      <c r="D27" s="60"/>
      <c r="E27" s="60"/>
      <c r="H27" s="78"/>
      <c r="I27" s="78" t="s">
        <v>174</v>
      </c>
      <c r="N27" s="17">
        <v>-6147529</v>
      </c>
    </row>
    <row r="28" spans="1:14" x14ac:dyDescent="0.25">
      <c r="A28" s="79"/>
      <c r="B28" s="82" t="s">
        <v>927</v>
      </c>
      <c r="C28" s="60"/>
      <c r="D28" s="60"/>
      <c r="E28" s="60"/>
      <c r="I28" s="17">
        <v>-49.909329999999997</v>
      </c>
      <c r="N28" s="17">
        <f>-17183</f>
        <v>-17183</v>
      </c>
    </row>
    <row r="29" spans="1:14" x14ac:dyDescent="0.25">
      <c r="A29" s="79"/>
      <c r="B29" s="82" t="s">
        <v>928</v>
      </c>
      <c r="C29" s="60"/>
      <c r="D29" s="60"/>
      <c r="E29" s="60"/>
      <c r="I29" s="17">
        <v>-49.89188</v>
      </c>
      <c r="N29" s="17">
        <f>1175524</f>
        <v>1175524</v>
      </c>
    </row>
    <row r="30" spans="1:14" ht="12" thickBot="1" x14ac:dyDescent="0.3">
      <c r="A30" s="79"/>
      <c r="B30" s="61" t="s">
        <v>929</v>
      </c>
      <c r="C30" s="79"/>
      <c r="D30" s="79"/>
      <c r="E30" s="79"/>
      <c r="G30" s="182"/>
      <c r="H30" s="180">
        <f>SUM(F24:H29)</f>
        <v>0</v>
      </c>
      <c r="I30" s="180">
        <f>SUM(I24:I29)</f>
        <v>818.32416999999998</v>
      </c>
      <c r="N30" s="17">
        <f>SUM(N27:N29)</f>
        <v>-4989188</v>
      </c>
    </row>
    <row r="31" spans="1:14" ht="12" thickTop="1" x14ac:dyDescent="0.25">
      <c r="A31" s="79"/>
      <c r="C31" s="60"/>
      <c r="D31" s="60"/>
      <c r="E31" s="60"/>
      <c r="F31" s="119"/>
      <c r="G31" s="119"/>
      <c r="H31" s="119"/>
      <c r="I31" s="119"/>
    </row>
    <row r="32" spans="1:14" x14ac:dyDescent="0.25">
      <c r="B32" s="61" t="s">
        <v>930</v>
      </c>
      <c r="C32" s="60"/>
      <c r="F32" s="1158"/>
      <c r="G32" s="1158"/>
      <c r="H32" s="1158"/>
      <c r="I32" s="1158"/>
    </row>
    <row r="33" spans="2:9" x14ac:dyDescent="0.25">
      <c r="B33" s="82" t="s">
        <v>931</v>
      </c>
      <c r="C33" s="60"/>
      <c r="H33" s="17">
        <f>H30</f>
        <v>0</v>
      </c>
      <c r="I33" s="17">
        <f>I30</f>
        <v>818.32416999999998</v>
      </c>
    </row>
    <row r="34" spans="2:9" x14ac:dyDescent="0.25">
      <c r="B34" s="82" t="s">
        <v>932</v>
      </c>
      <c r="C34" s="60"/>
      <c r="H34" s="565" t="s">
        <v>174</v>
      </c>
      <c r="I34" s="565" t="s">
        <v>174</v>
      </c>
    </row>
    <row r="35" spans="2:9" x14ac:dyDescent="0.25">
      <c r="B35" s="61" t="s">
        <v>933</v>
      </c>
      <c r="C35" s="79"/>
      <c r="D35" s="3"/>
      <c r="E35" s="3"/>
      <c r="G35" s="182"/>
      <c r="H35" s="557">
        <f>SUM(H33:H34)</f>
        <v>0</v>
      </c>
      <c r="I35" s="557">
        <f>SUM(I33:I34)</f>
        <v>818.32416999999998</v>
      </c>
    </row>
    <row r="36" spans="2:9" x14ac:dyDescent="0.25">
      <c r="B36" s="61" t="s">
        <v>934</v>
      </c>
      <c r="C36" s="79"/>
      <c r="D36" s="3"/>
      <c r="E36" s="3"/>
      <c r="F36" s="182"/>
      <c r="I36" s="17">
        <v>164</v>
      </c>
    </row>
    <row r="37" spans="2:9" ht="12" thickBot="1" x14ac:dyDescent="0.3">
      <c r="B37" s="61" t="s">
        <v>930</v>
      </c>
      <c r="C37" s="79"/>
      <c r="D37" s="3"/>
      <c r="E37" s="3"/>
      <c r="F37" s="182"/>
      <c r="H37" s="180">
        <f>H35+H36</f>
        <v>0</v>
      </c>
      <c r="I37" s="180">
        <f>I35+I36-0.5</f>
        <v>981.82416999999998</v>
      </c>
    </row>
    <row r="38" spans="2:9" ht="12" thickTop="1" x14ac:dyDescent="0.25">
      <c r="B38" s="61"/>
      <c r="C38" s="79"/>
      <c r="D38" s="3"/>
      <c r="E38" s="3"/>
      <c r="F38" s="182"/>
      <c r="G38" s="182"/>
      <c r="H38" s="182"/>
      <c r="I38" s="182"/>
    </row>
    <row r="39" spans="2:9" x14ac:dyDescent="0.25">
      <c r="B39" s="61" t="s">
        <v>935</v>
      </c>
      <c r="C39" s="79"/>
      <c r="D39" s="3"/>
      <c r="E39" s="3"/>
      <c r="F39" s="182"/>
      <c r="G39" s="182"/>
      <c r="H39" s="182"/>
      <c r="I39" s="182"/>
    </row>
    <row r="40" spans="2:9" x14ac:dyDescent="0.25">
      <c r="B40" s="61" t="s">
        <v>930</v>
      </c>
      <c r="C40" s="60"/>
      <c r="F40" s="1158"/>
      <c r="G40" s="1158"/>
      <c r="H40" s="1158"/>
      <c r="I40" s="1158"/>
    </row>
    <row r="41" spans="2:9" x14ac:dyDescent="0.25">
      <c r="B41" s="82" t="s">
        <v>936</v>
      </c>
      <c r="C41" s="60"/>
      <c r="H41" s="17">
        <f>'11-13'!G144</f>
        <v>0</v>
      </c>
      <c r="I41" s="17">
        <v>661.32785999999999</v>
      </c>
    </row>
    <row r="42" spans="2:9" x14ac:dyDescent="0.25">
      <c r="B42" s="82" t="s">
        <v>510</v>
      </c>
      <c r="C42" s="60"/>
      <c r="H42" s="17">
        <f>'11-13'!G150</f>
        <v>1012.0736381042514</v>
      </c>
      <c r="I42" s="17">
        <v>320.76121548736012</v>
      </c>
    </row>
    <row r="43" spans="2:9" ht="12" thickBot="1" x14ac:dyDescent="0.3">
      <c r="B43" s="61" t="s">
        <v>937</v>
      </c>
      <c r="C43" s="79"/>
      <c r="D43" s="3"/>
      <c r="E43" s="3"/>
      <c r="H43" s="180">
        <f>H41+H42</f>
        <v>1012.0736381042514</v>
      </c>
      <c r="I43" s="180">
        <f>I41+I42</f>
        <v>982.08907548736011</v>
      </c>
    </row>
    <row r="44" spans="2:9" ht="12" thickTop="1" x14ac:dyDescent="0.25">
      <c r="B44" s="82"/>
      <c r="C44" s="60"/>
      <c r="F44" s="119"/>
      <c r="G44" s="119"/>
      <c r="H44" s="119"/>
      <c r="I44" s="119"/>
    </row>
    <row r="45" spans="2:9" hidden="1" x14ac:dyDescent="0.25">
      <c r="B45" s="39" t="s">
        <v>0</v>
      </c>
    </row>
    <row r="46" spans="2:9" hidden="1" x14ac:dyDescent="0.25">
      <c r="B46" s="39" t="s">
        <v>938</v>
      </c>
      <c r="C46" s="79"/>
      <c r="D46" s="79"/>
      <c r="E46" s="79"/>
      <c r="F46" s="79"/>
      <c r="G46" s="79"/>
      <c r="H46" s="79"/>
      <c r="I46" s="79"/>
    </row>
    <row r="47" spans="2:9" hidden="1" x14ac:dyDescent="0.25">
      <c r="B47" s="39"/>
      <c r="C47" s="79"/>
      <c r="D47" s="79"/>
      <c r="E47" s="79"/>
      <c r="F47" s="79"/>
      <c r="G47" s="79"/>
      <c r="H47" s="79"/>
      <c r="I47" s="79"/>
    </row>
    <row r="48" spans="2:9" x14ac:dyDescent="0.25">
      <c r="B48" s="61" t="s">
        <v>939</v>
      </c>
      <c r="C48" s="60"/>
    </row>
    <row r="49" spans="2:14" x14ac:dyDescent="0.25">
      <c r="B49" s="82" t="s">
        <v>925</v>
      </c>
      <c r="C49" s="60"/>
      <c r="H49" s="56">
        <f>H26</f>
        <v>0</v>
      </c>
      <c r="I49" s="56">
        <f>I26</f>
        <v>140.49521999999999</v>
      </c>
    </row>
    <row r="50" spans="2:14" x14ac:dyDescent="0.25">
      <c r="B50" s="82" t="s">
        <v>924</v>
      </c>
      <c r="C50" s="60"/>
      <c r="H50" s="56">
        <f>H25</f>
        <v>0</v>
      </c>
      <c r="I50" s="56">
        <f>I25</f>
        <v>50.55283</v>
      </c>
    </row>
    <row r="51" spans="2:14" hidden="1" x14ac:dyDescent="0.25">
      <c r="B51" s="82" t="s">
        <v>926</v>
      </c>
      <c r="C51" s="60"/>
      <c r="H51" s="156">
        <f>H27</f>
        <v>0</v>
      </c>
      <c r="I51" s="357" t="str">
        <f>I27</f>
        <v>-</v>
      </c>
    </row>
    <row r="52" spans="2:14" x14ac:dyDescent="0.25">
      <c r="B52" s="82" t="s">
        <v>940</v>
      </c>
      <c r="C52" s="79"/>
      <c r="D52" s="3"/>
      <c r="E52" s="3"/>
      <c r="G52" s="182"/>
      <c r="H52" s="557">
        <f>SUM(H49:H51)</f>
        <v>0</v>
      </c>
      <c r="I52" s="558">
        <f>SUM(I49:I51)</f>
        <v>191.04804999999999</v>
      </c>
    </row>
    <row r="53" spans="2:14" x14ac:dyDescent="0.25">
      <c r="B53" s="82" t="s">
        <v>941</v>
      </c>
      <c r="C53" s="79"/>
      <c r="D53" s="3"/>
      <c r="E53" s="3"/>
      <c r="F53" s="182"/>
      <c r="I53" s="17">
        <v>20</v>
      </c>
    </row>
    <row r="54" spans="2:14" ht="12" thickBot="1" x14ac:dyDescent="0.3">
      <c r="B54" s="61" t="s">
        <v>942</v>
      </c>
      <c r="C54" s="79"/>
      <c r="D54" s="3"/>
      <c r="E54" s="3"/>
      <c r="F54" s="182"/>
      <c r="H54" s="180">
        <f>H52+H53</f>
        <v>0</v>
      </c>
      <c r="I54" s="180">
        <f>I52+I53</f>
        <v>211.04804999999999</v>
      </c>
    </row>
    <row r="55" spans="2:14" ht="12" thickTop="1" x14ac:dyDescent="0.25">
      <c r="B55" s="61"/>
      <c r="C55" s="79"/>
      <c r="D55" s="3"/>
      <c r="E55" s="3"/>
      <c r="F55" s="119"/>
      <c r="G55" s="119"/>
      <c r="H55" s="119"/>
      <c r="I55" s="119"/>
    </row>
    <row r="56" spans="2:14" x14ac:dyDescent="0.25">
      <c r="B56" s="61" t="s">
        <v>943</v>
      </c>
      <c r="C56" s="60"/>
      <c r="G56" s="119"/>
    </row>
    <row r="57" spans="2:14" x14ac:dyDescent="0.25">
      <c r="B57" s="82" t="s">
        <v>944</v>
      </c>
      <c r="C57" s="60"/>
      <c r="H57" s="17">
        <f>I59</f>
        <v>152.68698000000001</v>
      </c>
      <c r="I57" s="17">
        <v>202.57886000000002</v>
      </c>
    </row>
    <row r="58" spans="2:14" x14ac:dyDescent="0.25">
      <c r="B58" s="82" t="s">
        <v>945</v>
      </c>
      <c r="C58" s="60"/>
      <c r="H58" s="17">
        <f>-PL!D37</f>
        <v>-115.36426</v>
      </c>
      <c r="I58" s="17">
        <v>-49.89188</v>
      </c>
    </row>
    <row r="59" spans="2:14" ht="12" thickBot="1" x14ac:dyDescent="0.3">
      <c r="B59" s="61" t="s">
        <v>946</v>
      </c>
      <c r="C59" s="60"/>
      <c r="H59" s="559">
        <f>SUM(H57:H58)</f>
        <v>37.322720000000004</v>
      </c>
      <c r="I59" s="559">
        <f>SUM(I57:I58)</f>
        <v>152.68698000000001</v>
      </c>
    </row>
    <row r="60" spans="2:14" ht="12" thickTop="1" x14ac:dyDescent="0.25">
      <c r="B60" s="82"/>
      <c r="C60" s="60"/>
      <c r="F60" s="168"/>
      <c r="G60" s="168"/>
      <c r="H60" s="168"/>
      <c r="I60" s="168"/>
    </row>
    <row r="61" spans="2:14" s="43" customFormat="1" x14ac:dyDescent="0.25">
      <c r="B61" s="358" t="s">
        <v>947</v>
      </c>
      <c r="C61" s="359"/>
      <c r="D61" s="360"/>
      <c r="E61" s="360"/>
      <c r="F61" s="361"/>
      <c r="G61" s="361"/>
      <c r="H61" s="361"/>
      <c r="I61" s="361"/>
    </row>
    <row r="62" spans="2:14" s="43" customFormat="1" x14ac:dyDescent="0.25">
      <c r="B62" s="362" t="s">
        <v>948</v>
      </c>
      <c r="C62" s="363"/>
      <c r="D62" s="361"/>
      <c r="E62" s="361"/>
      <c r="F62" s="361"/>
      <c r="G62" s="361"/>
      <c r="H62" s="17"/>
      <c r="I62" s="17"/>
    </row>
    <row r="63" spans="2:14" s="43" customFormat="1" x14ac:dyDescent="0.25">
      <c r="B63" s="362" t="s">
        <v>949</v>
      </c>
      <c r="C63" s="363"/>
      <c r="D63" s="361"/>
      <c r="E63" s="361"/>
      <c r="F63" s="361"/>
      <c r="G63" s="361"/>
      <c r="H63" s="17"/>
      <c r="I63" s="17">
        <v>-0.17183000000000001</v>
      </c>
      <c r="N63" s="43">
        <v>-6147529</v>
      </c>
    </row>
    <row r="64" spans="2:14" s="43" customFormat="1" x14ac:dyDescent="0.25">
      <c r="B64" s="362" t="s">
        <v>950</v>
      </c>
      <c r="C64" s="363"/>
      <c r="D64" s="361"/>
      <c r="E64" s="361"/>
      <c r="F64" s="361"/>
      <c r="G64" s="361"/>
      <c r="H64" s="17"/>
      <c r="I64" s="17">
        <v>11.755240000000001</v>
      </c>
      <c r="N64" s="43">
        <v>-17183</v>
      </c>
    </row>
    <row r="65" spans="1:14" s="43" customFormat="1" x14ac:dyDescent="0.25">
      <c r="B65" s="362" t="s">
        <v>951</v>
      </c>
      <c r="C65" s="363"/>
      <c r="D65" s="361"/>
      <c r="E65" s="361"/>
      <c r="F65" s="361"/>
      <c r="G65" s="361"/>
      <c r="H65" s="17"/>
      <c r="I65" s="17">
        <v>-61.475290000000001</v>
      </c>
      <c r="N65" s="43">
        <v>1175524</v>
      </c>
    </row>
    <row r="66" spans="1:14" s="43" customFormat="1" ht="12" thickBot="1" x14ac:dyDescent="0.3">
      <c r="B66" s="364" t="s">
        <v>952</v>
      </c>
      <c r="C66" s="361"/>
      <c r="D66" s="361"/>
      <c r="E66" s="361"/>
      <c r="F66" s="361"/>
      <c r="G66" s="361"/>
      <c r="H66" s="560">
        <f>SUM(H63:H65)</f>
        <v>0</v>
      </c>
      <c r="I66" s="560">
        <f>SUM(I63:I65)</f>
        <v>-49.89188</v>
      </c>
    </row>
    <row r="67" spans="1:14" s="43" customFormat="1" ht="12" thickTop="1" x14ac:dyDescent="0.25">
      <c r="A67" s="108"/>
      <c r="B67" s="61" t="str">
        <f>B1</f>
        <v>Paladion Networks Private Limited</v>
      </c>
      <c r="C67" s="64"/>
      <c r="D67" s="64"/>
      <c r="E67" s="64"/>
      <c r="F67" s="365"/>
      <c r="G67" s="64"/>
      <c r="H67" s="365"/>
      <c r="I67" s="365"/>
    </row>
    <row r="68" spans="1:14" s="43" customFormat="1" x14ac:dyDescent="0.25">
      <c r="A68" s="108"/>
      <c r="B68" s="61" t="str">
        <f>B2</f>
        <v>Summary of Material accounting policies and other explanatory information</v>
      </c>
      <c r="C68" s="64"/>
      <c r="D68" s="64"/>
      <c r="E68" s="64"/>
      <c r="F68" s="365"/>
      <c r="G68" s="64"/>
      <c r="H68" s="365"/>
      <c r="I68" s="365"/>
    </row>
    <row r="69" spans="1:14" s="43" customFormat="1" ht="12" x14ac:dyDescent="0.25">
      <c r="A69" s="108"/>
      <c r="B69" s="382" t="str">
        <f>B3</f>
        <v>(Amounts are stated in ₹ lakhs, except share and per share data, unless ottherwise stated)</v>
      </c>
      <c r="C69" s="64"/>
      <c r="D69" s="64"/>
      <c r="E69" s="64"/>
      <c r="F69" s="365"/>
      <c r="G69" s="64"/>
      <c r="H69" s="365"/>
      <c r="I69" s="365"/>
    </row>
    <row r="70" spans="1:14" s="43" customFormat="1" ht="15" customHeight="1" x14ac:dyDescent="0.25">
      <c r="A70" s="108"/>
      <c r="B70" s="64"/>
      <c r="C70" s="64"/>
      <c r="D70" s="64"/>
      <c r="E70" s="64"/>
      <c r="F70" s="365"/>
      <c r="G70" s="64"/>
      <c r="H70" s="365"/>
      <c r="I70" s="365"/>
    </row>
    <row r="71" spans="1:14" s="43" customFormat="1" x14ac:dyDescent="0.25">
      <c r="A71" s="108">
        <f>A5</f>
        <v>28</v>
      </c>
      <c r="B71" s="359" t="str">
        <f>"Note "&amp;A5&amp;": Employee benefits (Contd.)"</f>
        <v>Note 28: Employee benefits (Contd.)</v>
      </c>
      <c r="C71" s="64"/>
      <c r="D71" s="64"/>
      <c r="E71" s="64"/>
      <c r="F71" s="365"/>
      <c r="G71" s="64"/>
      <c r="H71" s="365"/>
      <c r="I71" s="365"/>
    </row>
    <row r="72" spans="1:14" s="43" customFormat="1" x14ac:dyDescent="0.25">
      <c r="A72" s="108"/>
      <c r="B72" s="64"/>
      <c r="C72" s="64"/>
      <c r="D72" s="64"/>
      <c r="E72" s="64"/>
      <c r="F72" s="365"/>
      <c r="G72" s="64"/>
      <c r="H72" s="365"/>
      <c r="I72" s="365"/>
    </row>
    <row r="73" spans="1:14" x14ac:dyDescent="0.25">
      <c r="B73" s="61" t="s">
        <v>953</v>
      </c>
    </row>
    <row r="74" spans="1:14" x14ac:dyDescent="0.25">
      <c r="A74" s="60"/>
      <c r="B74" s="54"/>
      <c r="C74" s="60"/>
      <c r="D74" s="60"/>
      <c r="E74" s="60"/>
      <c r="H74" s="356" t="str">
        <f>H11</f>
        <v>31 March 2025</v>
      </c>
      <c r="I74" s="356" t="str">
        <f>I11</f>
        <v>31 March 2024</v>
      </c>
    </row>
    <row r="75" spans="1:14" ht="10.5" hidden="1" customHeight="1" x14ac:dyDescent="0.25">
      <c r="A75" s="60"/>
      <c r="B75" s="54"/>
      <c r="C75" s="60"/>
      <c r="D75" s="60"/>
      <c r="E75" s="60"/>
      <c r="G75" s="168"/>
      <c r="H75" s="114"/>
      <c r="I75" s="114"/>
    </row>
    <row r="76" spans="1:14" x14ac:dyDescent="0.25">
      <c r="A76" s="79"/>
      <c r="B76" s="54" t="s">
        <v>954</v>
      </c>
      <c r="C76" s="60"/>
      <c r="D76" s="60"/>
      <c r="E76" s="60"/>
      <c r="G76" s="366"/>
      <c r="H76" s="352"/>
      <c r="I76" s="352">
        <v>6.9000000000000006E-2</v>
      </c>
      <c r="L76" s="1148"/>
      <c r="M76" s="1148"/>
    </row>
    <row r="77" spans="1:14" x14ac:dyDescent="0.25">
      <c r="A77" s="79"/>
      <c r="B77" s="54" t="s">
        <v>955</v>
      </c>
      <c r="C77" s="60"/>
      <c r="D77" s="60"/>
      <c r="E77" s="60"/>
      <c r="G77" s="366"/>
      <c r="H77" s="352"/>
      <c r="I77" s="352">
        <v>0.09</v>
      </c>
    </row>
    <row r="78" spans="1:14" s="361" customFormat="1" x14ac:dyDescent="0.25">
      <c r="A78" s="359"/>
      <c r="B78" s="1156" t="s">
        <v>956</v>
      </c>
      <c r="C78" s="1156"/>
      <c r="D78" s="1156"/>
      <c r="E78" s="1156"/>
      <c r="G78" s="366"/>
      <c r="H78" s="742"/>
      <c r="I78" s="742"/>
    </row>
    <row r="79" spans="1:14" s="361" customFormat="1" x14ac:dyDescent="0.25">
      <c r="A79" s="359"/>
      <c r="B79" s="1156"/>
      <c r="C79" s="1156"/>
      <c r="D79" s="1156"/>
      <c r="E79" s="1156"/>
      <c r="G79" s="366"/>
      <c r="H79" s="742"/>
      <c r="I79" s="742"/>
    </row>
    <row r="80" spans="1:14" s="361" customFormat="1" x14ac:dyDescent="0.25">
      <c r="A80" s="359"/>
      <c r="B80" s="1156"/>
      <c r="C80" s="1156"/>
      <c r="D80" s="1156"/>
      <c r="E80" s="1156"/>
      <c r="G80" s="366"/>
      <c r="H80" s="742"/>
      <c r="I80" s="742"/>
    </row>
    <row r="81" spans="1:13" s="361" customFormat="1" x14ac:dyDescent="0.25">
      <c r="A81" s="359"/>
      <c r="B81" s="1156"/>
      <c r="C81" s="1156"/>
      <c r="D81" s="1156"/>
      <c r="E81" s="1156"/>
      <c r="G81" s="366"/>
      <c r="H81" s="742"/>
      <c r="I81" s="742"/>
    </row>
    <row r="82" spans="1:13" s="361" customFormat="1" x14ac:dyDescent="0.25">
      <c r="A82" s="359"/>
      <c r="B82" s="1156"/>
      <c r="C82" s="1156"/>
      <c r="D82" s="1156"/>
      <c r="E82" s="1156"/>
      <c r="G82" s="366"/>
      <c r="H82" s="742"/>
      <c r="I82" s="742"/>
    </row>
    <row r="83" spans="1:13" s="361" customFormat="1" x14ac:dyDescent="0.25">
      <c r="A83" s="359"/>
      <c r="B83" s="1156"/>
      <c r="C83" s="1156"/>
      <c r="D83" s="1156"/>
      <c r="E83" s="1156"/>
      <c r="G83" s="366"/>
      <c r="H83" s="742"/>
      <c r="I83" s="742"/>
    </row>
    <row r="84" spans="1:13" s="361" customFormat="1" x14ac:dyDescent="0.25">
      <c r="A84" s="359"/>
      <c r="B84" s="1156"/>
      <c r="C84" s="1156"/>
      <c r="D84" s="1156"/>
      <c r="E84" s="1156"/>
      <c r="G84" s="366"/>
      <c r="H84" s="742"/>
      <c r="I84" s="742"/>
    </row>
    <row r="85" spans="1:13" s="361" customFormat="1" ht="23" x14ac:dyDescent="0.25">
      <c r="A85" s="359"/>
      <c r="B85" s="50" t="s">
        <v>957</v>
      </c>
      <c r="C85" s="64"/>
      <c r="D85" s="64"/>
      <c r="E85" s="64"/>
      <c r="G85" s="367"/>
      <c r="H85" s="367"/>
      <c r="I85" s="367" t="s">
        <v>958</v>
      </c>
      <c r="K85" s="361">
        <v>930</v>
      </c>
      <c r="L85" s="361">
        <f>849</f>
        <v>849</v>
      </c>
      <c r="M85" s="740"/>
    </row>
    <row r="86" spans="1:13" s="361" customFormat="1" x14ac:dyDescent="0.25">
      <c r="A86" s="359"/>
      <c r="B86" s="50"/>
      <c r="C86" s="64"/>
      <c r="D86" s="64"/>
      <c r="E86" s="64"/>
      <c r="F86" s="368"/>
      <c r="G86" s="368"/>
      <c r="H86" s="368"/>
      <c r="I86" s="368"/>
    </row>
    <row r="87" spans="1:13" s="43" customFormat="1" x14ac:dyDescent="0.25">
      <c r="B87" s="358" t="s">
        <v>959</v>
      </c>
      <c r="C87" s="361"/>
      <c r="D87" s="361"/>
      <c r="E87" s="361"/>
      <c r="F87" s="361"/>
      <c r="G87" s="361"/>
      <c r="H87" s="361"/>
      <c r="I87" s="361"/>
    </row>
    <row r="88" spans="1:13" s="43" customFormat="1" ht="29.25" customHeight="1" x14ac:dyDescent="0.25">
      <c r="B88" s="1154" t="s">
        <v>66</v>
      </c>
      <c r="C88" s="1154"/>
      <c r="D88" s="1154"/>
      <c r="E88" s="1154"/>
      <c r="F88" s="1154"/>
      <c r="G88" s="1154"/>
      <c r="H88" s="1154"/>
      <c r="I88" s="1154"/>
      <c r="M88" s="741"/>
    </row>
    <row r="89" spans="1:13" s="43" customFormat="1" x14ac:dyDescent="0.25">
      <c r="A89" s="108"/>
      <c r="B89" s="64"/>
      <c r="C89" s="64"/>
      <c r="D89" s="64"/>
      <c r="E89" s="64"/>
      <c r="F89" s="1140"/>
      <c r="G89" s="1140"/>
      <c r="H89" s="1140"/>
      <c r="I89" s="1140"/>
    </row>
    <row r="90" spans="1:13" s="43" customFormat="1" x14ac:dyDescent="0.25">
      <c r="A90" s="108"/>
      <c r="B90" s="64"/>
      <c r="C90" s="64"/>
      <c r="D90" s="64"/>
      <c r="E90" s="64"/>
      <c r="F90" s="1155" t="str">
        <f>H22</f>
        <v>31 March 2025</v>
      </c>
      <c r="G90" s="1155"/>
      <c r="H90" s="1155" t="str">
        <f>I22</f>
        <v>31 March 2024</v>
      </c>
      <c r="I90" s="1155"/>
    </row>
    <row r="91" spans="1:13" s="167" customFormat="1" ht="15" customHeight="1" x14ac:dyDescent="0.35">
      <c r="B91" s="359"/>
      <c r="C91" s="359"/>
      <c r="D91" s="359"/>
      <c r="E91" s="359"/>
      <c r="F91" s="561" t="s">
        <v>960</v>
      </c>
      <c r="G91" s="562" t="s">
        <v>961</v>
      </c>
      <c r="H91" s="561" t="s">
        <v>960</v>
      </c>
      <c r="I91" s="562" t="s">
        <v>961</v>
      </c>
    </row>
    <row r="92" spans="1:13" s="43" customFormat="1" x14ac:dyDescent="0.25">
      <c r="A92" s="108"/>
      <c r="B92" s="358" t="s">
        <v>962</v>
      </c>
      <c r="C92" s="64"/>
      <c r="D92" s="64"/>
      <c r="E92" s="64"/>
      <c r="F92" s="369"/>
      <c r="G92" s="369"/>
      <c r="H92" s="42"/>
      <c r="I92" s="42"/>
    </row>
    <row r="93" spans="1:13" s="43" customFormat="1" x14ac:dyDescent="0.25">
      <c r="A93" s="108"/>
      <c r="B93" s="1150" t="s">
        <v>963</v>
      </c>
      <c r="C93" s="1150"/>
      <c r="D93" s="1150"/>
      <c r="E93" s="1150"/>
      <c r="F93" s="370"/>
      <c r="G93" s="370"/>
      <c r="H93" s="370">
        <v>-19.391480000000001</v>
      </c>
      <c r="I93" s="370">
        <v>20.43655</v>
      </c>
    </row>
    <row r="94" spans="1:13" s="43" customFormat="1" x14ac:dyDescent="0.25">
      <c r="A94" s="108"/>
      <c r="B94" s="358"/>
      <c r="C94" s="64"/>
      <c r="D94" s="64"/>
      <c r="E94" s="64"/>
      <c r="F94" s="371"/>
      <c r="G94" s="370"/>
      <c r="H94" s="372"/>
      <c r="I94" s="42"/>
      <c r="K94" s="43">
        <v>100000</v>
      </c>
    </row>
    <row r="95" spans="1:13" s="43" customFormat="1" x14ac:dyDescent="0.25">
      <c r="A95" s="108"/>
      <c r="B95" s="358" t="s">
        <v>964</v>
      </c>
      <c r="C95" s="64"/>
      <c r="D95" s="64"/>
      <c r="E95" s="64"/>
      <c r="F95" s="370"/>
      <c r="G95" s="370"/>
      <c r="H95" s="373"/>
      <c r="I95" s="374"/>
    </row>
    <row r="96" spans="1:13" s="43" customFormat="1" x14ac:dyDescent="0.25">
      <c r="A96" s="108"/>
      <c r="B96" s="1150" t="s">
        <v>963</v>
      </c>
      <c r="C96" s="1150"/>
      <c r="D96" s="1150"/>
      <c r="E96" s="1150"/>
      <c r="F96" s="370"/>
      <c r="G96" s="370"/>
      <c r="H96" s="370">
        <v>14.757070000000001</v>
      </c>
      <c r="I96" s="370">
        <v>-14.667529999999999</v>
      </c>
    </row>
    <row r="97" spans="1:9" s="43" customFormat="1" x14ac:dyDescent="0.25">
      <c r="A97" s="108"/>
      <c r="B97" s="362"/>
      <c r="C97" s="64"/>
      <c r="D97" s="64"/>
      <c r="E97" s="64"/>
      <c r="F97" s="370"/>
      <c r="G97" s="375"/>
      <c r="H97" s="365"/>
      <c r="I97" s="365"/>
    </row>
    <row r="98" spans="1:9" s="43" customFormat="1" hidden="1" x14ac:dyDescent="0.25">
      <c r="A98" s="108"/>
      <c r="B98" s="358" t="s">
        <v>965</v>
      </c>
      <c r="C98" s="64"/>
      <c r="D98" s="64"/>
      <c r="E98" s="64"/>
      <c r="F98" s="370"/>
      <c r="G98" s="370"/>
      <c r="H98" s="373"/>
      <c r="I98" s="374"/>
    </row>
    <row r="99" spans="1:9" s="43" customFormat="1" hidden="1" x14ac:dyDescent="0.25">
      <c r="A99" s="108"/>
      <c r="B99" s="1150" t="s">
        <v>963</v>
      </c>
      <c r="C99" s="1150"/>
      <c r="D99" s="1150"/>
      <c r="E99" s="1150"/>
      <c r="F99" s="370"/>
      <c r="G99" s="370"/>
      <c r="H99" s="370">
        <v>-2.8753299999999999</v>
      </c>
      <c r="I99" s="370">
        <v>2.9176099999999998</v>
      </c>
    </row>
    <row r="100" spans="1:9" s="43" customFormat="1" hidden="1" x14ac:dyDescent="0.25">
      <c r="A100" s="108"/>
      <c r="B100" s="64"/>
      <c r="C100" s="64"/>
      <c r="D100" s="64"/>
      <c r="E100" s="64"/>
      <c r="F100" s="134"/>
      <c r="G100" s="134"/>
      <c r="H100" s="372"/>
      <c r="I100" s="42"/>
    </row>
    <row r="101" spans="1:9" s="43" customFormat="1" ht="49.5" customHeight="1" x14ac:dyDescent="0.25">
      <c r="A101" s="108"/>
      <c r="B101" s="1151" t="s">
        <v>966</v>
      </c>
      <c r="C101" s="1151"/>
      <c r="D101" s="1151"/>
      <c r="E101" s="1151"/>
      <c r="F101" s="1151"/>
      <c r="G101" s="1151"/>
      <c r="H101" s="1151"/>
      <c r="I101" s="1151"/>
    </row>
    <row r="102" spans="1:9" s="43" customFormat="1" x14ac:dyDescent="0.25">
      <c r="B102" s="376" t="s">
        <v>967</v>
      </c>
      <c r="C102" s="377"/>
      <c r="D102" s="377"/>
      <c r="E102" s="377"/>
      <c r="F102" s="1140"/>
      <c r="G102" s="1140"/>
      <c r="H102" s="1140"/>
      <c r="I102" s="1140"/>
    </row>
    <row r="103" spans="1:9" s="43" customFormat="1" ht="15" customHeight="1" x14ac:dyDescent="0.25">
      <c r="B103" s="358"/>
      <c r="C103" s="378"/>
      <c r="D103" s="378"/>
      <c r="E103" s="378"/>
      <c r="F103" s="986"/>
      <c r="G103" s="986"/>
      <c r="H103" s="317"/>
      <c r="I103" s="379" t="str">
        <f>F90</f>
        <v>31 March 2025</v>
      </c>
    </row>
    <row r="104" spans="1:9" s="43" customFormat="1" x14ac:dyDescent="0.25">
      <c r="B104" s="1044" t="s">
        <v>968</v>
      </c>
      <c r="C104" s="378"/>
      <c r="D104" s="378"/>
      <c r="E104" s="378"/>
      <c r="F104" s="986"/>
      <c r="G104" s="986"/>
      <c r="H104" s="1152"/>
      <c r="I104" s="1152"/>
    </row>
    <row r="105" spans="1:9" s="43" customFormat="1" x14ac:dyDescent="0.25">
      <c r="B105" s="1044" t="s">
        <v>969</v>
      </c>
      <c r="C105" s="378"/>
      <c r="D105" s="378"/>
      <c r="E105" s="378"/>
      <c r="F105" s="986"/>
      <c r="G105" s="986"/>
      <c r="H105" s="380"/>
      <c r="I105" s="17"/>
    </row>
    <row r="106" spans="1:9" s="43" customFormat="1" x14ac:dyDescent="0.25">
      <c r="B106" s="1044" t="s">
        <v>970</v>
      </c>
      <c r="C106" s="378"/>
      <c r="D106" s="378"/>
      <c r="E106" s="378"/>
      <c r="F106" s="986"/>
      <c r="G106" s="986"/>
      <c r="H106" s="380"/>
      <c r="I106" s="17"/>
    </row>
    <row r="107" spans="1:9" s="43" customFormat="1" x14ac:dyDescent="0.25">
      <c r="B107" s="1044" t="s">
        <v>971</v>
      </c>
      <c r="C107" s="378"/>
      <c r="D107" s="378"/>
      <c r="E107" s="378"/>
      <c r="F107" s="986"/>
      <c r="G107" s="986"/>
      <c r="H107" s="380"/>
      <c r="I107" s="17"/>
    </row>
    <row r="108" spans="1:9" s="43" customFormat="1" x14ac:dyDescent="0.25">
      <c r="B108" s="1044" t="s">
        <v>972</v>
      </c>
      <c r="C108" s="378"/>
      <c r="D108" s="378"/>
      <c r="E108" s="378"/>
      <c r="F108" s="986"/>
      <c r="G108" s="986"/>
      <c r="H108" s="380"/>
      <c r="I108" s="17"/>
    </row>
    <row r="109" spans="1:9" s="43" customFormat="1" x14ac:dyDescent="0.25">
      <c r="B109" s="1044" t="s">
        <v>973</v>
      </c>
      <c r="C109" s="378"/>
      <c r="D109" s="378"/>
      <c r="E109" s="378"/>
      <c r="F109" s="986"/>
      <c r="G109" s="986"/>
      <c r="H109" s="380"/>
      <c r="I109" s="17"/>
    </row>
    <row r="110" spans="1:9" s="43" customFormat="1" x14ac:dyDescent="0.25">
      <c r="B110" s="1044" t="s">
        <v>974</v>
      </c>
      <c r="C110" s="378"/>
      <c r="D110" s="378"/>
      <c r="E110" s="378"/>
      <c r="F110" s="986"/>
      <c r="G110" s="986"/>
      <c r="H110" s="380"/>
      <c r="I110" s="17"/>
    </row>
    <row r="111" spans="1:9" s="43" customFormat="1" ht="15" customHeight="1" x14ac:dyDescent="0.25">
      <c r="B111" s="378"/>
      <c r="C111" s="378"/>
      <c r="D111" s="378"/>
      <c r="E111" s="378"/>
      <c r="F111" s="378"/>
      <c r="G111" s="381"/>
      <c r="H111" s="378"/>
      <c r="I111" s="381"/>
    </row>
    <row r="112" spans="1:9" x14ac:dyDescent="0.25">
      <c r="B112" s="34" t="s">
        <v>975</v>
      </c>
      <c r="C112" s="34" t="s">
        <v>392</v>
      </c>
    </row>
    <row r="113" spans="1:13" ht="7.4" customHeight="1" x14ac:dyDescent="0.25"/>
    <row r="114" spans="1:13" ht="37.5" customHeight="1" x14ac:dyDescent="0.25">
      <c r="B114" s="1153" t="s">
        <v>976</v>
      </c>
      <c r="C114" s="1153"/>
      <c r="D114" s="1153"/>
      <c r="E114" s="1153"/>
      <c r="F114" s="1153"/>
      <c r="G114" s="1153"/>
      <c r="H114" s="1153"/>
      <c r="I114" s="1153"/>
    </row>
    <row r="116" spans="1:13" x14ac:dyDescent="0.25">
      <c r="B116" s="61" t="s">
        <v>953</v>
      </c>
      <c r="H116" s="154" t="s">
        <v>977</v>
      </c>
      <c r="I116" s="154" t="s">
        <v>977</v>
      </c>
    </row>
    <row r="117" spans="1:13" x14ac:dyDescent="0.25">
      <c r="A117" s="60"/>
      <c r="C117" s="60"/>
      <c r="D117" s="60"/>
      <c r="E117" s="60"/>
      <c r="H117" s="356" t="s">
        <v>912</v>
      </c>
      <c r="I117" s="356" t="s">
        <v>913</v>
      </c>
    </row>
    <row r="118" spans="1:13" ht="7.4" customHeight="1" x14ac:dyDescent="0.25">
      <c r="A118" s="60"/>
      <c r="C118" s="60"/>
      <c r="D118" s="60"/>
      <c r="E118" s="60"/>
      <c r="H118" s="114"/>
      <c r="I118" s="77"/>
    </row>
    <row r="119" spans="1:13" x14ac:dyDescent="0.25">
      <c r="A119" s="79"/>
      <c r="B119" s="54" t="s">
        <v>954</v>
      </c>
      <c r="C119" s="60"/>
      <c r="D119" s="60"/>
      <c r="E119" s="60"/>
      <c r="H119" s="352"/>
      <c r="I119" s="837">
        <v>6.9000000000000006E-2</v>
      </c>
      <c r="L119" s="1148"/>
      <c r="M119" s="1148"/>
    </row>
    <row r="120" spans="1:13" x14ac:dyDescent="0.25">
      <c r="A120" s="79"/>
      <c r="B120" s="54" t="s">
        <v>955</v>
      </c>
      <c r="C120" s="60"/>
      <c r="D120" s="60"/>
      <c r="E120" s="60"/>
      <c r="H120" s="352"/>
      <c r="I120" s="352">
        <v>0.09</v>
      </c>
    </row>
    <row r="121" spans="1:13" s="361" customFormat="1" x14ac:dyDescent="0.25">
      <c r="A121" s="359"/>
      <c r="B121" s="50" t="s">
        <v>956</v>
      </c>
      <c r="C121" s="64"/>
      <c r="D121" s="64"/>
      <c r="E121" s="64"/>
      <c r="H121" s="742"/>
      <c r="I121" s="352"/>
    </row>
    <row r="122" spans="1:13" s="361" customFormat="1" x14ac:dyDescent="0.25">
      <c r="A122" s="359"/>
      <c r="B122" s="50"/>
      <c r="C122" s="64"/>
      <c r="D122" s="64"/>
      <c r="E122" s="64"/>
      <c r="H122" s="742"/>
      <c r="I122" s="742"/>
    </row>
    <row r="123" spans="1:13" s="361" customFormat="1" x14ac:dyDescent="0.25">
      <c r="A123" s="359"/>
      <c r="B123" s="50"/>
      <c r="C123" s="64"/>
      <c r="D123" s="64"/>
      <c r="E123" s="64"/>
      <c r="H123" s="742"/>
      <c r="I123" s="742"/>
    </row>
    <row r="124" spans="1:13" s="361" customFormat="1" x14ac:dyDescent="0.25">
      <c r="A124" s="359"/>
      <c r="B124" s="50"/>
      <c r="C124" s="64"/>
      <c r="D124" s="64"/>
      <c r="E124" s="64"/>
      <c r="H124" s="742"/>
      <c r="I124" s="742"/>
    </row>
    <row r="125" spans="1:13" s="361" customFormat="1" x14ac:dyDescent="0.25">
      <c r="A125" s="359"/>
      <c r="B125" s="50"/>
      <c r="C125" s="64"/>
      <c r="D125" s="64"/>
      <c r="E125" s="64"/>
      <c r="H125" s="742"/>
      <c r="I125" s="742"/>
    </row>
    <row r="126" spans="1:13" s="361" customFormat="1" x14ac:dyDescent="0.25">
      <c r="A126" s="359"/>
      <c r="B126" s="50"/>
      <c r="C126" s="64"/>
      <c r="D126" s="64"/>
      <c r="E126" s="64"/>
      <c r="H126" s="742"/>
      <c r="I126" s="742"/>
    </row>
    <row r="127" spans="1:13" s="361" customFormat="1" x14ac:dyDescent="0.25">
      <c r="A127" s="359"/>
      <c r="B127" s="50"/>
      <c r="C127" s="64"/>
      <c r="D127" s="64"/>
      <c r="E127" s="64"/>
      <c r="H127" s="742"/>
      <c r="I127" s="742"/>
    </row>
    <row r="128" spans="1:13" ht="23" x14ac:dyDescent="0.25">
      <c r="B128" s="50" t="s">
        <v>957</v>
      </c>
      <c r="H128" s="367"/>
      <c r="I128" s="367" t="str">
        <f>I85</f>
        <v>Indian Assured Lives Mortality (2006-08) Urban</v>
      </c>
    </row>
    <row r="129" spans="2:9" x14ac:dyDescent="0.25">
      <c r="I129" s="367"/>
    </row>
    <row r="138" spans="2:9" x14ac:dyDescent="0.25">
      <c r="B138" s="1149"/>
      <c r="C138" s="1149"/>
      <c r="D138" s="1149"/>
      <c r="E138" s="1149"/>
      <c r="F138" s="1149"/>
      <c r="G138" s="1149"/>
      <c r="H138" s="1149"/>
      <c r="I138" s="1149"/>
    </row>
  </sheetData>
  <mergeCells count="28">
    <mergeCell ref="B16:I16"/>
    <mergeCell ref="F5:I5"/>
    <mergeCell ref="B8:I8"/>
    <mergeCell ref="B9:I9"/>
    <mergeCell ref="L12:M12"/>
    <mergeCell ref="C14:H14"/>
    <mergeCell ref="B93:E93"/>
    <mergeCell ref="B17:I17"/>
    <mergeCell ref="B18:I18"/>
    <mergeCell ref="H21:I21"/>
    <mergeCell ref="F32:G32"/>
    <mergeCell ref="H32:I32"/>
    <mergeCell ref="F40:G40"/>
    <mergeCell ref="H40:I40"/>
    <mergeCell ref="L76:M76"/>
    <mergeCell ref="B88:I88"/>
    <mergeCell ref="F89:I89"/>
    <mergeCell ref="F90:G90"/>
    <mergeCell ref="H90:I90"/>
    <mergeCell ref="B78:E84"/>
    <mergeCell ref="L119:M119"/>
    <mergeCell ref="B138:I138"/>
    <mergeCell ref="B96:E96"/>
    <mergeCell ref="B99:E99"/>
    <mergeCell ref="B101:I101"/>
    <mergeCell ref="F102:I102"/>
    <mergeCell ref="H104:I104"/>
    <mergeCell ref="B114:I114"/>
  </mergeCells>
  <pageMargins left="0.23622047244094491" right="0.23622047244094491" top="0.74803149606299213" bottom="0.74803149606299213" header="0.31496062992125984" footer="0.31496062992125984"/>
  <pageSetup paperSize="9" scale="80" orientation="portrait" r:id="rId1"/>
  <rowBreaks count="2" manualBreakCount="2">
    <brk id="66" min="1" max="8" man="1"/>
    <brk id="129" min="1" max="8"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17057-656F-4398-AD1F-82D4FDB4631E}">
  <sheetPr>
    <tabColor rgb="FF7030A0"/>
  </sheetPr>
  <dimension ref="A1:U117"/>
  <sheetViews>
    <sheetView showGridLines="0" view="pageBreakPreview" topLeftCell="A4" zoomScale="90" zoomScaleNormal="100" zoomScaleSheetLayoutView="90" workbookViewId="0">
      <selection activeCell="F39" sqref="F39"/>
    </sheetView>
  </sheetViews>
  <sheetFormatPr defaultColWidth="9.1796875" defaultRowHeight="11.5" x14ac:dyDescent="0.25"/>
  <cols>
    <col min="1" max="1" width="4.1796875" style="446" customWidth="1"/>
    <col min="2" max="2" width="56.1796875" style="446" customWidth="1"/>
    <col min="3" max="5" width="25.54296875" style="446" customWidth="1"/>
    <col min="6" max="7" width="15" style="446" hidden="1" customWidth="1"/>
    <col min="8" max="8" width="11.81640625" style="446" hidden="1" customWidth="1"/>
    <col min="9" max="9" width="14.54296875" style="446" hidden="1" customWidth="1"/>
    <col min="10" max="10" width="12.1796875" style="446" hidden="1" customWidth="1"/>
    <col min="11" max="11" width="12.453125" style="446" hidden="1" customWidth="1"/>
    <col min="12" max="13" width="13.54296875" style="446" hidden="1" customWidth="1"/>
    <col min="14" max="14" width="11" style="446" hidden="1" customWidth="1"/>
    <col min="15" max="15" width="12.453125" style="446" hidden="1" customWidth="1"/>
    <col min="16" max="16" width="13.54296875" style="446" hidden="1" customWidth="1"/>
    <col min="17" max="17" width="12.453125" style="446" hidden="1" customWidth="1"/>
    <col min="18" max="19" width="9.1796875" style="446" hidden="1" customWidth="1"/>
    <col min="20" max="20" width="13.1796875" style="446" bestFit="1" customWidth="1"/>
    <col min="21" max="16384" width="9.1796875" style="446"/>
  </cols>
  <sheetData>
    <row r="1" spans="1:19" x14ac:dyDescent="0.25">
      <c r="A1" s="19"/>
      <c r="B1" s="300" t="str">
        <f>'E''ee Benefits 28 '!B1</f>
        <v>Paladion Networks Private Limited</v>
      </c>
      <c r="C1" s="300"/>
      <c r="D1" s="300"/>
      <c r="E1" s="300"/>
      <c r="F1" s="19"/>
      <c r="G1" s="19"/>
      <c r="H1" s="19"/>
      <c r="I1" s="19"/>
      <c r="J1" s="19"/>
      <c r="K1" s="19"/>
      <c r="L1" s="19"/>
      <c r="M1" s="19"/>
      <c r="N1" s="19"/>
      <c r="O1" s="19"/>
      <c r="P1" s="19"/>
      <c r="Q1" s="19"/>
      <c r="R1" s="19"/>
      <c r="S1" s="19"/>
    </row>
    <row r="2" spans="1:19" x14ac:dyDescent="0.25">
      <c r="A2" s="19"/>
      <c r="B2" s="524" t="str">
        <f>'E''ee Benefits 28 '!B2</f>
        <v>Summary of Material accounting policies and other explanatory information</v>
      </c>
      <c r="C2" s="353"/>
      <c r="D2" s="353"/>
      <c r="E2" s="353"/>
      <c r="F2" s="19"/>
      <c r="G2" s="19"/>
      <c r="H2" s="19"/>
      <c r="I2" s="19"/>
      <c r="J2" s="19"/>
      <c r="K2" s="19"/>
      <c r="L2" s="19"/>
      <c r="M2" s="19"/>
      <c r="N2" s="19"/>
      <c r="O2" s="19"/>
      <c r="P2" s="19"/>
      <c r="Q2" s="19"/>
      <c r="R2" s="19"/>
      <c r="S2" s="19"/>
    </row>
    <row r="3" spans="1:19" ht="12" x14ac:dyDescent="0.25">
      <c r="A3" s="19"/>
      <c r="B3" s="319" t="str">
        <f>'E''ee Benefits 28 '!B3</f>
        <v>(Amounts are stated in ₹ lakhs, except share and per share data, unless ottherwise stated)</v>
      </c>
      <c r="C3" s="424"/>
      <c r="D3" s="424"/>
      <c r="E3" s="424"/>
      <c r="F3" s="19"/>
      <c r="G3" s="19"/>
      <c r="H3" s="19"/>
      <c r="I3" s="19"/>
      <c r="J3" s="19"/>
      <c r="K3" s="19"/>
      <c r="L3" s="19"/>
      <c r="M3" s="19"/>
      <c r="N3" s="19"/>
      <c r="O3" s="19"/>
      <c r="P3" s="19"/>
      <c r="Q3" s="19"/>
      <c r="R3" s="19"/>
      <c r="S3" s="19"/>
    </row>
    <row r="4" spans="1:19" s="19" customFormat="1" x14ac:dyDescent="0.25">
      <c r="C4" s="54"/>
      <c r="D4" s="54"/>
      <c r="E4" s="53"/>
    </row>
    <row r="5" spans="1:19" x14ac:dyDescent="0.25">
      <c r="A5" s="19">
        <f>'E''ee Benefits 28 '!A5+1</f>
        <v>29</v>
      </c>
      <c r="B5" s="53" t="str">
        <f>"Note "&amp;A5&amp;": Leases"</f>
        <v>Note 29: Leases</v>
      </c>
      <c r="C5" s="54"/>
      <c r="D5" s="54"/>
      <c r="E5" s="19"/>
      <c r="F5" s="19"/>
      <c r="G5" s="19"/>
      <c r="H5" s="19"/>
      <c r="I5" s="19"/>
      <c r="J5" s="19"/>
      <c r="K5" s="19"/>
      <c r="L5" s="19"/>
      <c r="M5" s="19"/>
      <c r="N5" s="19"/>
      <c r="O5" s="19"/>
      <c r="P5" s="19"/>
      <c r="Q5" s="19"/>
      <c r="R5" s="19"/>
      <c r="S5" s="19"/>
    </row>
    <row r="6" spans="1:19" x14ac:dyDescent="0.25">
      <c r="A6" s="19"/>
      <c r="B6" s="53" t="s">
        <v>978</v>
      </c>
      <c r="C6" s="54"/>
      <c r="D6" s="54"/>
      <c r="E6" s="19"/>
      <c r="F6" s="19"/>
      <c r="G6" s="19"/>
      <c r="H6" s="19"/>
      <c r="I6" s="19"/>
      <c r="J6" s="19"/>
      <c r="K6" s="19"/>
      <c r="L6" s="19"/>
      <c r="M6" s="19"/>
      <c r="N6" s="19"/>
      <c r="O6" s="19"/>
      <c r="P6" s="19"/>
      <c r="Q6" s="19"/>
      <c r="R6" s="19"/>
      <c r="S6" s="19"/>
    </row>
    <row r="8" spans="1:19" x14ac:dyDescent="0.25">
      <c r="A8" s="19"/>
      <c r="B8" s="19" t="s">
        <v>979</v>
      </c>
      <c r="C8" s="19"/>
      <c r="D8" s="19"/>
      <c r="E8" s="425"/>
      <c r="F8" s="19"/>
      <c r="G8" s="19"/>
      <c r="H8" s="19"/>
      <c r="I8" s="19"/>
      <c r="J8" s="19"/>
      <c r="K8" s="19"/>
      <c r="L8" s="19"/>
      <c r="M8" s="19"/>
      <c r="N8" s="19"/>
      <c r="O8" s="19"/>
      <c r="P8" s="19"/>
      <c r="Q8" s="19"/>
      <c r="R8" s="19"/>
      <c r="S8" s="19"/>
    </row>
    <row r="9" spans="1:19" s="426" customFormat="1" x14ac:dyDescent="0.35">
      <c r="A9" s="309"/>
      <c r="B9" s="315"/>
      <c r="C9" s="1161" t="s">
        <v>980</v>
      </c>
      <c r="D9" s="1161"/>
      <c r="E9" s="1161"/>
      <c r="G9" s="427"/>
    </row>
    <row r="10" spans="1:19" s="110" customFormat="1" x14ac:dyDescent="0.35">
      <c r="B10" s="53"/>
      <c r="C10" s="71" t="s">
        <v>549</v>
      </c>
      <c r="D10" s="71" t="s">
        <v>734</v>
      </c>
      <c r="E10" s="71" t="s">
        <v>100</v>
      </c>
    </row>
    <row r="11" spans="1:19" s="110" customFormat="1" x14ac:dyDescent="0.35">
      <c r="B11" s="34" t="s">
        <v>461</v>
      </c>
      <c r="C11" s="195"/>
      <c r="D11" s="195"/>
      <c r="E11" s="195"/>
    </row>
    <row r="12" spans="1:19" x14ac:dyDescent="0.25">
      <c r="A12" s="986"/>
      <c r="B12" s="196" t="s">
        <v>462</v>
      </c>
      <c r="C12" s="79">
        <v>390.10813101173039</v>
      </c>
      <c r="D12" s="79">
        <v>0</v>
      </c>
      <c r="E12" s="79">
        <v>390.10813101173039</v>
      </c>
      <c r="F12" s="17"/>
      <c r="G12" s="17"/>
      <c r="H12" s="17"/>
      <c r="I12" s="17"/>
      <c r="J12" s="17"/>
      <c r="K12" s="17"/>
      <c r="L12" s="17"/>
      <c r="M12" s="17"/>
      <c r="N12" s="17"/>
      <c r="O12" s="17"/>
      <c r="P12" s="17"/>
      <c r="Q12" s="17"/>
      <c r="R12" s="17"/>
      <c r="S12" s="17"/>
    </row>
    <row r="13" spans="1:19" x14ac:dyDescent="0.25">
      <c r="A13" s="986"/>
      <c r="B13" s="198" t="s">
        <v>463</v>
      </c>
      <c r="C13" s="60">
        <v>713.77318291313395</v>
      </c>
      <c r="D13" s="85"/>
      <c r="E13" s="60">
        <f t="shared" ref="E13" si="0">SUM(C13:D13)</f>
        <v>713.77318291313395</v>
      </c>
      <c r="F13" s="17"/>
      <c r="G13" s="17"/>
      <c r="H13" s="17"/>
      <c r="I13" s="17"/>
      <c r="J13" s="17"/>
      <c r="K13" s="17"/>
      <c r="L13" s="17"/>
      <c r="M13" s="17"/>
      <c r="N13" s="17"/>
      <c r="O13" s="17"/>
      <c r="P13" s="17"/>
      <c r="Q13" s="17"/>
      <c r="R13" s="17"/>
      <c r="S13" s="17"/>
    </row>
    <row r="14" spans="1:19" x14ac:dyDescent="0.25">
      <c r="A14" s="986"/>
      <c r="B14" s="198" t="s">
        <v>981</v>
      </c>
      <c r="C14" s="85"/>
      <c r="D14" s="60"/>
      <c r="E14" s="60">
        <f>SUM(C14:D14)</f>
        <v>0</v>
      </c>
      <c r="F14" s="17"/>
      <c r="G14" s="17"/>
      <c r="H14" s="17"/>
      <c r="I14" s="17"/>
      <c r="J14" s="17"/>
      <c r="K14" s="17"/>
      <c r="L14" s="17"/>
      <c r="M14" s="17"/>
      <c r="N14" s="17"/>
      <c r="O14" s="17"/>
      <c r="P14" s="17"/>
      <c r="Q14" s="17"/>
      <c r="R14" s="17"/>
      <c r="S14" s="17"/>
    </row>
    <row r="15" spans="1:19" x14ac:dyDescent="0.25">
      <c r="A15" s="986"/>
      <c r="B15" s="196" t="s">
        <v>466</v>
      </c>
      <c r="C15" s="199">
        <f>SUM(C12:C14)</f>
        <v>1103.8813139248643</v>
      </c>
      <c r="D15" s="654">
        <v>0</v>
      </c>
      <c r="E15" s="199">
        <f>SUM(E12:E14)</f>
        <v>1103.8813139248643</v>
      </c>
      <c r="F15" s="17"/>
      <c r="G15" s="17"/>
      <c r="H15" s="17"/>
      <c r="I15" s="17"/>
      <c r="J15" s="17"/>
      <c r="K15" s="17"/>
      <c r="L15" s="17"/>
      <c r="M15" s="17"/>
      <c r="N15" s="17"/>
      <c r="O15" s="17"/>
      <c r="P15" s="17"/>
      <c r="Q15" s="17"/>
      <c r="R15" s="17"/>
      <c r="S15" s="17"/>
    </row>
    <row r="16" spans="1:19" x14ac:dyDescent="0.25">
      <c r="A16" s="986"/>
      <c r="B16" s="83" t="s">
        <v>463</v>
      </c>
      <c r="C16" s="60"/>
      <c r="D16" s="85">
        <v>380.58700571307975</v>
      </c>
      <c r="E16" s="60">
        <f>SUM(C16:D16)</f>
        <v>380.58700571307975</v>
      </c>
      <c r="F16" s="17"/>
      <c r="G16" s="17"/>
      <c r="H16" s="17"/>
      <c r="I16" s="17"/>
      <c r="J16" s="17"/>
      <c r="K16" s="17"/>
      <c r="L16" s="17"/>
      <c r="M16" s="17"/>
      <c r="N16" s="17"/>
      <c r="O16" s="17"/>
      <c r="P16" s="17"/>
      <c r="Q16" s="17"/>
      <c r="R16" s="17"/>
      <c r="S16" s="17"/>
    </row>
    <row r="17" spans="2:20" x14ac:dyDescent="0.25">
      <c r="B17" s="83" t="s">
        <v>981</v>
      </c>
      <c r="C17" s="60">
        <v>0</v>
      </c>
      <c r="D17" s="60">
        <v>0</v>
      </c>
      <c r="E17" s="60">
        <f>SUM(C17:D17)</f>
        <v>0</v>
      </c>
      <c r="F17" s="17"/>
      <c r="G17" s="17"/>
      <c r="H17" s="17"/>
      <c r="I17" s="17"/>
      <c r="J17" s="17"/>
      <c r="K17" s="17"/>
      <c r="L17" s="17"/>
      <c r="M17" s="17"/>
      <c r="N17" s="17"/>
      <c r="O17" s="17"/>
      <c r="P17" s="17"/>
      <c r="Q17" s="17"/>
      <c r="R17" s="17"/>
      <c r="S17" s="17"/>
      <c r="T17" s="986"/>
    </row>
    <row r="18" spans="2:20" x14ac:dyDescent="0.25">
      <c r="B18" s="83" t="s">
        <v>2874</v>
      </c>
      <c r="C18" s="60"/>
      <c r="D18" s="60">
        <v>-40.172190388170058</v>
      </c>
      <c r="E18" s="60">
        <f>SUM(C18:D18)</f>
        <v>-40.172190388170058</v>
      </c>
      <c r="F18" s="17"/>
      <c r="G18" s="17"/>
      <c r="H18" s="17"/>
      <c r="I18" s="17"/>
      <c r="J18" s="17"/>
      <c r="K18" s="17"/>
      <c r="L18" s="17"/>
      <c r="M18" s="17"/>
      <c r="N18" s="17"/>
      <c r="O18" s="17"/>
      <c r="P18" s="17"/>
      <c r="Q18" s="17"/>
      <c r="R18" s="17"/>
      <c r="S18" s="17"/>
      <c r="T18" s="986"/>
    </row>
    <row r="19" spans="2:20" ht="12" thickBot="1" x14ac:dyDescent="0.3">
      <c r="B19" s="196" t="s">
        <v>469</v>
      </c>
      <c r="C19" s="150">
        <f>SUM(C15:C18)</f>
        <v>1103.8813139248643</v>
      </c>
      <c r="D19" s="150">
        <f>SUM(D15:D18)</f>
        <v>340.41481532490968</v>
      </c>
      <c r="E19" s="150">
        <f>SUM(E15:E18)</f>
        <v>1444.2961292497741</v>
      </c>
      <c r="F19" s="17"/>
      <c r="G19" s="17"/>
      <c r="H19" s="17"/>
      <c r="I19" s="17"/>
      <c r="J19" s="17"/>
      <c r="K19" s="17"/>
      <c r="L19" s="17"/>
      <c r="M19" s="17"/>
      <c r="N19" s="17"/>
      <c r="O19" s="17"/>
      <c r="P19" s="17"/>
      <c r="Q19" s="17"/>
      <c r="R19" s="17"/>
      <c r="S19" s="17"/>
      <c r="T19" s="986"/>
    </row>
    <row r="20" spans="2:20" ht="9" customHeight="1" thickTop="1" x14ac:dyDescent="0.25">
      <c r="B20" s="196"/>
      <c r="C20" s="79"/>
      <c r="D20" s="79"/>
      <c r="E20" s="79"/>
      <c r="F20" s="19"/>
      <c r="G20" s="17"/>
      <c r="H20" s="17"/>
      <c r="I20" s="19"/>
      <c r="J20" s="19"/>
      <c r="K20" s="19"/>
      <c r="L20" s="19"/>
      <c r="M20" s="19"/>
      <c r="N20" s="19"/>
      <c r="O20" s="19"/>
      <c r="P20" s="19"/>
      <c r="Q20" s="19"/>
      <c r="R20" s="19"/>
      <c r="S20" s="19"/>
      <c r="T20" s="986"/>
    </row>
    <row r="21" spans="2:20" x14ac:dyDescent="0.25">
      <c r="B21" s="164" t="s">
        <v>470</v>
      </c>
      <c r="C21" s="60"/>
      <c r="D21" s="60"/>
      <c r="E21" s="60"/>
      <c r="F21" s="19"/>
      <c r="G21" s="17"/>
      <c r="H21" s="17"/>
      <c r="I21" s="19"/>
      <c r="J21" s="19"/>
      <c r="K21" s="19"/>
      <c r="L21" s="19"/>
      <c r="M21" s="19"/>
      <c r="N21" s="19"/>
      <c r="O21" s="19"/>
      <c r="P21" s="19"/>
      <c r="Q21" s="19"/>
      <c r="R21" s="19"/>
      <c r="S21" s="19"/>
      <c r="T21" s="986"/>
    </row>
    <row r="22" spans="2:20" x14ac:dyDescent="0.25">
      <c r="B22" s="196" t="str">
        <f>B12</f>
        <v>As at 01 April 2023</v>
      </c>
      <c r="C22" s="79">
        <v>110.51395252988129</v>
      </c>
      <c r="D22" s="79">
        <v>0</v>
      </c>
      <c r="E22" s="79">
        <v>110.51395252988129</v>
      </c>
      <c r="F22" s="27"/>
      <c r="G22" s="17"/>
      <c r="H22" s="17"/>
      <c r="I22" s="27"/>
      <c r="J22" s="27"/>
      <c r="K22" s="27"/>
      <c r="L22" s="27"/>
      <c r="M22" s="27"/>
      <c r="N22" s="27"/>
      <c r="O22" s="27"/>
      <c r="P22" s="27"/>
      <c r="Q22" s="27"/>
      <c r="R22" s="27"/>
      <c r="S22" s="27"/>
      <c r="T22" s="986"/>
    </row>
    <row r="23" spans="2:20" x14ac:dyDescent="0.25">
      <c r="B23" s="83" t="s">
        <v>471</v>
      </c>
      <c r="C23" s="60">
        <v>238.67974872895698</v>
      </c>
      <c r="D23" s="60"/>
      <c r="E23" s="60">
        <f>SUM(C23:D23)</f>
        <v>238.67974872895698</v>
      </c>
      <c r="F23" s="27"/>
      <c r="G23" s="17"/>
      <c r="H23" s="17"/>
      <c r="I23" s="27"/>
      <c r="J23" s="27"/>
      <c r="K23" s="27"/>
      <c r="L23" s="27"/>
      <c r="M23" s="27"/>
      <c r="N23" s="27"/>
      <c r="O23" s="27"/>
      <c r="P23" s="27"/>
      <c r="Q23" s="27"/>
      <c r="R23" s="27"/>
      <c r="S23" s="27"/>
      <c r="T23" s="986"/>
    </row>
    <row r="24" spans="2:20" x14ac:dyDescent="0.25">
      <c r="B24" s="83" t="s">
        <v>981</v>
      </c>
      <c r="C24" s="60"/>
      <c r="D24" s="60"/>
      <c r="E24" s="60">
        <f>SUM(C24:D24)</f>
        <v>0</v>
      </c>
      <c r="F24" s="27"/>
      <c r="G24" s="17"/>
      <c r="H24" s="17"/>
      <c r="I24" s="27"/>
      <c r="J24" s="27"/>
      <c r="K24" s="27"/>
      <c r="L24" s="27"/>
      <c r="M24" s="27"/>
      <c r="N24" s="27"/>
      <c r="O24" s="27"/>
      <c r="P24" s="27"/>
      <c r="Q24" s="27"/>
      <c r="R24" s="27"/>
      <c r="S24" s="27"/>
      <c r="T24" s="986"/>
    </row>
    <row r="25" spans="2:20" x14ac:dyDescent="0.25">
      <c r="B25" s="83" t="s">
        <v>982</v>
      </c>
      <c r="C25" s="85"/>
      <c r="D25" s="60"/>
      <c r="E25" s="60">
        <f>SUM(C25:D25)</f>
        <v>0</v>
      </c>
      <c r="F25" s="19"/>
      <c r="G25" s="17"/>
      <c r="H25" s="17"/>
      <c r="I25" s="19"/>
      <c r="J25" s="19"/>
      <c r="K25" s="19"/>
      <c r="L25" s="19"/>
      <c r="M25" s="19"/>
      <c r="N25" s="19"/>
      <c r="O25" s="19"/>
      <c r="P25" s="19"/>
      <c r="Q25" s="19"/>
      <c r="R25" s="19"/>
      <c r="S25" s="19"/>
      <c r="T25" s="986"/>
    </row>
    <row r="26" spans="2:20" x14ac:dyDescent="0.25">
      <c r="B26" s="196" t="str">
        <f>+B15</f>
        <v>As at 31 March 2024</v>
      </c>
      <c r="C26" s="199">
        <f>SUM(C22:C25)</f>
        <v>349.19370125883825</v>
      </c>
      <c r="D26" s="654">
        <f>SUM(D22:D25)</f>
        <v>0</v>
      </c>
      <c r="E26" s="199">
        <f>SUM(E22:E25)</f>
        <v>349.19370125883825</v>
      </c>
      <c r="F26" s="27"/>
      <c r="G26" s="17"/>
      <c r="H26" s="17"/>
      <c r="I26" s="27"/>
      <c r="J26" s="27"/>
      <c r="K26" s="27"/>
      <c r="L26" s="27"/>
      <c r="M26" s="27"/>
      <c r="N26" s="27"/>
      <c r="O26" s="27"/>
      <c r="P26" s="27"/>
      <c r="Q26" s="27"/>
      <c r="R26" s="27"/>
      <c r="S26" s="27"/>
      <c r="T26" s="986"/>
    </row>
    <row r="27" spans="2:20" x14ac:dyDescent="0.25">
      <c r="B27" s="83" t="s">
        <v>471</v>
      </c>
      <c r="C27" s="60">
        <v>280.87130908902964</v>
      </c>
      <c r="D27" s="60">
        <v>61.15719822729281</v>
      </c>
      <c r="E27" s="60">
        <f>SUM(C27:D27)</f>
        <v>342.02850731632248</v>
      </c>
      <c r="F27" s="27"/>
      <c r="G27" s="17"/>
      <c r="H27" s="17"/>
      <c r="I27" s="27"/>
      <c r="J27" s="27"/>
      <c r="K27" s="27"/>
      <c r="L27" s="27"/>
      <c r="M27" s="27"/>
      <c r="N27" s="27"/>
      <c r="O27" s="27"/>
      <c r="P27" s="27"/>
      <c r="Q27" s="27"/>
      <c r="R27" s="27"/>
      <c r="S27" s="27"/>
      <c r="T27" s="986"/>
    </row>
    <row r="28" spans="2:20" x14ac:dyDescent="0.25">
      <c r="B28" s="83" t="s">
        <v>981</v>
      </c>
      <c r="C28" s="60">
        <v>0</v>
      </c>
      <c r="D28" s="60">
        <v>0</v>
      </c>
      <c r="E28" s="60">
        <f>SUM(C28:D28)</f>
        <v>0</v>
      </c>
      <c r="F28" s="27"/>
      <c r="G28" s="17"/>
      <c r="H28" s="17"/>
      <c r="I28" s="27"/>
      <c r="J28" s="27"/>
      <c r="K28" s="27"/>
      <c r="L28" s="27"/>
      <c r="M28" s="27"/>
      <c r="N28" s="27"/>
      <c r="O28" s="27"/>
      <c r="P28" s="27"/>
      <c r="Q28" s="27"/>
      <c r="R28" s="27"/>
      <c r="S28" s="27"/>
      <c r="T28" s="986"/>
    </row>
    <row r="29" spans="2:20" x14ac:dyDescent="0.25">
      <c r="B29" s="83" t="s">
        <v>983</v>
      </c>
      <c r="C29" s="60"/>
      <c r="D29" s="60">
        <v>0.82730163404528412</v>
      </c>
      <c r="E29" s="60">
        <f>SUM(C29:D29)</f>
        <v>0.82730163404528412</v>
      </c>
      <c r="F29" s="27"/>
      <c r="G29" s="17"/>
      <c r="H29" s="17"/>
      <c r="I29" s="27"/>
      <c r="J29" s="27"/>
      <c r="K29" s="27"/>
      <c r="L29" s="27"/>
      <c r="M29" s="27"/>
      <c r="N29" s="27"/>
      <c r="O29" s="27"/>
      <c r="P29" s="27"/>
      <c r="Q29" s="27"/>
      <c r="R29" s="27"/>
      <c r="S29" s="27"/>
      <c r="T29" s="986"/>
    </row>
    <row r="30" spans="2:20" ht="12" thickBot="1" x14ac:dyDescent="0.3">
      <c r="B30" s="196" t="str">
        <f>B19</f>
        <v>As at 31 March 2025</v>
      </c>
      <c r="C30" s="174">
        <f>SUM(C26:C29)</f>
        <v>630.06501034786788</v>
      </c>
      <c r="D30" s="174">
        <f>SUM(D26:D29)</f>
        <v>61.984499861338094</v>
      </c>
      <c r="E30" s="174">
        <f>SUM(E26:E29)</f>
        <v>692.04951020920601</v>
      </c>
      <c r="F30" s="27"/>
      <c r="G30" s="17"/>
      <c r="H30" s="17"/>
      <c r="I30" s="27"/>
      <c r="J30" s="27"/>
      <c r="K30" s="27"/>
      <c r="L30" s="27"/>
      <c r="M30" s="27"/>
      <c r="N30" s="27"/>
      <c r="O30" s="27"/>
      <c r="P30" s="27"/>
      <c r="Q30" s="27"/>
      <c r="R30" s="27"/>
      <c r="S30" s="27"/>
      <c r="T30" s="986"/>
    </row>
    <row r="31" spans="2:20" ht="9" customHeight="1" thickTop="1" x14ac:dyDescent="0.25">
      <c r="B31" s="196"/>
      <c r="C31" s="79"/>
      <c r="D31" s="79"/>
      <c r="E31" s="79"/>
      <c r="F31" s="27"/>
      <c r="G31" s="17"/>
      <c r="H31" s="17"/>
      <c r="I31" s="27"/>
      <c r="J31" s="27"/>
      <c r="K31" s="27"/>
      <c r="L31" s="27"/>
      <c r="M31" s="27"/>
      <c r="N31" s="27"/>
      <c r="O31" s="27"/>
      <c r="P31" s="27"/>
      <c r="Q31" s="27"/>
      <c r="R31" s="27"/>
      <c r="S31" s="27"/>
      <c r="T31" s="986"/>
    </row>
    <row r="32" spans="2:20" x14ac:dyDescent="0.25">
      <c r="B32" s="53" t="s">
        <v>472</v>
      </c>
      <c r="C32" s="60"/>
      <c r="D32" s="60"/>
      <c r="E32" s="60"/>
      <c r="F32" s="19"/>
      <c r="G32" s="17"/>
      <c r="H32" s="17"/>
      <c r="I32" s="19"/>
      <c r="J32" s="19"/>
      <c r="K32" s="19"/>
      <c r="L32" s="19"/>
      <c r="M32" s="19"/>
      <c r="N32" s="19"/>
      <c r="O32" s="19"/>
      <c r="P32" s="19"/>
      <c r="Q32" s="19"/>
      <c r="R32" s="19"/>
      <c r="S32" s="19"/>
      <c r="T32" s="986"/>
    </row>
    <row r="33" spans="2:21" x14ac:dyDescent="0.25">
      <c r="B33" s="196" t="str">
        <f>B30</f>
        <v>As at 31 March 2025</v>
      </c>
      <c r="C33" s="79">
        <f>C19-C30</f>
        <v>473.81630357699646</v>
      </c>
      <c r="D33" s="79">
        <f>D19-D30</f>
        <v>278.43031546357156</v>
      </c>
      <c r="E33" s="79">
        <f>E19-E30</f>
        <v>752.24661904056813</v>
      </c>
      <c r="F33" s="27"/>
      <c r="G33" s="17"/>
      <c r="H33" s="17"/>
      <c r="I33" s="19"/>
      <c r="J33" s="19"/>
      <c r="K33" s="19"/>
      <c r="L33" s="19"/>
      <c r="M33" s="19"/>
      <c r="N33" s="19"/>
      <c r="O33" s="19"/>
      <c r="P33" s="19"/>
      <c r="Q33" s="19"/>
      <c r="R33" s="19"/>
      <c r="S33" s="19"/>
      <c r="T33" s="1020"/>
    </row>
    <row r="34" spans="2:21" x14ac:dyDescent="0.25">
      <c r="B34" s="196" t="str">
        <f>+B15</f>
        <v>As at 31 March 2024</v>
      </c>
      <c r="C34" s="79">
        <f>C15-C26</f>
        <v>754.6876126660261</v>
      </c>
      <c r="D34" s="79">
        <f>D15-D26</f>
        <v>0</v>
      </c>
      <c r="E34" s="79">
        <f>E15-E26</f>
        <v>754.6876126660261</v>
      </c>
      <c r="F34" s="27"/>
      <c r="G34" s="17"/>
      <c r="H34" s="17"/>
      <c r="I34" s="27"/>
      <c r="J34" s="27"/>
      <c r="K34" s="27"/>
      <c r="L34" s="27"/>
      <c r="M34" s="27"/>
      <c r="N34" s="27"/>
      <c r="O34" s="27"/>
      <c r="P34" s="27"/>
      <c r="Q34" s="27"/>
      <c r="R34" s="27"/>
      <c r="S34" s="27"/>
      <c r="T34" s="1020"/>
      <c r="U34" s="991"/>
    </row>
    <row r="35" spans="2:21" hidden="1" x14ac:dyDescent="0.25">
      <c r="B35" s="196"/>
      <c r="C35" s="60"/>
      <c r="D35" s="60"/>
      <c r="E35" s="60"/>
      <c r="F35" s="27"/>
      <c r="G35" s="17"/>
      <c r="H35" s="17"/>
      <c r="I35" s="27"/>
      <c r="J35" s="27"/>
      <c r="K35" s="27"/>
      <c r="L35" s="27"/>
      <c r="M35" s="27"/>
      <c r="N35" s="27"/>
      <c r="O35" s="27"/>
      <c r="P35" s="27"/>
      <c r="Q35" s="27"/>
      <c r="R35" s="27"/>
      <c r="S35" s="27"/>
      <c r="T35" s="986"/>
      <c r="U35" s="986"/>
    </row>
    <row r="36" spans="2:21" hidden="1" x14ac:dyDescent="0.25">
      <c r="B36" s="196"/>
      <c r="C36" s="60"/>
      <c r="D36" s="60"/>
      <c r="E36" s="60"/>
      <c r="F36" s="27"/>
      <c r="G36" s="17"/>
      <c r="H36" s="17"/>
      <c r="I36" s="27"/>
      <c r="J36" s="27"/>
      <c r="K36" s="27"/>
      <c r="L36" s="27"/>
      <c r="M36" s="27"/>
      <c r="N36" s="27"/>
      <c r="O36" s="27"/>
      <c r="P36" s="27"/>
      <c r="Q36" s="27"/>
      <c r="R36" s="27"/>
      <c r="S36" s="27"/>
      <c r="T36" s="986"/>
      <c r="U36" s="986"/>
    </row>
    <row r="37" spans="2:21" hidden="1" x14ac:dyDescent="0.25">
      <c r="B37" s="196"/>
      <c r="C37" s="60"/>
      <c r="D37" s="60"/>
      <c r="E37" s="60"/>
      <c r="F37" s="27"/>
      <c r="G37" s="17"/>
      <c r="H37" s="17"/>
      <c r="I37" s="27"/>
      <c r="J37" s="27"/>
      <c r="K37" s="27"/>
      <c r="L37" s="27"/>
      <c r="M37" s="27"/>
      <c r="N37" s="27"/>
      <c r="O37" s="27"/>
      <c r="P37" s="27"/>
      <c r="Q37" s="27"/>
      <c r="R37" s="27"/>
      <c r="S37" s="27"/>
      <c r="T37" s="986"/>
      <c r="U37" s="986"/>
    </row>
    <row r="38" spans="2:21" hidden="1" x14ac:dyDescent="0.25">
      <c r="B38" s="196"/>
      <c r="C38" s="60"/>
      <c r="D38" s="60"/>
      <c r="E38" s="60"/>
      <c r="F38" s="27"/>
      <c r="G38" s="17"/>
      <c r="H38" s="17"/>
      <c r="I38" s="27"/>
      <c r="J38" s="27"/>
      <c r="K38" s="27"/>
      <c r="L38" s="27"/>
      <c r="M38" s="27"/>
      <c r="N38" s="27"/>
      <c r="O38" s="27"/>
      <c r="P38" s="27"/>
      <c r="Q38" s="27"/>
      <c r="R38" s="27"/>
      <c r="S38" s="27"/>
      <c r="T38" s="986"/>
      <c r="U38" s="986"/>
    </row>
    <row r="39" spans="2:21" hidden="1" x14ac:dyDescent="0.25">
      <c r="B39" s="196"/>
      <c r="C39" s="60"/>
      <c r="D39" s="60"/>
      <c r="E39" s="60"/>
      <c r="F39" s="27"/>
      <c r="G39" s="17"/>
      <c r="H39" s="17"/>
      <c r="I39" s="27"/>
      <c r="J39" s="27"/>
      <c r="K39" s="27"/>
      <c r="L39" s="27"/>
      <c r="M39" s="27"/>
      <c r="N39" s="27"/>
      <c r="O39" s="27"/>
      <c r="P39" s="27"/>
      <c r="Q39" s="27"/>
      <c r="R39" s="27"/>
      <c r="S39" s="27"/>
      <c r="T39" s="986"/>
      <c r="U39" s="986"/>
    </row>
    <row r="40" spans="2:21" hidden="1" x14ac:dyDescent="0.25">
      <c r="B40" s="196"/>
      <c r="C40" s="60"/>
      <c r="D40" s="60"/>
      <c r="E40" s="60"/>
      <c r="F40" s="27"/>
      <c r="G40" s="17"/>
      <c r="H40" s="17"/>
      <c r="I40" s="27"/>
      <c r="J40" s="27"/>
      <c r="K40" s="27"/>
      <c r="L40" s="27"/>
      <c r="M40" s="27"/>
      <c r="N40" s="27"/>
      <c r="O40" s="27"/>
      <c r="P40" s="27"/>
      <c r="Q40" s="27"/>
      <c r="R40" s="27"/>
      <c r="S40" s="27"/>
      <c r="T40" s="986"/>
      <c r="U40" s="986"/>
    </row>
    <row r="41" spans="2:21" hidden="1" x14ac:dyDescent="0.25">
      <c r="B41" s="196"/>
      <c r="C41" s="60"/>
      <c r="D41" s="60"/>
      <c r="E41" s="60"/>
      <c r="F41" s="27"/>
      <c r="G41" s="17"/>
      <c r="H41" s="17"/>
      <c r="I41" s="27"/>
      <c r="J41" s="27"/>
      <c r="K41" s="27"/>
      <c r="L41" s="27"/>
      <c r="M41" s="27"/>
      <c r="N41" s="27"/>
      <c r="O41" s="27"/>
      <c r="P41" s="27"/>
      <c r="Q41" s="27"/>
      <c r="R41" s="27"/>
      <c r="S41" s="27"/>
      <c r="T41" s="986"/>
      <c r="U41" s="986"/>
    </row>
    <row r="42" spans="2:21" hidden="1" x14ac:dyDescent="0.25">
      <c r="B42" s="196"/>
      <c r="C42" s="60"/>
      <c r="D42" s="60"/>
      <c r="E42" s="60"/>
      <c r="F42" s="27"/>
      <c r="G42" s="17"/>
      <c r="H42" s="17"/>
      <c r="I42" s="27"/>
      <c r="J42" s="27"/>
      <c r="K42" s="27"/>
      <c r="L42" s="27"/>
      <c r="M42" s="27"/>
      <c r="N42" s="27"/>
      <c r="O42" s="27"/>
      <c r="P42" s="27"/>
      <c r="Q42" s="27"/>
      <c r="R42" s="27"/>
      <c r="S42" s="27"/>
      <c r="T42" s="986"/>
      <c r="U42" s="986"/>
    </row>
    <row r="43" spans="2:21" hidden="1" x14ac:dyDescent="0.25">
      <c r="B43" s="196"/>
      <c r="C43" s="60"/>
      <c r="D43" s="60"/>
      <c r="E43" s="60"/>
      <c r="F43" s="27"/>
      <c r="G43" s="17"/>
      <c r="H43" s="17"/>
      <c r="I43" s="27"/>
      <c r="J43" s="27"/>
      <c r="K43" s="27"/>
      <c r="L43" s="27"/>
      <c r="M43" s="27"/>
      <c r="N43" s="27"/>
      <c r="O43" s="27"/>
      <c r="P43" s="27"/>
      <c r="Q43" s="27"/>
      <c r="R43" s="27"/>
      <c r="S43" s="27"/>
      <c r="T43" s="986"/>
      <c r="U43" s="986"/>
    </row>
    <row r="44" spans="2:21" hidden="1" x14ac:dyDescent="0.25">
      <c r="B44" s="196"/>
      <c r="C44" s="60"/>
      <c r="D44" s="60"/>
      <c r="E44" s="60"/>
      <c r="F44" s="27"/>
      <c r="G44" s="17"/>
      <c r="H44" s="17"/>
      <c r="I44" s="27"/>
      <c r="J44" s="27"/>
      <c r="K44" s="27"/>
      <c r="L44" s="27"/>
      <c r="M44" s="27"/>
      <c r="N44" s="27"/>
      <c r="O44" s="27"/>
      <c r="P44" s="27"/>
      <c r="Q44" s="27"/>
      <c r="R44" s="27"/>
      <c r="S44" s="27"/>
      <c r="T44" s="986"/>
      <c r="U44" s="986"/>
    </row>
    <row r="45" spans="2:21" hidden="1" x14ac:dyDescent="0.25">
      <c r="B45" s="196"/>
      <c r="C45" s="60"/>
      <c r="D45" s="60"/>
      <c r="E45" s="60"/>
      <c r="F45" s="27"/>
      <c r="G45" s="17"/>
      <c r="H45" s="17"/>
      <c r="I45" s="27"/>
      <c r="J45" s="27"/>
      <c r="K45" s="27"/>
      <c r="L45" s="27"/>
      <c r="M45" s="27"/>
      <c r="N45" s="27"/>
      <c r="O45" s="27"/>
      <c r="P45" s="27"/>
      <c r="Q45" s="27"/>
      <c r="R45" s="27"/>
      <c r="S45" s="27"/>
      <c r="T45" s="986"/>
      <c r="U45" s="986"/>
    </row>
    <row r="46" spans="2:21" hidden="1" x14ac:dyDescent="0.25">
      <c r="B46" s="196"/>
      <c r="C46" s="60"/>
      <c r="D46" s="60"/>
      <c r="E46" s="60"/>
      <c r="F46" s="27"/>
      <c r="G46" s="17"/>
      <c r="H46" s="17"/>
      <c r="I46" s="27"/>
      <c r="J46" s="27"/>
      <c r="K46" s="27"/>
      <c r="L46" s="27"/>
      <c r="M46" s="27"/>
      <c r="N46" s="27"/>
      <c r="O46" s="27"/>
      <c r="P46" s="27"/>
      <c r="Q46" s="27"/>
      <c r="R46" s="27"/>
      <c r="S46" s="27"/>
      <c r="T46" s="986"/>
      <c r="U46" s="986"/>
    </row>
    <row r="47" spans="2:21" hidden="1" x14ac:dyDescent="0.25">
      <c r="B47" s="196"/>
      <c r="C47" s="60"/>
      <c r="D47" s="60"/>
      <c r="E47" s="60"/>
      <c r="F47" s="27"/>
      <c r="G47" s="17"/>
      <c r="H47" s="17"/>
      <c r="I47" s="27"/>
      <c r="J47" s="27"/>
      <c r="K47" s="27"/>
      <c r="L47" s="27"/>
      <c r="M47" s="27"/>
      <c r="N47" s="27"/>
      <c r="O47" s="27"/>
      <c r="P47" s="27"/>
      <c r="Q47" s="27"/>
      <c r="R47" s="27"/>
      <c r="S47" s="27"/>
      <c r="T47" s="986"/>
      <c r="U47" s="986"/>
    </row>
    <row r="48" spans="2:21" hidden="1" x14ac:dyDescent="0.25">
      <c r="B48" s="196"/>
      <c r="C48" s="60"/>
      <c r="D48" s="60"/>
      <c r="E48" s="60"/>
      <c r="F48" s="27"/>
      <c r="G48" s="17"/>
      <c r="H48" s="17"/>
      <c r="I48" s="27"/>
      <c r="J48" s="27"/>
      <c r="K48" s="27"/>
      <c r="L48" s="27"/>
      <c r="M48" s="27"/>
      <c r="N48" s="27"/>
      <c r="O48" s="27"/>
      <c r="P48" s="27"/>
      <c r="Q48" s="27"/>
      <c r="R48" s="27"/>
      <c r="S48" s="27"/>
      <c r="T48" s="986"/>
      <c r="U48" s="986"/>
    </row>
    <row r="49" spans="1:21" hidden="1" x14ac:dyDescent="0.25">
      <c r="B49" s="1120" t="s">
        <v>601</v>
      </c>
      <c r="C49" s="1120"/>
      <c r="D49" s="1120"/>
      <c r="E49" s="1120"/>
      <c r="F49" s="27"/>
      <c r="G49" s="17"/>
      <c r="H49" s="17"/>
      <c r="I49" s="27"/>
      <c r="J49" s="27"/>
      <c r="K49" s="27"/>
      <c r="L49" s="27"/>
      <c r="M49" s="27"/>
      <c r="N49" s="27"/>
      <c r="O49" s="27"/>
      <c r="P49" s="27"/>
      <c r="Q49" s="27"/>
      <c r="R49" s="27"/>
      <c r="S49" s="27"/>
      <c r="T49" s="986"/>
      <c r="U49" s="986"/>
    </row>
    <row r="50" spans="1:21" hidden="1" x14ac:dyDescent="0.25">
      <c r="A50" s="986"/>
      <c r="B50" s="196"/>
      <c r="C50" s="60"/>
      <c r="D50" s="60"/>
      <c r="E50" s="60"/>
      <c r="F50" s="27"/>
      <c r="G50" s="17"/>
      <c r="H50" s="17"/>
      <c r="I50" s="27"/>
      <c r="J50" s="27"/>
      <c r="K50" s="27"/>
      <c r="L50" s="27"/>
      <c r="M50" s="27"/>
      <c r="N50" s="27"/>
      <c r="O50" s="27"/>
      <c r="P50" s="27"/>
      <c r="Q50" s="27"/>
      <c r="R50" s="27"/>
      <c r="S50" s="27"/>
    </row>
    <row r="51" spans="1:21" hidden="1" x14ac:dyDescent="0.25">
      <c r="A51" s="986"/>
      <c r="B51" s="196"/>
      <c r="C51" s="60"/>
      <c r="D51" s="60"/>
      <c r="E51" s="60"/>
      <c r="F51" s="27"/>
      <c r="G51" s="17"/>
      <c r="H51" s="17"/>
      <c r="I51" s="27"/>
      <c r="J51" s="27"/>
      <c r="K51" s="27"/>
      <c r="L51" s="27"/>
      <c r="M51" s="27"/>
      <c r="N51" s="27"/>
      <c r="O51" s="27"/>
      <c r="P51" s="27"/>
      <c r="Q51" s="27"/>
      <c r="R51" s="27"/>
      <c r="S51" s="27"/>
    </row>
    <row r="52" spans="1:21" hidden="1" x14ac:dyDescent="0.25">
      <c r="A52" s="986"/>
      <c r="B52" s="19"/>
      <c r="C52" s="27"/>
      <c r="D52" s="27"/>
      <c r="E52" s="27"/>
      <c r="F52" s="19"/>
      <c r="G52" s="17"/>
      <c r="H52" s="19"/>
      <c r="I52" s="19"/>
      <c r="J52" s="19"/>
      <c r="K52" s="19"/>
      <c r="L52" s="19"/>
      <c r="M52" s="19"/>
      <c r="N52" s="19"/>
      <c r="O52" s="19"/>
      <c r="P52" s="19"/>
      <c r="Q52" s="19"/>
      <c r="R52" s="19"/>
      <c r="S52" s="19"/>
    </row>
    <row r="53" spans="1:21" hidden="1" x14ac:dyDescent="0.25">
      <c r="A53" s="19"/>
      <c r="B53" s="53" t="s">
        <v>0</v>
      </c>
      <c r="C53" s="53"/>
      <c r="D53" s="53"/>
      <c r="E53" s="53"/>
      <c r="F53" s="19"/>
      <c r="G53" s="19"/>
      <c r="H53" s="19"/>
      <c r="I53" s="19"/>
      <c r="J53" s="19"/>
      <c r="K53" s="19"/>
      <c r="L53" s="19"/>
      <c r="M53" s="19"/>
      <c r="N53" s="19"/>
      <c r="O53" s="19"/>
      <c r="P53" s="19"/>
      <c r="Q53" s="19"/>
      <c r="R53" s="19"/>
      <c r="S53" s="19"/>
    </row>
    <row r="54" spans="1:21" hidden="1" x14ac:dyDescent="0.25">
      <c r="A54" s="19"/>
      <c r="B54" s="1162" t="s">
        <v>785</v>
      </c>
      <c r="C54" s="1162"/>
      <c r="D54" s="1162"/>
      <c r="E54" s="1162"/>
      <c r="F54" s="19"/>
      <c r="G54" s="19"/>
      <c r="H54" s="19"/>
      <c r="I54" s="19"/>
      <c r="J54" s="19"/>
      <c r="K54" s="19"/>
      <c r="L54" s="19"/>
      <c r="M54" s="19"/>
      <c r="N54" s="19"/>
      <c r="O54" s="19"/>
      <c r="P54" s="19"/>
      <c r="Q54" s="19"/>
      <c r="R54" s="19"/>
      <c r="S54" s="19"/>
    </row>
    <row r="55" spans="1:21" hidden="1" x14ac:dyDescent="0.25">
      <c r="A55" s="19"/>
      <c r="B55" s="53" t="s">
        <v>620</v>
      </c>
      <c r="C55" s="353"/>
      <c r="D55" s="353"/>
      <c r="E55" s="353"/>
      <c r="F55" s="19"/>
      <c r="G55" s="19"/>
      <c r="H55" s="19"/>
      <c r="I55" s="19"/>
      <c r="J55" s="19"/>
      <c r="K55" s="19"/>
      <c r="L55" s="19"/>
      <c r="M55" s="19"/>
      <c r="N55" s="19"/>
      <c r="O55" s="19"/>
      <c r="P55" s="19"/>
      <c r="Q55" s="19"/>
      <c r="R55" s="19"/>
      <c r="S55" s="19"/>
    </row>
    <row r="56" spans="1:21" hidden="1" x14ac:dyDescent="0.25">
      <c r="A56" s="19"/>
      <c r="B56" s="53"/>
      <c r="C56" s="353"/>
      <c r="D56" s="353"/>
      <c r="E56" s="353"/>
      <c r="F56" s="19"/>
      <c r="G56" s="19"/>
      <c r="H56" s="19"/>
      <c r="I56" s="19"/>
      <c r="J56" s="19"/>
      <c r="K56" s="19"/>
      <c r="L56" s="19"/>
      <c r="M56" s="19"/>
      <c r="N56" s="19"/>
      <c r="O56" s="19"/>
      <c r="P56" s="19"/>
      <c r="Q56" s="19"/>
      <c r="R56" s="19"/>
      <c r="S56" s="19"/>
    </row>
    <row r="57" spans="1:21" hidden="1" x14ac:dyDescent="0.25">
      <c r="A57" s="19">
        <v>28</v>
      </c>
      <c r="B57" s="53" t="str">
        <f>"Note "&amp;A5&amp;": Leases (Contd.)"</f>
        <v>Note 29: Leases (Contd.)</v>
      </c>
      <c r="C57" s="353"/>
      <c r="D57" s="353"/>
      <c r="E57" s="353"/>
      <c r="F57" s="19"/>
      <c r="G57" s="19"/>
      <c r="H57" s="19"/>
      <c r="I57" s="19"/>
      <c r="J57" s="19"/>
      <c r="K57" s="19"/>
      <c r="L57" s="19"/>
      <c r="M57" s="19"/>
      <c r="N57" s="19"/>
      <c r="O57" s="19"/>
      <c r="P57" s="19"/>
      <c r="Q57" s="19"/>
      <c r="R57" s="19"/>
      <c r="S57" s="19"/>
    </row>
    <row r="58" spans="1:21" hidden="1" x14ac:dyDescent="0.25">
      <c r="A58" s="19"/>
      <c r="B58" s="53"/>
      <c r="C58" s="353"/>
      <c r="D58" s="353"/>
      <c r="E58" s="353"/>
      <c r="F58" s="19"/>
      <c r="G58" s="19"/>
      <c r="H58" s="19"/>
      <c r="I58" s="19"/>
      <c r="J58" s="19"/>
      <c r="K58" s="19"/>
      <c r="L58" s="19"/>
      <c r="M58" s="19"/>
      <c r="N58" s="19"/>
      <c r="O58" s="19"/>
      <c r="P58" s="19"/>
      <c r="Q58" s="19"/>
      <c r="R58" s="19"/>
      <c r="S58" s="19"/>
    </row>
    <row r="59" spans="1:21" x14ac:dyDescent="0.25">
      <c r="A59" s="19"/>
      <c r="B59" s="53"/>
      <c r="C59" s="353"/>
      <c r="D59" s="353"/>
      <c r="E59" s="353"/>
      <c r="F59" s="19"/>
      <c r="G59" s="19"/>
      <c r="H59" s="19"/>
      <c r="I59" s="19"/>
      <c r="J59" s="19"/>
      <c r="K59" s="19"/>
      <c r="L59" s="19"/>
      <c r="M59" s="19"/>
      <c r="N59" s="19"/>
      <c r="O59" s="19"/>
      <c r="P59" s="19"/>
      <c r="Q59" s="19"/>
      <c r="R59" s="19"/>
      <c r="S59" s="19"/>
    </row>
    <row r="60" spans="1:21" x14ac:dyDescent="0.25">
      <c r="A60" s="986"/>
      <c r="B60" s="53" t="s">
        <v>984</v>
      </c>
      <c r="C60" s="19"/>
      <c r="D60" s="19"/>
      <c r="E60" s="19"/>
      <c r="F60" s="19"/>
      <c r="G60" s="17"/>
      <c r="H60" s="19"/>
      <c r="I60" s="19"/>
      <c r="J60" s="19"/>
      <c r="K60" s="19"/>
      <c r="L60" s="19"/>
      <c r="M60" s="19"/>
      <c r="N60" s="19"/>
      <c r="O60" s="19"/>
      <c r="P60" s="19"/>
      <c r="Q60" s="19"/>
      <c r="R60" s="19"/>
      <c r="S60" s="19"/>
    </row>
    <row r="61" spans="1:21" s="426" customFormat="1" x14ac:dyDescent="0.35">
      <c r="A61" s="309"/>
      <c r="B61" s="315"/>
      <c r="C61" s="1161" t="s">
        <v>980</v>
      </c>
      <c r="D61" s="1161"/>
      <c r="E61" s="1161"/>
      <c r="G61" s="427"/>
    </row>
    <row r="62" spans="1:21" s="110" customFormat="1" x14ac:dyDescent="0.25">
      <c r="B62" s="53"/>
      <c r="C62" s="71" t="s">
        <v>549</v>
      </c>
      <c r="D62" s="71" t="s">
        <v>734</v>
      </c>
      <c r="E62" s="71" t="s">
        <v>100</v>
      </c>
      <c r="G62" s="17"/>
    </row>
    <row r="63" spans="1:21" s="110" customFormat="1" x14ac:dyDescent="0.25">
      <c r="B63" s="34" t="s">
        <v>985</v>
      </c>
      <c r="C63" s="195"/>
      <c r="D63" s="195"/>
      <c r="E63" s="195"/>
      <c r="G63" s="17"/>
    </row>
    <row r="64" spans="1:21" x14ac:dyDescent="0.25">
      <c r="A64" s="986"/>
      <c r="B64" s="196" t="s">
        <v>986</v>
      </c>
      <c r="C64" s="199">
        <v>278.03887648486739</v>
      </c>
      <c r="D64" s="199" t="s">
        <v>174</v>
      </c>
      <c r="E64" s="199">
        <f>SUM(C64:D64)</f>
        <v>278.03887648486739</v>
      </c>
      <c r="F64" s="17"/>
      <c r="G64" s="17"/>
      <c r="H64" s="17"/>
      <c r="I64" s="17"/>
      <c r="J64" s="17"/>
      <c r="K64" s="17"/>
      <c r="L64" s="17"/>
      <c r="M64" s="17"/>
      <c r="N64" s="17"/>
      <c r="O64" s="17"/>
      <c r="P64" s="17"/>
      <c r="Q64" s="17"/>
      <c r="R64" s="17"/>
      <c r="S64" s="17"/>
    </row>
    <row r="65" spans="1:20" x14ac:dyDescent="0.25">
      <c r="A65" s="986"/>
      <c r="B65" s="83" t="s">
        <v>463</v>
      </c>
      <c r="C65" s="60">
        <v>967.65816390286921</v>
      </c>
      <c r="D65" s="85">
        <v>0</v>
      </c>
      <c r="E65" s="60">
        <f t="shared" ref="E65:E68" si="1">SUM(C65:D65)</f>
        <v>967.65816390286921</v>
      </c>
      <c r="F65" s="60"/>
      <c r="G65" s="17"/>
      <c r="H65" s="17"/>
      <c r="I65" s="17"/>
      <c r="J65" s="17"/>
      <c r="K65" s="17"/>
      <c r="L65" s="17"/>
      <c r="M65" s="17"/>
      <c r="N65" s="17"/>
      <c r="O65" s="17"/>
      <c r="P65" s="17"/>
      <c r="Q65" s="17"/>
      <c r="R65" s="17"/>
      <c r="S65" s="17"/>
    </row>
    <row r="66" spans="1:20" x14ac:dyDescent="0.25">
      <c r="B66" s="83" t="s">
        <v>987</v>
      </c>
      <c r="C66" s="60">
        <v>67.661123118596151</v>
      </c>
      <c r="D66" s="60">
        <v>0</v>
      </c>
      <c r="E66" s="60">
        <f t="shared" si="1"/>
        <v>67.661123118596151</v>
      </c>
      <c r="F66" s="17"/>
      <c r="G66" s="17"/>
      <c r="H66" s="17"/>
      <c r="I66" s="17"/>
      <c r="J66" s="17"/>
      <c r="K66" s="17"/>
      <c r="L66" s="17"/>
      <c r="M66" s="17"/>
      <c r="N66" s="17"/>
      <c r="O66" s="17"/>
      <c r="P66" s="17"/>
      <c r="Q66" s="17"/>
      <c r="R66" s="17"/>
      <c r="S66" s="17"/>
      <c r="T66" s="986"/>
    </row>
    <row r="67" spans="1:20" x14ac:dyDescent="0.25">
      <c r="B67" s="83" t="s">
        <v>988</v>
      </c>
      <c r="C67" s="60">
        <v>-240.91049113140383</v>
      </c>
      <c r="D67" s="60">
        <v>0</v>
      </c>
      <c r="E67" s="60">
        <f t="shared" si="1"/>
        <v>-240.91049113140383</v>
      </c>
      <c r="F67" s="17"/>
      <c r="G67" s="17"/>
      <c r="H67" s="17"/>
      <c r="I67" s="17"/>
      <c r="J67" s="17"/>
      <c r="K67" s="17"/>
      <c r="L67" s="17"/>
      <c r="M67" s="17"/>
      <c r="N67" s="17"/>
      <c r="O67" s="17"/>
      <c r="P67" s="17"/>
      <c r="Q67" s="17"/>
      <c r="R67" s="17"/>
      <c r="S67" s="17"/>
      <c r="T67" s="986"/>
    </row>
    <row r="68" spans="1:20" x14ac:dyDescent="0.25">
      <c r="B68" s="83" t="s">
        <v>989</v>
      </c>
      <c r="C68" s="60">
        <v>-67.661123118596151</v>
      </c>
      <c r="D68" s="60">
        <v>0</v>
      </c>
      <c r="E68" s="60">
        <f t="shared" si="1"/>
        <v>-67.661123118596151</v>
      </c>
      <c r="F68" s="17"/>
      <c r="G68" s="17"/>
      <c r="H68" s="17"/>
      <c r="I68" s="17"/>
      <c r="J68" s="17"/>
      <c r="K68" s="17"/>
      <c r="L68" s="17"/>
      <c r="M68" s="17"/>
      <c r="N68" s="17"/>
      <c r="O68" s="17"/>
      <c r="P68" s="17"/>
      <c r="Q68" s="17"/>
      <c r="R68" s="17"/>
      <c r="S68" s="17"/>
      <c r="T68" s="986"/>
    </row>
    <row r="69" spans="1:20" x14ac:dyDescent="0.25">
      <c r="B69" s="196" t="s">
        <v>466</v>
      </c>
      <c r="C69" s="438">
        <f>SUM(C64:C68)</f>
        <v>1004.7865492563328</v>
      </c>
      <c r="D69" s="438">
        <f>SUM(D64:D68)</f>
        <v>0</v>
      </c>
      <c r="E69" s="438">
        <f>SUM(E64:E68)</f>
        <v>1004.7865492563328</v>
      </c>
      <c r="F69" s="17"/>
      <c r="G69" s="17"/>
      <c r="H69" s="17"/>
      <c r="I69" s="17"/>
      <c r="J69" s="17"/>
      <c r="K69" s="17"/>
      <c r="L69" s="17"/>
      <c r="M69" s="17"/>
      <c r="N69" s="17"/>
      <c r="O69" s="17"/>
      <c r="P69" s="17"/>
      <c r="Q69" s="17"/>
      <c r="R69" s="17"/>
      <c r="S69" s="17"/>
      <c r="T69" s="991"/>
    </row>
    <row r="70" spans="1:20" x14ac:dyDescent="0.25">
      <c r="B70" s="83" t="s">
        <v>463</v>
      </c>
      <c r="C70" s="67"/>
      <c r="D70" s="85">
        <v>379.14852631174006</v>
      </c>
      <c r="E70" s="67">
        <f>SUM(C70:D70)</f>
        <v>379.14852631174006</v>
      </c>
      <c r="F70" s="17"/>
      <c r="G70" s="17"/>
      <c r="H70" s="17"/>
      <c r="I70" s="17"/>
      <c r="J70" s="17"/>
      <c r="K70" s="17"/>
      <c r="L70" s="17"/>
      <c r="M70" s="17"/>
      <c r="N70" s="17"/>
      <c r="O70" s="17"/>
      <c r="P70" s="17"/>
      <c r="Q70" s="17"/>
      <c r="R70" s="17"/>
      <c r="S70" s="17"/>
      <c r="T70" s="986"/>
    </row>
    <row r="71" spans="1:20" x14ac:dyDescent="0.25">
      <c r="B71" s="83" t="s">
        <v>987</v>
      </c>
      <c r="C71" s="67">
        <v>80.123782516694121</v>
      </c>
      <c r="D71" s="85">
        <v>26.162894638098898</v>
      </c>
      <c r="E71" s="67">
        <f t="shared" ref="E71:E74" si="2">SUM(C71:D71)</f>
        <v>106.28667715479301</v>
      </c>
      <c r="F71" s="17"/>
      <c r="G71" s="17"/>
      <c r="H71" s="17"/>
      <c r="I71" s="17"/>
      <c r="J71" s="17"/>
      <c r="K71" s="17"/>
      <c r="L71" s="17"/>
      <c r="M71" s="17"/>
      <c r="N71" s="17"/>
      <c r="O71" s="17"/>
      <c r="P71" s="17"/>
      <c r="Q71" s="17"/>
      <c r="R71" s="17"/>
      <c r="S71" s="17"/>
      <c r="T71" s="986"/>
    </row>
    <row r="72" spans="1:20" x14ac:dyDescent="0.25">
      <c r="B72" s="83" t="s">
        <v>988</v>
      </c>
      <c r="C72" s="67">
        <v>-314.57407598330599</v>
      </c>
      <c r="D72" s="85">
        <v>-11.942314626226427</v>
      </c>
      <c r="E72" s="67">
        <f>SUM(C72:D72)</f>
        <v>-326.51639060953244</v>
      </c>
      <c r="F72" s="17"/>
      <c r="G72" s="17"/>
      <c r="H72" s="17"/>
      <c r="I72" s="17"/>
      <c r="J72" s="17"/>
      <c r="K72" s="17"/>
      <c r="L72" s="17"/>
      <c r="M72" s="17"/>
      <c r="N72" s="17"/>
      <c r="O72" s="17"/>
      <c r="P72" s="17"/>
      <c r="Q72" s="17"/>
      <c r="R72" s="17"/>
      <c r="S72" s="17"/>
      <c r="T72" s="986"/>
    </row>
    <row r="73" spans="1:20" x14ac:dyDescent="0.25">
      <c r="B73" s="83" t="s">
        <v>989</v>
      </c>
      <c r="C73" s="67">
        <v>-80.123782516694121</v>
      </c>
      <c r="D73" s="85">
        <v>-26.162894638098898</v>
      </c>
      <c r="E73" s="67">
        <f t="shared" si="2"/>
        <v>-106.28667715479301</v>
      </c>
      <c r="F73" s="17"/>
      <c r="G73" s="17"/>
      <c r="H73" s="17"/>
      <c r="I73" s="17"/>
      <c r="J73" s="17"/>
      <c r="K73" s="17"/>
      <c r="L73" s="17"/>
      <c r="M73" s="17"/>
      <c r="N73" s="17"/>
      <c r="O73" s="17"/>
      <c r="P73" s="17"/>
      <c r="Q73" s="17"/>
      <c r="R73" s="17"/>
      <c r="S73" s="17"/>
      <c r="T73" s="986"/>
    </row>
    <row r="74" spans="1:20" x14ac:dyDescent="0.25">
      <c r="B74" s="83" t="s">
        <v>2874</v>
      </c>
      <c r="C74" s="67"/>
      <c r="D74" s="85">
        <v>-40.172190388170058</v>
      </c>
      <c r="E74" s="67">
        <f t="shared" si="2"/>
        <v>-40.172190388170058</v>
      </c>
      <c r="F74" s="17"/>
      <c r="G74" s="17"/>
      <c r="H74" s="17"/>
      <c r="I74" s="17"/>
      <c r="J74" s="17"/>
      <c r="K74" s="17"/>
      <c r="L74" s="17"/>
      <c r="M74" s="17"/>
      <c r="N74" s="17"/>
      <c r="O74" s="17"/>
      <c r="P74" s="17"/>
      <c r="Q74" s="17"/>
      <c r="R74" s="17"/>
      <c r="S74" s="17"/>
      <c r="T74" s="986"/>
    </row>
    <row r="75" spans="1:20" ht="12" thickBot="1" x14ac:dyDescent="0.3">
      <c r="B75" s="196" t="s">
        <v>469</v>
      </c>
      <c r="C75" s="545">
        <f>SUM(C69:C74)</f>
        <v>690.21247327302672</v>
      </c>
      <c r="D75" s="545">
        <f>SUM(D69:D74)</f>
        <v>327.03402129734354</v>
      </c>
      <c r="E75" s="545">
        <f>SUM(E69:E74)</f>
        <v>1017.2464945703705</v>
      </c>
      <c r="F75" s="17"/>
      <c r="G75" s="17"/>
      <c r="H75" s="17"/>
      <c r="I75" s="17"/>
      <c r="J75" s="17"/>
      <c r="K75" s="17"/>
      <c r="L75" s="17"/>
      <c r="M75" s="17"/>
      <c r="N75" s="17"/>
      <c r="O75" s="17"/>
      <c r="P75" s="17"/>
      <c r="Q75" s="17"/>
      <c r="R75" s="17"/>
      <c r="S75" s="17"/>
      <c r="T75" s="986"/>
    </row>
    <row r="76" spans="1:20" ht="12" thickTop="1" x14ac:dyDescent="0.25">
      <c r="B76" s="196"/>
      <c r="C76" s="119"/>
      <c r="D76" s="119"/>
      <c r="E76" s="119"/>
      <c r="F76" s="17"/>
      <c r="G76" s="17"/>
      <c r="H76" s="17"/>
      <c r="I76" s="17"/>
      <c r="J76" s="17"/>
      <c r="K76" s="17"/>
      <c r="L76" s="17"/>
      <c r="M76" s="17"/>
      <c r="N76" s="17"/>
      <c r="O76" s="17"/>
      <c r="P76" s="17"/>
      <c r="Q76" s="17"/>
      <c r="R76" s="17"/>
      <c r="S76" s="17"/>
      <c r="T76" s="986"/>
    </row>
    <row r="77" spans="1:20" x14ac:dyDescent="0.25">
      <c r="B77" s="19" t="s">
        <v>990</v>
      </c>
      <c r="C77" s="119"/>
      <c r="D77" s="119"/>
      <c r="E77" s="119"/>
      <c r="F77" s="17"/>
      <c r="G77" s="17"/>
      <c r="H77" s="17"/>
      <c r="I77" s="17"/>
      <c r="J77" s="17"/>
      <c r="K77" s="17"/>
      <c r="L77" s="17"/>
      <c r="M77" s="17"/>
      <c r="N77" s="17"/>
      <c r="O77" s="17"/>
      <c r="P77" s="17"/>
      <c r="Q77" s="17"/>
      <c r="R77" s="17"/>
      <c r="S77" s="17"/>
      <c r="T77" s="986"/>
    </row>
    <row r="78" spans="1:20" x14ac:dyDescent="0.25">
      <c r="B78" s="196"/>
      <c r="C78" s="79"/>
      <c r="D78" s="79"/>
      <c r="E78" s="79"/>
      <c r="F78" s="19"/>
      <c r="G78" s="19"/>
      <c r="H78" s="19"/>
      <c r="I78" s="19"/>
      <c r="J78" s="19"/>
      <c r="K78" s="19"/>
      <c r="L78" s="19"/>
      <c r="M78" s="19"/>
      <c r="N78" s="19"/>
      <c r="O78" s="19"/>
      <c r="P78" s="19"/>
      <c r="Q78" s="19"/>
      <c r="R78" s="19"/>
      <c r="S78" s="19"/>
      <c r="T78" s="986"/>
    </row>
    <row r="79" spans="1:20" x14ac:dyDescent="0.25">
      <c r="B79" s="196"/>
      <c r="C79" s="89"/>
      <c r="D79" s="294" t="s">
        <v>469</v>
      </c>
      <c r="E79" s="294" t="s">
        <v>466</v>
      </c>
      <c r="F79" s="19"/>
      <c r="G79" s="19"/>
      <c r="H79" s="19"/>
      <c r="I79" s="19"/>
      <c r="J79" s="19"/>
      <c r="K79" s="19"/>
      <c r="L79" s="19"/>
      <c r="M79" s="19"/>
      <c r="N79" s="19"/>
      <c r="O79" s="19"/>
      <c r="P79" s="19"/>
      <c r="Q79" s="19"/>
      <c r="R79" s="19"/>
      <c r="S79" s="19"/>
      <c r="T79" s="986"/>
    </row>
    <row r="80" spans="1:20" hidden="1" x14ac:dyDescent="0.25">
      <c r="B80" s="196"/>
      <c r="C80" s="89"/>
      <c r="D80" s="89"/>
      <c r="E80" s="89"/>
      <c r="F80" s="19"/>
      <c r="G80" s="19"/>
      <c r="H80" s="19"/>
      <c r="I80" s="19"/>
      <c r="J80" s="19"/>
      <c r="K80" s="19"/>
      <c r="L80" s="19"/>
      <c r="M80" s="19"/>
      <c r="N80" s="19"/>
      <c r="O80" s="19"/>
      <c r="P80" s="19"/>
      <c r="Q80" s="19"/>
      <c r="R80" s="19"/>
      <c r="S80" s="19"/>
      <c r="T80" s="986"/>
    </row>
    <row r="81" spans="2:20" x14ac:dyDescent="0.25">
      <c r="B81" s="83" t="s">
        <v>991</v>
      </c>
      <c r="C81" s="60"/>
      <c r="D81" s="60">
        <f>(E75-D82)+1</f>
        <v>691.50412059067753</v>
      </c>
      <c r="E81" s="60">
        <v>690.21247327302785</v>
      </c>
      <c r="F81" s="17"/>
      <c r="G81" s="19"/>
      <c r="H81" s="19"/>
      <c r="I81" s="19"/>
      <c r="J81" s="19"/>
      <c r="K81" s="19"/>
      <c r="L81" s="19"/>
      <c r="M81" s="19"/>
      <c r="N81" s="19"/>
      <c r="O81" s="19"/>
      <c r="P81" s="19"/>
      <c r="Q81" s="19"/>
      <c r="R81" s="19"/>
      <c r="S81" s="19"/>
      <c r="T81" s="986"/>
    </row>
    <row r="82" spans="2:20" x14ac:dyDescent="0.25">
      <c r="B82" s="83" t="s">
        <v>510</v>
      </c>
      <c r="C82" s="60"/>
      <c r="D82" s="60">
        <f>325.742373979693+1</f>
        <v>326.74237397969301</v>
      </c>
      <c r="E82" s="60">
        <v>314.57407598330502</v>
      </c>
      <c r="F82" s="19"/>
      <c r="G82" s="19"/>
      <c r="H82" s="19"/>
      <c r="I82" s="19"/>
      <c r="J82" s="19"/>
      <c r="K82" s="19"/>
      <c r="L82" s="19"/>
      <c r="M82" s="19"/>
      <c r="N82" s="19"/>
      <c r="O82" s="19"/>
      <c r="P82" s="19"/>
      <c r="Q82" s="19"/>
      <c r="R82" s="19"/>
      <c r="S82" s="19"/>
      <c r="T82" s="986"/>
    </row>
    <row r="83" spans="2:20" ht="12" thickBot="1" x14ac:dyDescent="0.3">
      <c r="B83" s="196"/>
      <c r="C83" s="119"/>
      <c r="D83" s="545">
        <f>SUM(D81:D82)</f>
        <v>1018.2464945703705</v>
      </c>
      <c r="E83" s="545">
        <f>SUM(E81:E82)</f>
        <v>1004.7865492563328</v>
      </c>
      <c r="F83" s="19"/>
      <c r="G83" s="19"/>
      <c r="H83" s="19"/>
      <c r="I83" s="19"/>
      <c r="J83" s="19"/>
      <c r="K83" s="19"/>
      <c r="L83" s="19"/>
      <c r="M83" s="19"/>
      <c r="N83" s="19"/>
      <c r="O83" s="19"/>
      <c r="P83" s="19"/>
      <c r="Q83" s="19"/>
      <c r="R83" s="19"/>
      <c r="S83" s="19"/>
    </row>
    <row r="84" spans="2:20" ht="12" thickTop="1" x14ac:dyDescent="0.25">
      <c r="B84" s="196"/>
      <c r="C84" s="196"/>
      <c r="D84" s="563"/>
      <c r="E84" s="563"/>
      <c r="F84" s="19"/>
      <c r="G84" s="19"/>
      <c r="H84" s="19"/>
      <c r="I84" s="19"/>
      <c r="J84" s="19"/>
      <c r="K84" s="19"/>
      <c r="L84" s="19"/>
      <c r="M84" s="19"/>
      <c r="N84" s="19"/>
      <c r="O84" s="19"/>
      <c r="P84" s="19"/>
      <c r="Q84" s="19"/>
      <c r="R84" s="19"/>
      <c r="S84" s="19"/>
    </row>
    <row r="85" spans="2:20" x14ac:dyDescent="0.25">
      <c r="B85" s="196" t="s">
        <v>992</v>
      </c>
      <c r="C85" s="89"/>
      <c r="D85" s="294" t="str">
        <f>D79</f>
        <v>As at 31 March 2025</v>
      </c>
      <c r="E85" s="294" t="str">
        <f>E79</f>
        <v>As at 31 March 2024</v>
      </c>
      <c r="F85" s="19"/>
      <c r="G85" s="986"/>
      <c r="H85" s="986"/>
      <c r="I85" s="986"/>
      <c r="J85" s="986"/>
      <c r="K85" s="986"/>
      <c r="L85" s="986"/>
      <c r="M85" s="986"/>
      <c r="N85" s="986"/>
      <c r="O85" s="986"/>
      <c r="P85" s="986"/>
      <c r="Q85" s="986"/>
      <c r="R85" s="986"/>
      <c r="S85" s="986"/>
    </row>
    <row r="86" spans="2:20" hidden="1" x14ac:dyDescent="0.25">
      <c r="B86" s="196"/>
      <c r="C86" s="119"/>
      <c r="D86" s="89"/>
      <c r="E86" s="89"/>
      <c r="F86" s="19"/>
      <c r="G86" s="986"/>
      <c r="H86" s="986"/>
      <c r="I86" s="986"/>
      <c r="J86" s="986"/>
      <c r="K86" s="986"/>
      <c r="L86" s="986"/>
      <c r="M86" s="986"/>
      <c r="N86" s="986"/>
      <c r="O86" s="986"/>
      <c r="P86" s="986"/>
      <c r="Q86" s="986"/>
      <c r="R86" s="986"/>
      <c r="S86" s="986"/>
    </row>
    <row r="87" spans="2:20" x14ac:dyDescent="0.25">
      <c r="B87" s="83" t="s">
        <v>993</v>
      </c>
      <c r="C87" s="67"/>
      <c r="D87" s="60">
        <v>407.30901270702407</v>
      </c>
      <c r="E87" s="60">
        <v>394.69785850000005</v>
      </c>
      <c r="F87" s="19"/>
      <c r="G87" s="986"/>
      <c r="H87" s="986"/>
      <c r="I87" s="986"/>
      <c r="J87" s="986"/>
      <c r="K87" s="986"/>
      <c r="L87" s="986"/>
      <c r="M87" s="986"/>
      <c r="N87" s="986"/>
      <c r="O87" s="986"/>
      <c r="P87" s="986"/>
      <c r="Q87" s="986"/>
      <c r="R87" s="986"/>
      <c r="S87" s="986"/>
    </row>
    <row r="88" spans="2:20" x14ac:dyDescent="0.25">
      <c r="B88" s="83" t="s">
        <v>994</v>
      </c>
      <c r="C88" s="67"/>
      <c r="D88" s="60">
        <v>765.73743398525869</v>
      </c>
      <c r="E88" s="60">
        <v>775.29845802499983</v>
      </c>
      <c r="F88" s="19"/>
      <c r="G88" s="986"/>
      <c r="H88" s="986"/>
      <c r="I88" s="986"/>
      <c r="J88" s="986"/>
      <c r="K88" s="986"/>
      <c r="L88" s="986"/>
      <c r="M88" s="986"/>
      <c r="N88" s="986"/>
      <c r="O88" s="986"/>
      <c r="P88" s="986"/>
      <c r="Q88" s="986"/>
      <c r="R88" s="986"/>
      <c r="S88" s="986"/>
    </row>
    <row r="89" spans="2:20" x14ac:dyDescent="0.25">
      <c r="B89" s="83" t="s">
        <v>995</v>
      </c>
      <c r="C89" s="67"/>
      <c r="D89" s="60">
        <v>-155.75936002068462</v>
      </c>
      <c r="E89" s="60">
        <v>-165.20976726866886</v>
      </c>
      <c r="F89" s="19"/>
      <c r="G89" s="986"/>
      <c r="H89" s="986"/>
      <c r="I89" s="986"/>
      <c r="J89" s="986"/>
      <c r="K89" s="986"/>
      <c r="L89" s="986"/>
      <c r="M89" s="986"/>
      <c r="N89" s="986"/>
      <c r="O89" s="986"/>
      <c r="P89" s="986"/>
      <c r="Q89" s="986"/>
      <c r="R89" s="986"/>
      <c r="S89" s="986"/>
    </row>
    <row r="90" spans="2:20" ht="12" thickBot="1" x14ac:dyDescent="0.3">
      <c r="B90" s="196"/>
      <c r="C90" s="119"/>
      <c r="D90" s="545">
        <f>SUM(D87:D89)</f>
        <v>1017.287086671598</v>
      </c>
      <c r="E90" s="545">
        <f>SUM(E87:E89)</f>
        <v>1004.786549256331</v>
      </c>
      <c r="F90" s="19"/>
      <c r="G90" s="979">
        <f>D83-D90</f>
        <v>0.95940789877249699</v>
      </c>
      <c r="H90" s="986"/>
      <c r="I90" s="986"/>
      <c r="J90" s="986"/>
      <c r="K90" s="986"/>
      <c r="L90" s="986"/>
      <c r="M90" s="986"/>
      <c r="N90" s="986"/>
      <c r="O90" s="986"/>
      <c r="P90" s="986"/>
      <c r="Q90" s="986"/>
      <c r="R90" s="986"/>
      <c r="S90" s="986"/>
    </row>
    <row r="91" spans="2:20" ht="12" thickTop="1" x14ac:dyDescent="0.25">
      <c r="B91" s="986"/>
      <c r="C91" s="986"/>
      <c r="D91" s="986"/>
      <c r="E91" s="986"/>
      <c r="F91" s="986"/>
      <c r="G91" s="986"/>
      <c r="H91" s="986"/>
      <c r="I91" s="986"/>
      <c r="J91" s="986"/>
      <c r="K91" s="986"/>
      <c r="L91" s="986"/>
      <c r="M91" s="986"/>
      <c r="N91" s="986"/>
      <c r="O91" s="986"/>
      <c r="P91" s="986"/>
      <c r="Q91" s="986"/>
      <c r="R91" s="986"/>
      <c r="S91" s="986"/>
    </row>
    <row r="92" spans="2:20" x14ac:dyDescent="0.25">
      <c r="B92" s="196" t="s">
        <v>996</v>
      </c>
      <c r="C92" s="119"/>
      <c r="D92" s="294" t="str">
        <f>D79</f>
        <v>As at 31 March 2025</v>
      </c>
      <c r="E92" s="294" t="str">
        <f>E79</f>
        <v>As at 31 March 2024</v>
      </c>
      <c r="F92" s="19"/>
      <c r="G92" s="986"/>
      <c r="H92" s="986"/>
      <c r="I92" s="986"/>
      <c r="J92" s="986"/>
      <c r="K92" s="986"/>
      <c r="L92" s="986"/>
      <c r="M92" s="986"/>
      <c r="N92" s="986"/>
      <c r="O92" s="986"/>
      <c r="P92" s="986"/>
      <c r="Q92" s="986"/>
      <c r="R92" s="986"/>
      <c r="S92" s="986"/>
    </row>
    <row r="93" spans="2:20" x14ac:dyDescent="0.25">
      <c r="B93" s="83" t="s">
        <v>997</v>
      </c>
      <c r="C93" s="60"/>
      <c r="D93" s="60">
        <f>E27</f>
        <v>342.02850731632248</v>
      </c>
      <c r="E93" s="60">
        <v>238.67974872895698</v>
      </c>
      <c r="F93" s="17"/>
      <c r="G93" s="986"/>
      <c r="H93" s="986"/>
      <c r="I93" s="986"/>
      <c r="J93" s="986"/>
      <c r="K93" s="986"/>
      <c r="L93" s="986"/>
      <c r="M93" s="986"/>
      <c r="N93" s="986"/>
      <c r="O93" s="986"/>
      <c r="P93" s="986"/>
      <c r="Q93" s="986"/>
      <c r="R93" s="986"/>
      <c r="S93" s="986"/>
    </row>
    <row r="94" spans="2:20" x14ac:dyDescent="0.25">
      <c r="B94" s="83" t="s">
        <v>998</v>
      </c>
      <c r="C94" s="60"/>
      <c r="D94" s="979">
        <f>E71</f>
        <v>106.28667715479301</v>
      </c>
      <c r="E94" s="60">
        <v>67.661123118596151</v>
      </c>
      <c r="F94" s="19"/>
      <c r="G94" s="986"/>
      <c r="H94" s="986"/>
      <c r="I94" s="986"/>
      <c r="J94" s="986"/>
      <c r="K94" s="986"/>
      <c r="L94" s="986"/>
      <c r="M94" s="986"/>
      <c r="N94" s="986"/>
      <c r="O94" s="986"/>
      <c r="P94" s="986"/>
      <c r="Q94" s="986"/>
      <c r="R94" s="986"/>
      <c r="S94" s="986"/>
    </row>
    <row r="95" spans="2:20" x14ac:dyDescent="0.25">
      <c r="B95" s="83" t="s">
        <v>999</v>
      </c>
      <c r="C95" s="986"/>
      <c r="D95" s="979">
        <f>SUM('17-25'!D181:D182)</f>
        <v>0.48516280000001194</v>
      </c>
      <c r="E95" s="1020">
        <v>74</v>
      </c>
      <c r="F95" s="986"/>
      <c r="G95" s="986"/>
      <c r="H95" s="986"/>
      <c r="I95" s="986"/>
      <c r="J95" s="986"/>
      <c r="K95" s="986"/>
      <c r="L95" s="986"/>
      <c r="M95" s="986"/>
      <c r="N95" s="986"/>
      <c r="O95" s="986"/>
      <c r="P95" s="986"/>
      <c r="Q95" s="986"/>
      <c r="R95" s="986"/>
      <c r="S95" s="986"/>
    </row>
    <row r="96" spans="2:20" ht="12" thickBot="1" x14ac:dyDescent="0.3">
      <c r="B96" s="986"/>
      <c r="C96" s="986"/>
      <c r="D96" s="112">
        <f>SUM(D93:D95)</f>
        <v>448.80034727111547</v>
      </c>
      <c r="E96" s="112">
        <f>SUM(E93:E95)</f>
        <v>380.3408718475531</v>
      </c>
      <c r="F96" s="986"/>
      <c r="G96" s="986"/>
      <c r="H96" s="986"/>
      <c r="I96" s="986"/>
      <c r="J96" s="986"/>
      <c r="K96" s="986"/>
      <c r="L96" s="986"/>
      <c r="M96" s="986"/>
      <c r="N96" s="986"/>
      <c r="O96" s="986"/>
      <c r="P96" s="986"/>
      <c r="Q96" s="986"/>
      <c r="R96" s="986"/>
      <c r="S96" s="986"/>
    </row>
    <row r="97" spans="2:19" ht="9" customHeight="1" thickTop="1" x14ac:dyDescent="0.25">
      <c r="B97" s="986"/>
      <c r="C97" s="986"/>
      <c r="D97" s="770"/>
      <c r="E97" s="770"/>
      <c r="F97" s="986"/>
      <c r="G97" s="986"/>
      <c r="H97" s="986"/>
      <c r="I97" s="986"/>
      <c r="J97" s="986"/>
      <c r="K97" s="986"/>
      <c r="L97" s="986"/>
      <c r="M97" s="986"/>
      <c r="N97" s="986"/>
      <c r="O97" s="986"/>
      <c r="P97" s="986"/>
      <c r="Q97" s="986"/>
      <c r="R97" s="986"/>
      <c r="S97" s="986"/>
    </row>
    <row r="98" spans="2:19" x14ac:dyDescent="0.25">
      <c r="B98" s="986" t="s">
        <v>1000</v>
      </c>
      <c r="C98" s="986"/>
      <c r="D98" s="780" t="str">
        <f>D92</f>
        <v>As at 31 March 2025</v>
      </c>
      <c r="E98" s="780" t="str">
        <f>E92</f>
        <v>As at 31 March 2024</v>
      </c>
      <c r="F98" s="986"/>
      <c r="G98" s="986"/>
      <c r="H98" s="986"/>
      <c r="I98" s="986"/>
      <c r="J98" s="986"/>
      <c r="K98" s="986"/>
      <c r="L98" s="986"/>
      <c r="M98" s="986"/>
      <c r="N98" s="986"/>
      <c r="O98" s="986"/>
      <c r="P98" s="986"/>
      <c r="Q98" s="986"/>
      <c r="R98" s="986"/>
      <c r="S98" s="986"/>
    </row>
    <row r="99" spans="2:19" x14ac:dyDescent="0.25">
      <c r="B99" s="5" t="s">
        <v>1001</v>
      </c>
      <c r="C99" s="986"/>
      <c r="D99" s="912">
        <f>E103</f>
        <v>375.09718146349661</v>
      </c>
      <c r="E99" s="843">
        <v>0</v>
      </c>
    </row>
    <row r="100" spans="2:19" x14ac:dyDescent="0.25">
      <c r="B100" s="986" t="s">
        <v>463</v>
      </c>
      <c r="C100" s="986"/>
      <c r="D100" s="1020"/>
      <c r="E100" s="1020">
        <v>355.01509534375799</v>
      </c>
    </row>
    <row r="101" spans="2:19" x14ac:dyDescent="0.25">
      <c r="B101" s="986" t="s">
        <v>1002</v>
      </c>
      <c r="C101" s="986"/>
      <c r="D101" s="1020">
        <f>'17-25'!D80</f>
        <v>27.460329881389299</v>
      </c>
      <c r="E101" s="1020">
        <v>20.082086119738602</v>
      </c>
    </row>
    <row r="102" spans="2:19" x14ac:dyDescent="0.25">
      <c r="B102" s="986" t="s">
        <v>1003</v>
      </c>
      <c r="C102" s="986"/>
      <c r="D102" s="1045">
        <v>0</v>
      </c>
      <c r="E102" s="1046">
        <v>0</v>
      </c>
    </row>
    <row r="103" spans="2:19" ht="12" thickBot="1" x14ac:dyDescent="0.3">
      <c r="B103" s="5" t="s">
        <v>469</v>
      </c>
      <c r="C103" s="986"/>
      <c r="D103" s="823">
        <f>SUM(D98:D102)</f>
        <v>402.55751134488594</v>
      </c>
      <c r="E103" s="823">
        <f>SUM(E98:E102)</f>
        <v>375.09718146349661</v>
      </c>
    </row>
    <row r="104" spans="2:19" ht="12" thickTop="1" x14ac:dyDescent="0.25">
      <c r="B104" s="5"/>
      <c r="C104" s="986"/>
      <c r="D104" s="779"/>
      <c r="E104" s="779"/>
    </row>
    <row r="105" spans="2:19" x14ac:dyDescent="0.25">
      <c r="B105" s="5" t="s">
        <v>1004</v>
      </c>
      <c r="C105" s="986"/>
      <c r="D105" s="781" t="str">
        <f>D98</f>
        <v>As at 31 March 2025</v>
      </c>
      <c r="E105" s="781" t="str">
        <f>E98</f>
        <v>As at 31 March 2024</v>
      </c>
    </row>
    <row r="106" spans="2:19" x14ac:dyDescent="0.25">
      <c r="B106" s="986" t="s">
        <v>1005</v>
      </c>
      <c r="C106" s="986"/>
      <c r="D106" s="1047">
        <v>0.08</v>
      </c>
      <c r="E106" s="1047">
        <v>0.08</v>
      </c>
    </row>
    <row r="107" spans="2:19" x14ac:dyDescent="0.25">
      <c r="B107" s="986" t="s">
        <v>1006</v>
      </c>
      <c r="C107" s="986"/>
      <c r="D107" s="1047">
        <v>9.4700000000000006E-2</v>
      </c>
      <c r="E107" s="1047">
        <v>9.4700000000000006E-2</v>
      </c>
    </row>
    <row r="108" spans="2:19" x14ac:dyDescent="0.25">
      <c r="B108" s="986" t="s">
        <v>1007</v>
      </c>
      <c r="C108" s="986"/>
      <c r="D108" s="1047">
        <f>0</f>
        <v>0</v>
      </c>
      <c r="E108" s="1047">
        <v>8.4000000000000005E-2</v>
      </c>
    </row>
    <row r="109" spans="2:19" x14ac:dyDescent="0.25">
      <c r="B109" s="986" t="s">
        <v>734</v>
      </c>
      <c r="C109" s="986"/>
      <c r="D109" s="1048">
        <v>8.5000000000000006E-2</v>
      </c>
      <c r="E109" s="1049">
        <v>0</v>
      </c>
    </row>
    <row r="117" spans="2:5" x14ac:dyDescent="0.25">
      <c r="B117" s="1120"/>
      <c r="C117" s="1120"/>
      <c r="D117" s="1120"/>
      <c r="E117" s="1120"/>
    </row>
  </sheetData>
  <mergeCells count="5">
    <mergeCell ref="B117:E117"/>
    <mergeCell ref="C61:E61"/>
    <mergeCell ref="C9:E9"/>
    <mergeCell ref="B54:E54"/>
    <mergeCell ref="B49:E49"/>
  </mergeCells>
  <pageMargins left="0.23622047244094491" right="0.23622047244094491" top="0.74803149606299213" bottom="0.74803149606299213" header="0.31496062992125984" footer="0.31496062992125984"/>
  <pageSetup paperSize="9" scale="74"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1FF6B-7B6A-4788-B942-24F8CE15BFD1}">
  <sheetPr>
    <tabColor rgb="FF7030A0"/>
  </sheetPr>
  <dimension ref="A1:Q427"/>
  <sheetViews>
    <sheetView showGridLines="0" view="pageBreakPreview" zoomScale="90" zoomScaleNormal="100" zoomScaleSheetLayoutView="90" workbookViewId="0">
      <selection activeCell="F39" sqref="F39"/>
    </sheetView>
  </sheetViews>
  <sheetFormatPr defaultColWidth="9.1796875" defaultRowHeight="11.5" x14ac:dyDescent="0.35"/>
  <cols>
    <col min="1" max="1" width="2.81640625" style="110" customWidth="1"/>
    <col min="2" max="2" width="3.1796875" style="110" bestFit="1" customWidth="1"/>
    <col min="3" max="3" width="20.6328125" style="308" customWidth="1"/>
    <col min="4" max="4" width="16.81640625" style="287" bestFit="1" customWidth="1"/>
    <col min="5" max="5" width="33" style="287" customWidth="1"/>
    <col min="6" max="6" width="13.81640625" style="287" customWidth="1"/>
    <col min="7" max="7" width="22.453125" style="287" bestFit="1" customWidth="1"/>
    <col min="8" max="8" width="13.453125" style="471" customWidth="1"/>
    <col min="9" max="9" width="13" style="471" customWidth="1"/>
    <col min="10" max="10" width="13.453125" style="110" bestFit="1" customWidth="1"/>
    <col min="11" max="11" width="16.453125" style="110" bestFit="1" customWidth="1"/>
    <col min="12" max="12" width="9.81640625" style="110" bestFit="1" customWidth="1"/>
    <col min="13" max="13" width="9.1796875" style="110"/>
    <col min="14" max="14" width="14.81640625" style="110" bestFit="1" customWidth="1"/>
    <col min="15" max="15" width="11.1796875" style="110" bestFit="1" customWidth="1"/>
    <col min="16" max="16" width="30.81640625" style="110" bestFit="1" customWidth="1"/>
    <col min="17" max="17" width="10.453125" style="110" bestFit="1" customWidth="1"/>
    <col min="18" max="16384" width="9.1796875" style="110"/>
  </cols>
  <sheetData>
    <row r="1" spans="1:17" x14ac:dyDescent="0.35">
      <c r="B1" s="285" t="str">
        <f>'Leases 29'!B1</f>
        <v>Paladion Networks Private Limited</v>
      </c>
    </row>
    <row r="2" spans="1:17" x14ac:dyDescent="0.35">
      <c r="B2" s="285" t="str">
        <f>'Leases 29'!B2</f>
        <v>Summary of Material accounting policies and other explanatory information</v>
      </c>
    </row>
    <row r="3" spans="1:17" ht="12" x14ac:dyDescent="0.35">
      <c r="B3" s="383" t="str">
        <f>'Leases 29'!B3</f>
        <v>(Amounts are stated in ₹ lakhs, except share and per share data, unless ottherwise stated)</v>
      </c>
    </row>
    <row r="4" spans="1:17" x14ac:dyDescent="0.35">
      <c r="B4" s="117"/>
    </row>
    <row r="5" spans="1:17" x14ac:dyDescent="0.35">
      <c r="A5" s="110">
        <f>'Leases 29'!A5+1</f>
        <v>30</v>
      </c>
      <c r="B5" s="214" t="str">
        <f>"Note "&amp;A5&amp;": Related party transactions"</f>
        <v>Note 30: Related party transactions</v>
      </c>
      <c r="C5" s="353"/>
      <c r="D5" s="524"/>
      <c r="E5" s="524"/>
      <c r="F5" s="524"/>
      <c r="H5" s="634"/>
      <c r="I5" s="634"/>
      <c r="K5" s="618"/>
      <c r="L5" s="618"/>
      <c r="M5" s="618"/>
      <c r="N5" s="618"/>
      <c r="O5" s="4"/>
      <c r="P5" s="618"/>
      <c r="Q5" s="618"/>
    </row>
    <row r="6" spans="1:17" x14ac:dyDescent="0.35">
      <c r="B6" s="1105" t="s">
        <v>1008</v>
      </c>
      <c r="C6" s="1105"/>
      <c r="D6" s="1105"/>
      <c r="E6" s="1105"/>
      <c r="F6" s="1105"/>
      <c r="G6" s="1105"/>
      <c r="H6" s="1105"/>
      <c r="I6" s="1105"/>
      <c r="K6" s="618"/>
      <c r="L6" s="618"/>
      <c r="M6" s="618"/>
      <c r="N6" s="618"/>
      <c r="O6" s="4"/>
      <c r="P6" s="507"/>
      <c r="Q6" s="507"/>
    </row>
    <row r="7" spans="1:17" x14ac:dyDescent="0.35">
      <c r="B7" s="1105"/>
      <c r="C7" s="1105"/>
      <c r="D7" s="1105"/>
      <c r="E7" s="1105"/>
      <c r="F7" s="1105"/>
      <c r="G7" s="1105"/>
      <c r="H7" s="1105"/>
      <c r="I7" s="1105"/>
      <c r="K7" s="618"/>
      <c r="L7" s="618"/>
      <c r="M7" s="618"/>
      <c r="N7" s="618"/>
      <c r="O7" s="4"/>
      <c r="P7" s="618"/>
      <c r="Q7" s="618"/>
    </row>
    <row r="8" spans="1:17" x14ac:dyDescent="0.35">
      <c r="B8" s="1105"/>
      <c r="C8" s="1105"/>
      <c r="D8" s="1105"/>
      <c r="E8" s="1105"/>
      <c r="F8" s="1105"/>
      <c r="G8" s="1105"/>
      <c r="H8" s="1105"/>
      <c r="I8" s="1105"/>
      <c r="K8" s="618"/>
      <c r="L8" s="618"/>
      <c r="M8" s="618"/>
      <c r="N8" s="618"/>
      <c r="O8" s="4"/>
      <c r="P8" s="618"/>
      <c r="Q8" s="618"/>
    </row>
    <row r="9" spans="1:17" x14ac:dyDescent="0.35">
      <c r="B9" s="40"/>
      <c r="H9" s="634"/>
      <c r="I9" s="634"/>
      <c r="K9" s="618"/>
      <c r="L9" s="618"/>
      <c r="M9" s="618"/>
      <c r="N9" s="618"/>
      <c r="O9" s="507"/>
      <c r="P9" s="507"/>
      <c r="Q9" s="507"/>
    </row>
    <row r="10" spans="1:17" x14ac:dyDescent="0.35">
      <c r="B10" s="40" t="s">
        <v>253</v>
      </c>
      <c r="C10" s="34" t="s">
        <v>1009</v>
      </c>
      <c r="D10" s="353"/>
      <c r="E10" s="353"/>
      <c r="F10" s="353"/>
      <c r="G10" s="353"/>
      <c r="H10" s="224"/>
      <c r="I10" s="224"/>
      <c r="K10" s="618"/>
      <c r="L10" s="618"/>
      <c r="M10" s="618"/>
      <c r="N10" s="618"/>
      <c r="O10" s="507"/>
      <c r="P10" s="507"/>
      <c r="Q10" s="507"/>
    </row>
    <row r="11" spans="1:17" ht="9" customHeight="1" x14ac:dyDescent="0.35">
      <c r="B11" s="40"/>
      <c r="C11" s="353"/>
      <c r="D11" s="524"/>
      <c r="E11" s="524"/>
      <c r="F11" s="524"/>
      <c r="H11" s="634"/>
      <c r="I11" s="634"/>
      <c r="K11" s="618"/>
      <c r="L11" s="618"/>
      <c r="M11" s="618"/>
      <c r="N11" s="618"/>
      <c r="O11" s="507"/>
      <c r="P11" s="507"/>
      <c r="Q11" s="507"/>
    </row>
    <row r="12" spans="1:17" x14ac:dyDescent="0.35">
      <c r="B12" s="40"/>
      <c r="C12" s="522" t="s">
        <v>1010</v>
      </c>
      <c r="D12" s="525"/>
      <c r="E12" s="525"/>
      <c r="F12" s="619" t="s">
        <v>1011</v>
      </c>
      <c r="G12" s="525"/>
      <c r="H12" s="635"/>
      <c r="I12" s="635"/>
      <c r="K12" s="618"/>
      <c r="L12" s="618"/>
      <c r="M12" s="618"/>
      <c r="N12" s="618"/>
      <c r="O12" s="508"/>
      <c r="P12" s="508"/>
      <c r="Q12" s="508"/>
    </row>
    <row r="13" spans="1:17" x14ac:dyDescent="0.35">
      <c r="B13" s="40"/>
      <c r="C13" s="1176" t="s">
        <v>1012</v>
      </c>
      <c r="D13" s="1176"/>
      <c r="F13" s="1166" t="s">
        <v>1013</v>
      </c>
      <c r="G13" s="1166"/>
      <c r="H13" s="1166"/>
      <c r="I13" s="1166"/>
      <c r="J13" s="414"/>
      <c r="K13" s="618"/>
      <c r="L13" s="618"/>
      <c r="M13" s="618"/>
      <c r="N13" s="618"/>
      <c r="O13" s="508"/>
      <c r="P13" s="508"/>
      <c r="Q13" s="508"/>
    </row>
    <row r="14" spans="1:17" x14ac:dyDescent="0.35">
      <c r="B14" s="40"/>
      <c r="C14" s="1175" t="s">
        <v>1014</v>
      </c>
      <c r="D14" s="1175"/>
      <c r="E14" s="521"/>
      <c r="F14" s="1169" t="s">
        <v>1015</v>
      </c>
      <c r="G14" s="1169"/>
      <c r="H14" s="1169"/>
      <c r="I14" s="1169"/>
      <c r="J14" s="513" t="s">
        <v>1016</v>
      </c>
      <c r="K14" s="618"/>
      <c r="L14" s="618"/>
      <c r="M14" s="618"/>
      <c r="N14" s="618"/>
      <c r="O14" s="508"/>
      <c r="P14" s="508"/>
      <c r="Q14" s="508"/>
    </row>
    <row r="15" spans="1:17" x14ac:dyDescent="0.35">
      <c r="B15" s="40"/>
      <c r="C15" s="353"/>
      <c r="D15" s="353"/>
      <c r="F15" s="1133" t="s">
        <v>1017</v>
      </c>
      <c r="G15" s="1133"/>
      <c r="H15" s="1133"/>
      <c r="I15" s="1133"/>
      <c r="J15" s="513" t="s">
        <v>1018</v>
      </c>
      <c r="K15" s="618"/>
      <c r="L15" s="618"/>
      <c r="M15" s="618"/>
      <c r="N15" s="618"/>
      <c r="O15" s="508"/>
      <c r="P15" s="508"/>
      <c r="Q15" s="508"/>
    </row>
    <row r="16" spans="1:17" x14ac:dyDescent="0.35">
      <c r="B16" s="40"/>
      <c r="C16" s="353"/>
      <c r="D16" s="524"/>
      <c r="E16" s="524"/>
      <c r="F16" s="1168" t="s">
        <v>1019</v>
      </c>
      <c r="G16" s="1168"/>
      <c r="H16" s="1168"/>
      <c r="I16" s="1168"/>
      <c r="J16" s="513" t="s">
        <v>1020</v>
      </c>
      <c r="K16" s="618"/>
      <c r="L16" s="978"/>
      <c r="M16" s="978"/>
      <c r="N16" s="978"/>
      <c r="O16" s="978"/>
      <c r="P16" s="978"/>
      <c r="Q16" s="978"/>
    </row>
    <row r="17" spans="2:11" x14ac:dyDescent="0.35">
      <c r="B17" s="40"/>
      <c r="C17" s="1175" t="s">
        <v>1021</v>
      </c>
      <c r="D17" s="1175"/>
      <c r="E17" s="1175"/>
      <c r="F17" s="1167" t="s">
        <v>1022</v>
      </c>
      <c r="G17" s="1167"/>
      <c r="H17" s="1167"/>
      <c r="I17" s="1167"/>
      <c r="J17" s="287" t="s">
        <v>1023</v>
      </c>
      <c r="K17" s="618"/>
    </row>
    <row r="18" spans="2:11" x14ac:dyDescent="0.35">
      <c r="B18" s="40"/>
      <c r="C18" s="353"/>
      <c r="D18" s="424"/>
      <c r="E18" s="424"/>
      <c r="F18" s="1112" t="s">
        <v>534</v>
      </c>
      <c r="G18" s="1112"/>
      <c r="H18" s="1112"/>
      <c r="I18" s="1112"/>
      <c r="J18" s="287" t="s">
        <v>1024</v>
      </c>
      <c r="K18" s="618"/>
    </row>
    <row r="19" spans="2:11" x14ac:dyDescent="0.35">
      <c r="B19" s="40"/>
      <c r="C19" s="353"/>
      <c r="D19" s="524"/>
      <c r="E19" s="524"/>
      <c r="F19" s="1112" t="s">
        <v>528</v>
      </c>
      <c r="G19" s="1112"/>
      <c r="H19" s="1112"/>
      <c r="I19" s="1112"/>
      <c r="J19" s="287" t="s">
        <v>1025</v>
      </c>
      <c r="K19" s="618"/>
    </row>
    <row r="20" spans="2:11" x14ac:dyDescent="0.35">
      <c r="B20" s="40"/>
      <c r="C20" s="531"/>
      <c r="D20" s="532"/>
      <c r="E20" s="532"/>
      <c r="F20" s="1168" t="s">
        <v>531</v>
      </c>
      <c r="G20" s="1168"/>
      <c r="H20" s="1168"/>
      <c r="I20" s="1168"/>
      <c r="J20" s="287" t="s">
        <v>1026</v>
      </c>
      <c r="K20" s="618"/>
    </row>
    <row r="21" spans="2:11" x14ac:dyDescent="0.35">
      <c r="B21" s="40"/>
      <c r="C21" s="624" t="s">
        <v>1027</v>
      </c>
      <c r="D21" s="624"/>
      <c r="E21" s="624"/>
      <c r="F21" s="1170" t="s">
        <v>1028</v>
      </c>
      <c r="G21" s="1170"/>
      <c r="H21" s="1170"/>
      <c r="I21" s="1170"/>
      <c r="J21" s="513" t="s">
        <v>1029</v>
      </c>
      <c r="K21" s="618"/>
    </row>
    <row r="22" spans="2:11" x14ac:dyDescent="0.35">
      <c r="B22" s="40"/>
      <c r="C22" s="309"/>
      <c r="D22" s="309"/>
      <c r="E22" s="309"/>
      <c r="F22" s="1133" t="s">
        <v>1030</v>
      </c>
      <c r="G22" s="1133"/>
      <c r="H22" s="1133"/>
      <c r="I22" s="1133"/>
      <c r="J22" s="513" t="s">
        <v>1031</v>
      </c>
      <c r="K22" s="618"/>
    </row>
    <row r="23" spans="2:11" x14ac:dyDescent="0.35">
      <c r="B23" s="40"/>
      <c r="C23" s="309"/>
      <c r="D23" s="309"/>
      <c r="E23" s="309"/>
      <c r="F23" s="1133" t="s">
        <v>1032</v>
      </c>
      <c r="G23" s="1133"/>
      <c r="H23" s="1133"/>
      <c r="I23" s="1133"/>
      <c r="J23" s="513" t="s">
        <v>1033</v>
      </c>
      <c r="K23" s="618"/>
    </row>
    <row r="24" spans="2:11" x14ac:dyDescent="0.35">
      <c r="B24" s="40"/>
      <c r="C24" s="309"/>
      <c r="D24" s="309"/>
      <c r="E24" s="309"/>
      <c r="F24" s="1133" t="s">
        <v>1034</v>
      </c>
      <c r="G24" s="1133"/>
      <c r="H24" s="1133"/>
      <c r="I24" s="1133"/>
      <c r="J24" s="513" t="s">
        <v>1035</v>
      </c>
      <c r="K24" s="618"/>
    </row>
    <row r="25" spans="2:11" x14ac:dyDescent="0.35">
      <c r="B25" s="40"/>
      <c r="C25" s="309"/>
      <c r="D25" s="309"/>
      <c r="E25" s="309"/>
      <c r="F25" s="1163" t="s">
        <v>1036</v>
      </c>
      <c r="G25" s="1163"/>
      <c r="H25" s="1163"/>
      <c r="I25" s="1163"/>
      <c r="J25" s="513" t="s">
        <v>1037</v>
      </c>
      <c r="K25" s="618"/>
    </row>
    <row r="26" spans="2:11" x14ac:dyDescent="0.35">
      <c r="B26" s="40"/>
      <c r="C26" s="309"/>
      <c r="D26" s="309"/>
      <c r="E26" s="309"/>
      <c r="F26" s="1133" t="s">
        <v>1038</v>
      </c>
      <c r="G26" s="1133"/>
      <c r="H26" s="1133"/>
      <c r="I26" s="1133"/>
      <c r="J26" s="513" t="s">
        <v>1039</v>
      </c>
      <c r="K26" s="618"/>
    </row>
    <row r="27" spans="2:11" x14ac:dyDescent="0.35">
      <c r="B27" s="40"/>
      <c r="C27" s="309"/>
      <c r="D27" s="526"/>
      <c r="E27" s="526"/>
      <c r="F27" s="1133" t="s">
        <v>1040</v>
      </c>
      <c r="G27" s="1133"/>
      <c r="H27" s="1133"/>
      <c r="I27" s="1133"/>
      <c r="J27" s="513" t="s">
        <v>1041</v>
      </c>
      <c r="K27" s="618"/>
    </row>
    <row r="28" spans="2:11" x14ac:dyDescent="0.35">
      <c r="B28" s="40"/>
      <c r="C28" s="309"/>
      <c r="D28" s="526"/>
      <c r="E28" s="526"/>
      <c r="F28" s="1163" t="s">
        <v>1042</v>
      </c>
      <c r="G28" s="1163"/>
      <c r="H28" s="1163"/>
      <c r="I28" s="1163"/>
      <c r="J28" s="513" t="s">
        <v>1043</v>
      </c>
      <c r="K28" s="618"/>
    </row>
    <row r="29" spans="2:11" x14ac:dyDescent="0.35">
      <c r="B29" s="40"/>
      <c r="C29" s="309"/>
      <c r="D29" s="526"/>
      <c r="E29" s="526"/>
      <c r="F29" s="1163" t="s">
        <v>1044</v>
      </c>
      <c r="G29" s="1163"/>
      <c r="H29" s="1163"/>
      <c r="I29" s="1163"/>
      <c r="J29" s="513" t="s">
        <v>1045</v>
      </c>
      <c r="K29" s="618"/>
    </row>
    <row r="30" spans="2:11" x14ac:dyDescent="0.35">
      <c r="B30" s="40"/>
      <c r="C30" s="309"/>
      <c r="D30" s="526"/>
      <c r="E30" s="526"/>
      <c r="F30" s="1163" t="s">
        <v>1046</v>
      </c>
      <c r="G30" s="1163"/>
      <c r="H30" s="1163"/>
      <c r="I30" s="1163"/>
      <c r="J30" s="513" t="s">
        <v>1047</v>
      </c>
      <c r="K30" s="618"/>
    </row>
    <row r="31" spans="2:11" x14ac:dyDescent="0.35">
      <c r="B31" s="40"/>
      <c r="C31" s="309"/>
      <c r="D31" s="526"/>
      <c r="E31" s="526"/>
      <c r="F31" s="1163" t="s">
        <v>1048</v>
      </c>
      <c r="G31" s="1163"/>
      <c r="H31" s="1163"/>
      <c r="I31" s="1163"/>
      <c r="J31" s="513" t="s">
        <v>1049</v>
      </c>
      <c r="K31" s="618"/>
    </row>
    <row r="32" spans="2:11" x14ac:dyDescent="0.35">
      <c r="B32" s="40"/>
      <c r="C32" s="309"/>
      <c r="D32" s="526"/>
      <c r="E32" s="526"/>
      <c r="F32" s="1163" t="s">
        <v>1050</v>
      </c>
      <c r="G32" s="1163"/>
      <c r="H32" s="1163"/>
      <c r="I32" s="1163"/>
      <c r="J32" s="513" t="s">
        <v>1051</v>
      </c>
      <c r="K32" s="618"/>
    </row>
    <row r="33" spans="2:11" x14ac:dyDescent="0.35">
      <c r="B33" s="40"/>
      <c r="C33" s="309"/>
      <c r="D33" s="526"/>
      <c r="E33" s="526"/>
      <c r="F33" s="1163" t="s">
        <v>1052</v>
      </c>
      <c r="G33" s="1163"/>
      <c r="H33" s="1163"/>
      <c r="I33" s="1163"/>
      <c r="J33" s="513" t="s">
        <v>1053</v>
      </c>
      <c r="K33" s="618"/>
    </row>
    <row r="34" spans="2:11" x14ac:dyDescent="0.35">
      <c r="B34" s="40"/>
      <c r="C34" s="309"/>
      <c r="D34" s="526"/>
      <c r="E34" s="526"/>
      <c r="F34" s="1163" t="s">
        <v>1054</v>
      </c>
      <c r="G34" s="1163"/>
      <c r="H34" s="1163"/>
      <c r="I34" s="1163"/>
      <c r="J34" s="513" t="s">
        <v>1055</v>
      </c>
      <c r="K34" s="618"/>
    </row>
    <row r="35" spans="2:11" x14ac:dyDescent="0.35">
      <c r="B35" s="40"/>
      <c r="C35" s="309"/>
      <c r="D35" s="526"/>
      <c r="E35" s="526"/>
      <c r="F35" s="1163" t="s">
        <v>1056</v>
      </c>
      <c r="G35" s="1163"/>
      <c r="H35" s="1163"/>
      <c r="I35" s="1163"/>
      <c r="J35" s="513" t="s">
        <v>1057</v>
      </c>
      <c r="K35" s="618"/>
    </row>
    <row r="36" spans="2:11" x14ac:dyDescent="0.35">
      <c r="B36" s="40"/>
      <c r="C36" s="309"/>
      <c r="D36" s="526"/>
      <c r="E36" s="526"/>
      <c r="F36" s="1163" t="s">
        <v>1058</v>
      </c>
      <c r="G36" s="1163"/>
      <c r="H36" s="1163"/>
      <c r="I36" s="1163"/>
      <c r="J36" s="513" t="s">
        <v>1059</v>
      </c>
      <c r="K36" s="618"/>
    </row>
    <row r="37" spans="2:11" x14ac:dyDescent="0.35">
      <c r="B37" s="40"/>
      <c r="C37" s="309"/>
      <c r="D37" s="526"/>
      <c r="E37" s="526"/>
      <c r="F37" s="1163" t="s">
        <v>1060</v>
      </c>
      <c r="G37" s="1163"/>
      <c r="H37" s="1163"/>
      <c r="I37" s="1163"/>
      <c r="J37" s="513" t="s">
        <v>1061</v>
      </c>
      <c r="K37" s="618"/>
    </row>
    <row r="38" spans="2:11" x14ac:dyDescent="0.35">
      <c r="B38" s="40"/>
      <c r="C38" s="309"/>
      <c r="D38" s="526"/>
      <c r="E38" s="526"/>
      <c r="F38" s="1163" t="s">
        <v>1062</v>
      </c>
      <c r="G38" s="1163"/>
      <c r="H38" s="1163"/>
      <c r="I38" s="1163"/>
      <c r="J38" s="513" t="s">
        <v>1063</v>
      </c>
      <c r="K38" s="618"/>
    </row>
    <row r="39" spans="2:11" x14ac:dyDescent="0.35">
      <c r="B39" s="40"/>
      <c r="C39" s="309"/>
      <c r="D39" s="526"/>
      <c r="E39" s="526"/>
      <c r="F39" s="1163" t="s">
        <v>1064</v>
      </c>
      <c r="G39" s="1163"/>
      <c r="H39" s="1163"/>
      <c r="I39" s="1163"/>
      <c r="J39" s="513" t="s">
        <v>1065</v>
      </c>
      <c r="K39" s="618"/>
    </row>
    <row r="40" spans="2:11" x14ac:dyDescent="0.35">
      <c r="B40" s="40"/>
      <c r="C40" s="309"/>
      <c r="D40" s="526"/>
      <c r="E40" s="526"/>
      <c r="F40" s="1163" t="s">
        <v>1066</v>
      </c>
      <c r="G40" s="1163"/>
      <c r="H40" s="1163"/>
      <c r="I40" s="1163"/>
      <c r="J40" s="513" t="s">
        <v>1067</v>
      </c>
      <c r="K40" s="618"/>
    </row>
    <row r="41" spans="2:11" x14ac:dyDescent="0.35">
      <c r="B41" s="40"/>
      <c r="C41" s="309"/>
      <c r="D41" s="526"/>
      <c r="E41" s="526"/>
      <c r="F41" s="1163" t="s">
        <v>1068</v>
      </c>
      <c r="G41" s="1163"/>
      <c r="H41" s="1163"/>
      <c r="I41" s="1163"/>
      <c r="J41" s="513" t="s">
        <v>1069</v>
      </c>
      <c r="K41" s="618"/>
    </row>
    <row r="42" spans="2:11" x14ac:dyDescent="0.35">
      <c r="B42" s="40"/>
      <c r="C42" s="309"/>
      <c r="D42" s="526"/>
      <c r="E42" s="526"/>
      <c r="F42" s="1163" t="s">
        <v>1070</v>
      </c>
      <c r="G42" s="1163"/>
      <c r="H42" s="1163"/>
      <c r="I42" s="1163"/>
      <c r="J42" s="513" t="s">
        <v>1071</v>
      </c>
      <c r="K42" s="618"/>
    </row>
    <row r="43" spans="2:11" x14ac:dyDescent="0.35">
      <c r="B43" s="40"/>
      <c r="C43" s="309"/>
      <c r="D43" s="526"/>
      <c r="E43" s="526"/>
      <c r="F43" s="1163" t="s">
        <v>1072</v>
      </c>
      <c r="G43" s="1163"/>
      <c r="H43" s="1163"/>
      <c r="I43" s="1163"/>
      <c r="J43" s="513" t="s">
        <v>1073</v>
      </c>
      <c r="K43" s="618"/>
    </row>
    <row r="44" spans="2:11" x14ac:dyDescent="0.35">
      <c r="B44" s="40"/>
      <c r="C44" s="309"/>
      <c r="D44" s="526"/>
      <c r="E44" s="526"/>
      <c r="F44" s="1163" t="s">
        <v>1074</v>
      </c>
      <c r="G44" s="1163"/>
      <c r="H44" s="1163"/>
      <c r="I44" s="1163"/>
      <c r="J44" s="513" t="s">
        <v>1075</v>
      </c>
      <c r="K44" s="618"/>
    </row>
    <row r="45" spans="2:11" x14ac:dyDescent="0.35">
      <c r="B45" s="40"/>
      <c r="C45" s="309"/>
      <c r="D45" s="526"/>
      <c r="E45" s="526"/>
      <c r="F45" s="1163" t="s">
        <v>1076</v>
      </c>
      <c r="G45" s="1163"/>
      <c r="H45" s="1163"/>
      <c r="I45" s="1163"/>
      <c r="J45" s="513" t="s">
        <v>1077</v>
      </c>
      <c r="K45" s="618"/>
    </row>
    <row r="46" spans="2:11" x14ac:dyDescent="0.35">
      <c r="B46" s="40"/>
      <c r="C46" s="309"/>
      <c r="D46" s="526"/>
      <c r="E46" s="526"/>
      <c r="F46" s="1163" t="s">
        <v>1078</v>
      </c>
      <c r="G46" s="1163"/>
      <c r="H46" s="1163"/>
      <c r="I46" s="1163"/>
      <c r="J46" s="513" t="s">
        <v>1079</v>
      </c>
      <c r="K46" s="618"/>
    </row>
    <row r="47" spans="2:11" x14ac:dyDescent="0.35">
      <c r="B47" s="40"/>
      <c r="C47" s="309"/>
      <c r="D47" s="526"/>
      <c r="E47" s="526"/>
      <c r="F47" s="1163" t="s">
        <v>1080</v>
      </c>
      <c r="G47" s="1163"/>
      <c r="H47" s="1163"/>
      <c r="I47" s="1163"/>
      <c r="J47" s="513" t="s">
        <v>1081</v>
      </c>
      <c r="K47" s="618"/>
    </row>
    <row r="48" spans="2:11" x14ac:dyDescent="0.35">
      <c r="B48" s="40"/>
      <c r="C48" s="309"/>
      <c r="D48" s="526"/>
      <c r="E48" s="526"/>
      <c r="F48" s="1163" t="s">
        <v>1082</v>
      </c>
      <c r="G48" s="1163"/>
      <c r="H48" s="1163"/>
      <c r="I48" s="1163"/>
      <c r="J48" s="513" t="s">
        <v>1083</v>
      </c>
      <c r="K48" s="618"/>
    </row>
    <row r="49" spans="2:11" x14ac:dyDescent="0.35">
      <c r="B49" s="40"/>
      <c r="C49" s="309"/>
      <c r="D49" s="526"/>
      <c r="E49" s="526"/>
      <c r="F49" s="1163" t="s">
        <v>1084</v>
      </c>
      <c r="G49" s="1163"/>
      <c r="H49" s="1163"/>
      <c r="I49" s="1163"/>
      <c r="J49" s="513" t="s">
        <v>1085</v>
      </c>
      <c r="K49" s="618"/>
    </row>
    <row r="50" spans="2:11" x14ac:dyDescent="0.35">
      <c r="B50" s="40"/>
      <c r="C50" s="309"/>
      <c r="D50" s="526"/>
      <c r="E50" s="526"/>
      <c r="F50" s="1163" t="s">
        <v>1086</v>
      </c>
      <c r="G50" s="1163"/>
      <c r="H50" s="1163"/>
      <c r="I50" s="1163"/>
      <c r="J50" s="513" t="s">
        <v>1087</v>
      </c>
      <c r="K50" s="618"/>
    </row>
    <row r="51" spans="2:11" x14ac:dyDescent="0.35">
      <c r="B51" s="40"/>
      <c r="C51" s="309"/>
      <c r="D51" s="526"/>
      <c r="E51" s="526"/>
      <c r="F51" s="1163" t="s">
        <v>1088</v>
      </c>
      <c r="G51" s="1163"/>
      <c r="H51" s="1163"/>
      <c r="I51" s="1163"/>
      <c r="J51" s="513" t="s">
        <v>1089</v>
      </c>
      <c r="K51" s="618"/>
    </row>
    <row r="52" spans="2:11" x14ac:dyDescent="0.35">
      <c r="B52" s="40"/>
      <c r="C52" s="309"/>
      <c r="D52" s="526"/>
      <c r="E52" s="526"/>
      <c r="F52" s="1163" t="s">
        <v>1090</v>
      </c>
      <c r="G52" s="1163"/>
      <c r="H52" s="1163"/>
      <c r="I52" s="1163"/>
      <c r="J52" s="513" t="s">
        <v>1091</v>
      </c>
      <c r="K52" s="618"/>
    </row>
    <row r="53" spans="2:11" x14ac:dyDescent="0.35">
      <c r="B53" s="40"/>
      <c r="C53" s="309"/>
      <c r="D53" s="526"/>
      <c r="E53" s="526"/>
      <c r="F53" s="1163" t="s">
        <v>1092</v>
      </c>
      <c r="G53" s="1163"/>
      <c r="H53" s="1163"/>
      <c r="I53" s="1163"/>
      <c r="J53" s="513" t="s">
        <v>1093</v>
      </c>
      <c r="K53" s="618"/>
    </row>
    <row r="54" spans="2:11" x14ac:dyDescent="0.35">
      <c r="B54" s="40"/>
      <c r="C54" s="309"/>
      <c r="D54" s="526"/>
      <c r="E54" s="526"/>
      <c r="F54" s="1163" t="s">
        <v>1094</v>
      </c>
      <c r="G54" s="1163"/>
      <c r="H54" s="1163"/>
      <c r="I54" s="1163"/>
      <c r="J54" s="513" t="s">
        <v>1095</v>
      </c>
      <c r="K54" s="618"/>
    </row>
    <row r="55" spans="2:11" x14ac:dyDescent="0.35">
      <c r="B55" s="40"/>
      <c r="C55" s="309"/>
      <c r="D55" s="526"/>
      <c r="E55" s="526"/>
      <c r="F55" s="1163" t="s">
        <v>1096</v>
      </c>
      <c r="G55" s="1163"/>
      <c r="H55" s="1163"/>
      <c r="I55" s="1163"/>
      <c r="J55" s="513" t="s">
        <v>1097</v>
      </c>
      <c r="K55" s="618"/>
    </row>
    <row r="56" spans="2:11" x14ac:dyDescent="0.35">
      <c r="B56" s="40"/>
      <c r="C56" s="309"/>
      <c r="D56" s="526"/>
      <c r="E56" s="526"/>
      <c r="F56" s="1163" t="s">
        <v>1098</v>
      </c>
      <c r="G56" s="1163"/>
      <c r="H56" s="1163"/>
      <c r="I56" s="1163"/>
      <c r="J56" s="513" t="s">
        <v>1099</v>
      </c>
      <c r="K56" s="618"/>
    </row>
    <row r="57" spans="2:11" x14ac:dyDescent="0.35">
      <c r="B57" s="40"/>
      <c r="C57" s="309"/>
      <c r="D57" s="526"/>
      <c r="E57" s="526"/>
      <c r="F57" s="1163" t="s">
        <v>1100</v>
      </c>
      <c r="G57" s="1163"/>
      <c r="H57" s="1163"/>
      <c r="I57" s="1163"/>
      <c r="J57" s="513" t="s">
        <v>1101</v>
      </c>
      <c r="K57" s="618"/>
    </row>
    <row r="58" spans="2:11" x14ac:dyDescent="0.35">
      <c r="B58" s="40"/>
      <c r="C58" s="309"/>
      <c r="D58" s="526"/>
      <c r="E58" s="526"/>
      <c r="F58" s="1163" t="s">
        <v>1102</v>
      </c>
      <c r="G58" s="1163"/>
      <c r="H58" s="1163"/>
      <c r="I58" s="1163"/>
      <c r="J58" s="513" t="s">
        <v>1103</v>
      </c>
      <c r="K58" s="618"/>
    </row>
    <row r="59" spans="2:11" x14ac:dyDescent="0.35">
      <c r="B59" s="40"/>
      <c r="C59" s="309"/>
      <c r="D59" s="526"/>
      <c r="E59" s="526"/>
      <c r="F59" s="1163" t="s">
        <v>1104</v>
      </c>
      <c r="G59" s="1163"/>
      <c r="H59" s="1163"/>
      <c r="I59" s="1163"/>
      <c r="J59" s="513" t="s">
        <v>1105</v>
      </c>
      <c r="K59" s="618"/>
    </row>
    <row r="60" spans="2:11" x14ac:dyDescent="0.35">
      <c r="B60" s="40"/>
      <c r="C60" s="309"/>
      <c r="D60" s="526"/>
      <c r="E60" s="526"/>
      <c r="F60" s="1163" t="s">
        <v>1106</v>
      </c>
      <c r="G60" s="1163"/>
      <c r="H60" s="1163"/>
      <c r="I60" s="1163"/>
      <c r="J60" s="513" t="s">
        <v>1107</v>
      </c>
      <c r="K60" s="618"/>
    </row>
    <row r="61" spans="2:11" x14ac:dyDescent="0.35">
      <c r="B61" s="40"/>
      <c r="C61" s="309"/>
      <c r="D61" s="526"/>
      <c r="E61" s="526"/>
      <c r="F61" s="1163" t="s">
        <v>1108</v>
      </c>
      <c r="G61" s="1163"/>
      <c r="H61" s="1163"/>
      <c r="I61" s="1163"/>
      <c r="J61" s="513" t="s">
        <v>1018</v>
      </c>
      <c r="K61" s="618"/>
    </row>
    <row r="62" spans="2:11" x14ac:dyDescent="0.35">
      <c r="B62" s="40"/>
      <c r="C62" s="309"/>
      <c r="D62" s="526"/>
      <c r="E62" s="526"/>
      <c r="F62" s="1163" t="s">
        <v>1109</v>
      </c>
      <c r="G62" s="1163"/>
      <c r="H62" s="1163"/>
      <c r="I62" s="1163"/>
      <c r="J62" s="513" t="s">
        <v>1110</v>
      </c>
      <c r="K62" s="618"/>
    </row>
    <row r="63" spans="2:11" x14ac:dyDescent="0.35">
      <c r="B63" s="40"/>
      <c r="C63" s="309"/>
      <c r="D63" s="526"/>
      <c r="E63" s="526"/>
      <c r="F63" s="1163" t="s">
        <v>1111</v>
      </c>
      <c r="G63" s="1163"/>
      <c r="H63" s="1163"/>
      <c r="I63" s="1163"/>
      <c r="J63" s="513" t="s">
        <v>1112</v>
      </c>
      <c r="K63" s="618"/>
    </row>
    <row r="64" spans="2:11" x14ac:dyDescent="0.35">
      <c r="B64" s="40"/>
      <c r="C64" s="309"/>
      <c r="D64" s="526"/>
      <c r="E64" s="526"/>
      <c r="F64" s="1163" t="s">
        <v>1113</v>
      </c>
      <c r="G64" s="1163"/>
      <c r="H64" s="1163"/>
      <c r="I64" s="1163"/>
      <c r="J64" s="513" t="s">
        <v>1114</v>
      </c>
      <c r="K64" s="618"/>
    </row>
    <row r="65" spans="2:11" x14ac:dyDescent="0.35">
      <c r="B65" s="40"/>
      <c r="C65" s="309"/>
      <c r="D65" s="526"/>
      <c r="E65" s="526"/>
      <c r="F65" s="1163" t="s">
        <v>1115</v>
      </c>
      <c r="G65" s="1163"/>
      <c r="H65" s="1163"/>
      <c r="I65" s="1163"/>
      <c r="J65" s="513" t="s">
        <v>1116</v>
      </c>
      <c r="K65" s="618"/>
    </row>
    <row r="66" spans="2:11" x14ac:dyDescent="0.35">
      <c r="B66" s="40"/>
      <c r="C66" s="309"/>
      <c r="D66" s="526"/>
      <c r="E66" s="526"/>
      <c r="F66" s="1163" t="s">
        <v>1117</v>
      </c>
      <c r="G66" s="1163"/>
      <c r="H66" s="1163"/>
      <c r="I66" s="1163"/>
      <c r="J66" s="513" t="s">
        <v>1118</v>
      </c>
      <c r="K66" s="618"/>
    </row>
    <row r="67" spans="2:11" x14ac:dyDescent="0.35">
      <c r="B67" s="40"/>
      <c r="C67" s="309"/>
      <c r="D67" s="526"/>
      <c r="E67" s="526"/>
      <c r="F67" s="1163" t="s">
        <v>1119</v>
      </c>
      <c r="G67" s="1163"/>
      <c r="H67" s="1163"/>
      <c r="I67" s="1163"/>
      <c r="J67" s="513" t="s">
        <v>1120</v>
      </c>
      <c r="K67" s="618"/>
    </row>
    <row r="68" spans="2:11" x14ac:dyDescent="0.35">
      <c r="B68" s="40"/>
      <c r="C68" s="309"/>
      <c r="D68" s="526"/>
      <c r="E68" s="526"/>
      <c r="F68" s="1163" t="s">
        <v>1121</v>
      </c>
      <c r="G68" s="1163"/>
      <c r="H68" s="1163"/>
      <c r="I68" s="1163"/>
      <c r="J68" s="513" t="s">
        <v>1122</v>
      </c>
      <c r="K68" s="618"/>
    </row>
    <row r="69" spans="2:11" x14ac:dyDescent="0.35">
      <c r="B69" s="40"/>
      <c r="C69" s="309"/>
      <c r="D69" s="526"/>
      <c r="E69" s="526"/>
      <c r="F69" s="1163" t="s">
        <v>1123</v>
      </c>
      <c r="G69" s="1163"/>
      <c r="H69" s="1163"/>
      <c r="I69" s="1163"/>
      <c r="J69" s="513" t="s">
        <v>1124</v>
      </c>
      <c r="K69" s="618"/>
    </row>
    <row r="70" spans="2:11" x14ac:dyDescent="0.35">
      <c r="B70" s="40"/>
      <c r="C70" s="309"/>
      <c r="D70" s="526"/>
      <c r="E70" s="526"/>
      <c r="F70" s="1163" t="s">
        <v>1125</v>
      </c>
      <c r="G70" s="1163"/>
      <c r="H70" s="1163"/>
      <c r="I70" s="1163"/>
      <c r="J70" s="513" t="s">
        <v>1126</v>
      </c>
      <c r="K70" s="618"/>
    </row>
    <row r="71" spans="2:11" x14ac:dyDescent="0.35">
      <c r="B71" s="40"/>
      <c r="C71" s="309"/>
      <c r="D71" s="526"/>
      <c r="E71" s="526"/>
      <c r="F71" s="1163" t="s">
        <v>1127</v>
      </c>
      <c r="G71" s="1163"/>
      <c r="H71" s="1163"/>
      <c r="I71" s="1163"/>
      <c r="J71" s="513" t="s">
        <v>1128</v>
      </c>
      <c r="K71" s="618"/>
    </row>
    <row r="72" spans="2:11" x14ac:dyDescent="0.35">
      <c r="B72" s="40"/>
      <c r="C72" s="309"/>
      <c r="D72" s="526"/>
      <c r="E72" s="526"/>
      <c r="F72" s="1164" t="s">
        <v>1129</v>
      </c>
      <c r="G72" s="1164"/>
      <c r="H72" s="1164"/>
      <c r="I72" s="1164"/>
      <c r="J72" s="513" t="s">
        <v>1130</v>
      </c>
      <c r="K72" s="618"/>
    </row>
    <row r="73" spans="2:11" x14ac:dyDescent="0.35">
      <c r="B73" s="40"/>
      <c r="C73" s="817" t="s">
        <v>1131</v>
      </c>
      <c r="D73" s="818"/>
      <c r="E73" s="818"/>
      <c r="F73" s="1166" t="s">
        <v>1132</v>
      </c>
      <c r="G73" s="1166"/>
      <c r="H73" s="1166"/>
      <c r="I73" s="1166"/>
      <c r="J73" s="513" t="s">
        <v>1133</v>
      </c>
      <c r="K73" s="618"/>
    </row>
    <row r="74" spans="2:11" x14ac:dyDescent="0.35">
      <c r="B74" s="40"/>
      <c r="C74" s="1174" t="s">
        <v>1134</v>
      </c>
      <c r="D74" s="1174"/>
      <c r="E74" s="1174"/>
      <c r="F74" s="1167" t="s">
        <v>1135</v>
      </c>
      <c r="G74" s="1167"/>
      <c r="H74" s="1167"/>
      <c r="I74" s="1167"/>
    </row>
    <row r="75" spans="2:11" x14ac:dyDescent="0.35">
      <c r="B75" s="40"/>
      <c r="C75" s="617"/>
      <c r="D75" s="617"/>
      <c r="E75" s="617"/>
      <c r="F75" s="1112" t="s">
        <v>1136</v>
      </c>
      <c r="G75" s="1112"/>
      <c r="H75" s="1112"/>
      <c r="I75" s="1112"/>
    </row>
    <row r="76" spans="2:11" x14ac:dyDescent="0.35">
      <c r="B76" s="40"/>
      <c r="C76" s="819"/>
      <c r="D76" s="819"/>
      <c r="E76" s="532"/>
      <c r="F76" s="1168" t="s">
        <v>1137</v>
      </c>
      <c r="G76" s="1168"/>
      <c r="H76" s="1168"/>
      <c r="I76" s="1168"/>
    </row>
    <row r="77" spans="2:11" x14ac:dyDescent="0.35">
      <c r="B77" s="40"/>
      <c r="C77" s="1173" t="s">
        <v>1138</v>
      </c>
      <c r="D77" s="1173"/>
      <c r="E77" s="1173"/>
      <c r="F77" s="1112" t="s">
        <v>531</v>
      </c>
      <c r="G77" s="1112"/>
      <c r="H77" s="1112"/>
      <c r="I77" s="1112"/>
      <c r="J77" s="513" t="s">
        <v>1026</v>
      </c>
    </row>
    <row r="78" spans="2:11" x14ac:dyDescent="0.35">
      <c r="B78" s="40"/>
      <c r="C78" s="1173"/>
      <c r="D78" s="1173"/>
      <c r="E78" s="1173"/>
      <c r="F78" s="1112" t="s">
        <v>1132</v>
      </c>
      <c r="G78" s="1112"/>
      <c r="H78" s="1112"/>
      <c r="I78" s="1112"/>
      <c r="J78" s="513" t="s">
        <v>1133</v>
      </c>
    </row>
    <row r="79" spans="2:11" x14ac:dyDescent="0.35">
      <c r="B79" s="40"/>
      <c r="C79" s="617"/>
      <c r="D79" s="617"/>
      <c r="E79" s="617"/>
      <c r="F79" s="1112" t="s">
        <v>1139</v>
      </c>
      <c r="G79" s="1112"/>
      <c r="H79" s="1112"/>
      <c r="I79" s="1112"/>
      <c r="J79" s="513" t="s">
        <v>1024</v>
      </c>
    </row>
    <row r="80" spans="2:11" x14ac:dyDescent="0.35">
      <c r="B80" s="40"/>
      <c r="C80" s="617"/>
      <c r="D80" s="617"/>
      <c r="E80" s="617"/>
      <c r="F80" s="1112" t="s">
        <v>1140</v>
      </c>
      <c r="G80" s="1112"/>
      <c r="H80" s="1112"/>
      <c r="I80" s="1112"/>
      <c r="J80" s="513" t="s">
        <v>1025</v>
      </c>
    </row>
    <row r="81" spans="1:17" x14ac:dyDescent="0.35">
      <c r="B81" s="40"/>
      <c r="C81" s="1101" t="s">
        <v>1141</v>
      </c>
      <c r="D81" s="1101"/>
      <c r="E81" s="1101"/>
      <c r="F81" s="1101"/>
      <c r="G81" s="1101"/>
      <c r="H81" s="1101"/>
      <c r="I81" s="1101"/>
    </row>
    <row r="82" spans="1:17" x14ac:dyDescent="0.35">
      <c r="B82" s="40"/>
      <c r="C82" s="1101"/>
      <c r="D82" s="1101"/>
      <c r="E82" s="1101"/>
      <c r="F82" s="1101"/>
      <c r="G82" s="1101"/>
      <c r="H82" s="1101"/>
      <c r="I82" s="1101"/>
    </row>
    <row r="83" spans="1:17" x14ac:dyDescent="0.35">
      <c r="B83" s="40"/>
      <c r="C83" s="306"/>
      <c r="D83" s="518"/>
      <c r="E83" s="518"/>
      <c r="F83" s="518"/>
      <c r="G83" s="518"/>
      <c r="H83" s="636"/>
      <c r="I83" s="636"/>
    </row>
    <row r="84" spans="1:17" x14ac:dyDescent="0.35">
      <c r="B84" s="285" t="str">
        <f>B1</f>
        <v>Paladion Networks Private Limited</v>
      </c>
    </row>
    <row r="85" spans="1:17" x14ac:dyDescent="0.35">
      <c r="B85" s="285" t="str">
        <f>B2</f>
        <v>Summary of Material accounting policies and other explanatory information</v>
      </c>
    </row>
    <row r="86" spans="1:17" ht="12" x14ac:dyDescent="0.35">
      <c r="B86" s="383" t="str">
        <f>B3</f>
        <v>(Amounts are stated in ₹ lakhs, except share and per share data, unless ottherwise stated)</v>
      </c>
    </row>
    <row r="87" spans="1:17" x14ac:dyDescent="0.35">
      <c r="B87" s="117"/>
    </row>
    <row r="88" spans="1:17" x14ac:dyDescent="0.35">
      <c r="A88" s="110">
        <f>A5</f>
        <v>30</v>
      </c>
      <c r="B88" s="214" t="str">
        <f>"Note "&amp;A88&amp;": Related party transactions (Contd.)"</f>
        <v>Note 30: Related party transactions (Contd.)</v>
      </c>
      <c r="C88" s="353"/>
      <c r="D88" s="524"/>
      <c r="E88" s="524"/>
      <c r="F88" s="524"/>
      <c r="H88" s="634"/>
      <c r="I88" s="634"/>
      <c r="K88" s="618"/>
      <c r="L88" s="618"/>
      <c r="M88" s="618"/>
      <c r="N88" s="618"/>
      <c r="O88" s="4"/>
      <c r="P88" s="618"/>
      <c r="Q88" s="618"/>
    </row>
    <row r="89" spans="1:17" x14ac:dyDescent="0.35">
      <c r="B89" s="214"/>
      <c r="C89" s="353"/>
      <c r="D89" s="524"/>
      <c r="E89" s="524"/>
      <c r="F89" s="524"/>
      <c r="H89" s="634"/>
      <c r="I89" s="634"/>
      <c r="K89" s="618"/>
      <c r="L89" s="618"/>
      <c r="M89" s="618"/>
      <c r="N89" s="618"/>
      <c r="O89" s="4"/>
      <c r="P89" s="618"/>
      <c r="Q89" s="618"/>
    </row>
    <row r="90" spans="1:17" x14ac:dyDescent="0.35">
      <c r="B90" s="34" t="s">
        <v>255</v>
      </c>
      <c r="C90" s="40" t="s">
        <v>1142</v>
      </c>
      <c r="D90" s="40"/>
      <c r="E90" s="40"/>
      <c r="F90" s="40"/>
      <c r="G90" s="40"/>
    </row>
    <row r="91" spans="1:17" x14ac:dyDescent="0.35">
      <c r="B91" s="40"/>
      <c r="H91" s="634"/>
      <c r="I91" s="634"/>
    </row>
    <row r="92" spans="1:17" s="54" customFormat="1" ht="39.75" customHeight="1" x14ac:dyDescent="0.35">
      <c r="B92" s="53"/>
      <c r="C92" s="509" t="s">
        <v>1143</v>
      </c>
      <c r="D92" s="620" t="s">
        <v>1144</v>
      </c>
      <c r="E92" s="620"/>
      <c r="F92" s="620" t="s">
        <v>1145</v>
      </c>
      <c r="G92" s="620" t="s">
        <v>1146</v>
      </c>
      <c r="H92" s="607" t="s">
        <v>146</v>
      </c>
      <c r="I92" s="607" t="s">
        <v>147</v>
      </c>
    </row>
    <row r="93" spans="1:17" s="34" customFormat="1" ht="11.5" customHeight="1" x14ac:dyDescent="0.35">
      <c r="B93" s="40"/>
      <c r="C93" s="308" t="s">
        <v>1147</v>
      </c>
      <c r="D93" s="1165" t="s">
        <v>1019</v>
      </c>
      <c r="E93" s="1165"/>
      <c r="F93" s="418" t="s">
        <v>734</v>
      </c>
      <c r="G93" s="520" t="s">
        <v>1014</v>
      </c>
      <c r="H93" s="1062">
        <v>-208.47886277210242</v>
      </c>
      <c r="I93" s="416">
        <v>1943.0298822999998</v>
      </c>
      <c r="J93" s="286" t="s">
        <v>1020</v>
      </c>
      <c r="K93" s="1072">
        <f>'17-25'!D8</f>
        <v>16905.806870923901</v>
      </c>
      <c r="L93" s="734">
        <f>K93-SUM(H93:H147)</f>
        <v>-3.2741809263825417E-11</v>
      </c>
    </row>
    <row r="94" spans="1:17" s="34" customFormat="1" x14ac:dyDescent="0.35">
      <c r="B94" s="40"/>
      <c r="C94" s="308"/>
      <c r="D94" s="1165" t="s">
        <v>1139</v>
      </c>
      <c r="E94" s="1165"/>
      <c r="F94" s="418" t="s">
        <v>1148</v>
      </c>
      <c r="G94" s="287" t="s">
        <v>1149</v>
      </c>
      <c r="H94" s="1062">
        <v>1383.4969829070221</v>
      </c>
      <c r="I94" s="416">
        <v>868.06449883051869</v>
      </c>
      <c r="J94" s="286" t="s">
        <v>1024</v>
      </c>
    </row>
    <row r="95" spans="1:17" s="34" customFormat="1" x14ac:dyDescent="0.35">
      <c r="B95" s="40"/>
      <c r="C95" s="308"/>
      <c r="D95" s="1165" t="s">
        <v>531</v>
      </c>
      <c r="E95" s="1165"/>
      <c r="F95" s="418" t="s">
        <v>1150</v>
      </c>
      <c r="G95" s="287" t="s">
        <v>1149</v>
      </c>
      <c r="H95" s="1062">
        <v>497.77172869652674</v>
      </c>
      <c r="I95" s="416">
        <v>464.31487558164019</v>
      </c>
      <c r="J95" s="286" t="s">
        <v>1026</v>
      </c>
    </row>
    <row r="96" spans="1:17" s="34" customFormat="1" x14ac:dyDescent="0.35">
      <c r="B96" s="40"/>
      <c r="C96" s="308"/>
      <c r="D96" s="1165" t="s">
        <v>1132</v>
      </c>
      <c r="E96" s="1165"/>
      <c r="F96" s="418" t="s">
        <v>1151</v>
      </c>
      <c r="G96" s="287" t="s">
        <v>1027</v>
      </c>
      <c r="H96" s="1062">
        <v>-18.104396700000017</v>
      </c>
      <c r="I96" s="416">
        <v>387.15890839999997</v>
      </c>
      <c r="J96" s="286" t="s">
        <v>1133</v>
      </c>
    </row>
    <row r="97" spans="2:10" s="34" customFormat="1" x14ac:dyDescent="0.35">
      <c r="B97" s="40"/>
      <c r="C97" s="308"/>
      <c r="D97" s="1165" t="s">
        <v>1152</v>
      </c>
      <c r="E97" s="1165"/>
      <c r="F97" s="418" t="s">
        <v>734</v>
      </c>
      <c r="G97" s="287" t="s">
        <v>1027</v>
      </c>
      <c r="H97" s="1062">
        <v>994.34002058635758</v>
      </c>
      <c r="I97" s="416">
        <v>3324.6936674855801</v>
      </c>
      <c r="J97" s="286" t="s">
        <v>1101</v>
      </c>
    </row>
    <row r="98" spans="2:10" s="34" customFormat="1" x14ac:dyDescent="0.35">
      <c r="B98" s="40"/>
      <c r="C98" s="308"/>
      <c r="D98" s="1165" t="s">
        <v>1028</v>
      </c>
      <c r="E98" s="1165"/>
      <c r="F98" s="418" t="s">
        <v>1153</v>
      </c>
      <c r="G98" s="287" t="s">
        <v>1027</v>
      </c>
      <c r="H98" s="1062" t="s">
        <v>174</v>
      </c>
      <c r="I98" s="416">
        <v>0.68526490000000007</v>
      </c>
      <c r="J98" s="286" t="s">
        <v>1029</v>
      </c>
    </row>
    <row r="99" spans="2:10" s="34" customFormat="1" x14ac:dyDescent="0.35">
      <c r="B99" s="40"/>
      <c r="C99" s="308"/>
      <c r="D99" s="1165" t="s">
        <v>1046</v>
      </c>
      <c r="E99" s="1165"/>
      <c r="F99" s="418" t="s">
        <v>549</v>
      </c>
      <c r="G99" s="287" t="s">
        <v>1027</v>
      </c>
      <c r="H99" s="1062">
        <v>1950.9953158999997</v>
      </c>
      <c r="I99" s="416">
        <v>2782.4438119999713</v>
      </c>
      <c r="J99" s="286" t="s">
        <v>1047</v>
      </c>
    </row>
    <row r="100" spans="2:10" s="34" customFormat="1" x14ac:dyDescent="0.35">
      <c r="B100" s="40"/>
      <c r="C100" s="308"/>
      <c r="D100" s="418" t="s">
        <v>2866</v>
      </c>
      <c r="E100" s="418"/>
      <c r="F100" s="418" t="s">
        <v>1163</v>
      </c>
      <c r="G100" s="287" t="s">
        <v>1027</v>
      </c>
      <c r="H100" s="1062">
        <v>2.3762052000000002</v>
      </c>
      <c r="I100" s="416">
        <f>0</f>
        <v>0</v>
      </c>
      <c r="J100" s="286" t="s">
        <v>2842</v>
      </c>
    </row>
    <row r="101" spans="2:10" s="34" customFormat="1" x14ac:dyDescent="0.35">
      <c r="B101" s="40"/>
      <c r="C101" s="308"/>
      <c r="D101" s="1165" t="s">
        <v>1080</v>
      </c>
      <c r="E101" s="1165"/>
      <c r="F101" s="418" t="s">
        <v>1150</v>
      </c>
      <c r="G101" s="287" t="s">
        <v>1027</v>
      </c>
      <c r="H101" s="1062">
        <v>775.89811518914189</v>
      </c>
      <c r="I101" s="416">
        <v>1265.8907341999995</v>
      </c>
      <c r="J101" s="286" t="s">
        <v>1081</v>
      </c>
    </row>
    <row r="102" spans="2:10" s="34" customFormat="1" x14ac:dyDescent="0.35">
      <c r="B102" s="40"/>
      <c r="C102" s="308"/>
      <c r="D102" s="1165" t="s">
        <v>1030</v>
      </c>
      <c r="E102" s="1165"/>
      <c r="F102" s="418" t="s">
        <v>1153</v>
      </c>
      <c r="G102" s="287" t="s">
        <v>1027</v>
      </c>
      <c r="H102" s="1062">
        <v>1.9216212999999998</v>
      </c>
      <c r="I102" s="416">
        <v>139.97905979999996</v>
      </c>
      <c r="J102" s="513" t="s">
        <v>1031</v>
      </c>
    </row>
    <row r="103" spans="2:10" s="34" customFormat="1" x14ac:dyDescent="0.35">
      <c r="B103" s="40"/>
      <c r="C103" s="308"/>
      <c r="D103" s="1165" t="s">
        <v>1154</v>
      </c>
      <c r="E103" s="1165"/>
      <c r="F103" s="418" t="s">
        <v>1155</v>
      </c>
      <c r="G103" s="287" t="s">
        <v>1027</v>
      </c>
      <c r="H103" s="1062" t="s">
        <v>174</v>
      </c>
      <c r="I103" s="416">
        <v>0.51205820000000002</v>
      </c>
      <c r="J103" s="290" t="s">
        <v>1039</v>
      </c>
    </row>
    <row r="104" spans="2:10" s="34" customFormat="1" x14ac:dyDescent="0.35">
      <c r="B104" s="40"/>
      <c r="C104" s="308"/>
      <c r="D104" s="1165" t="s">
        <v>1040</v>
      </c>
      <c r="E104" s="1165"/>
      <c r="F104" s="418" t="s">
        <v>1156</v>
      </c>
      <c r="G104" s="287" t="s">
        <v>1027</v>
      </c>
      <c r="H104" s="1062">
        <v>0.17394000000000001</v>
      </c>
      <c r="I104" s="416">
        <v>2.9657183000000011</v>
      </c>
      <c r="J104" s="290" t="s">
        <v>1041</v>
      </c>
    </row>
    <row r="105" spans="2:10" s="34" customFormat="1" x14ac:dyDescent="0.35">
      <c r="B105" s="40"/>
      <c r="C105" s="308"/>
      <c r="D105" s="1165" t="s">
        <v>1042</v>
      </c>
      <c r="E105" s="1165"/>
      <c r="F105" s="418" t="s">
        <v>1157</v>
      </c>
      <c r="G105" s="287" t="s">
        <v>1027</v>
      </c>
      <c r="H105" s="1062">
        <v>11.156291080178711</v>
      </c>
      <c r="I105" s="416">
        <v>29.829850323220001</v>
      </c>
      <c r="J105" s="290" t="s">
        <v>1043</v>
      </c>
    </row>
    <row r="106" spans="2:10" s="34" customFormat="1" x14ac:dyDescent="0.35">
      <c r="B106" s="40"/>
      <c r="C106" s="308"/>
      <c r="D106" s="1165" t="s">
        <v>1048</v>
      </c>
      <c r="E106" s="1165"/>
      <c r="F106" s="418" t="s">
        <v>1158</v>
      </c>
      <c r="G106" s="287" t="s">
        <v>1027</v>
      </c>
      <c r="H106" s="1062" t="s">
        <v>174</v>
      </c>
      <c r="I106" s="416">
        <v>2.3500000000003637E-5</v>
      </c>
      <c r="J106" s="290" t="s">
        <v>1049</v>
      </c>
    </row>
    <row r="107" spans="2:10" s="34" customFormat="1" x14ac:dyDescent="0.35">
      <c r="B107" s="40"/>
      <c r="C107" s="308"/>
      <c r="D107" s="1165" t="s">
        <v>1050</v>
      </c>
      <c r="E107" s="1165"/>
      <c r="F107" s="418" t="s">
        <v>1159</v>
      </c>
      <c r="G107" s="287" t="s">
        <v>1027</v>
      </c>
      <c r="H107" s="1062">
        <v>8.7056519999999988</v>
      </c>
      <c r="I107" s="416">
        <v>4.5092262000000005</v>
      </c>
      <c r="J107" s="286" t="s">
        <v>1051</v>
      </c>
    </row>
    <row r="108" spans="2:10" s="34" customFormat="1" x14ac:dyDescent="0.35">
      <c r="B108" s="40"/>
      <c r="C108" s="308"/>
      <c r="D108" s="1165" t="s">
        <v>1052</v>
      </c>
      <c r="E108" s="1165"/>
      <c r="F108" s="418" t="s">
        <v>1160</v>
      </c>
      <c r="G108" s="287" t="s">
        <v>1027</v>
      </c>
      <c r="H108" s="1062" t="s">
        <v>174</v>
      </c>
      <c r="I108" s="416">
        <v>9.8000000000001823E-6</v>
      </c>
      <c r="J108" s="286" t="s">
        <v>1053</v>
      </c>
    </row>
    <row r="109" spans="2:10" s="34" customFormat="1" x14ac:dyDescent="0.35">
      <c r="B109" s="40"/>
      <c r="C109" s="308"/>
      <c r="D109" s="1165" t="s">
        <v>1060</v>
      </c>
      <c r="E109" s="1165"/>
      <c r="F109" s="418" t="s">
        <v>1161</v>
      </c>
      <c r="G109" s="287" t="s">
        <v>1027</v>
      </c>
      <c r="H109" s="1062">
        <v>11.486715400000003</v>
      </c>
      <c r="I109" s="416">
        <v>156.04834179999997</v>
      </c>
      <c r="J109" s="286" t="s">
        <v>1061</v>
      </c>
    </row>
    <row r="110" spans="2:10" s="34" customFormat="1" x14ac:dyDescent="0.35">
      <c r="B110" s="40"/>
      <c r="C110" s="308"/>
      <c r="D110" s="418" t="s">
        <v>2859</v>
      </c>
      <c r="E110" s="418"/>
      <c r="F110" s="418" t="s">
        <v>2860</v>
      </c>
      <c r="G110" s="287" t="s">
        <v>1027</v>
      </c>
      <c r="H110" s="1062">
        <v>-3.5155096714398608</v>
      </c>
      <c r="I110" s="416">
        <f>0</f>
        <v>0</v>
      </c>
      <c r="J110" s="286" t="s">
        <v>2846</v>
      </c>
    </row>
    <row r="111" spans="2:10" s="34" customFormat="1" x14ac:dyDescent="0.35">
      <c r="B111" s="40"/>
      <c r="C111" s="308"/>
      <c r="D111" s="1165" t="s">
        <v>1064</v>
      </c>
      <c r="E111" s="1165"/>
      <c r="F111" s="418" t="s">
        <v>1151</v>
      </c>
      <c r="G111" s="287" t="s">
        <v>1027</v>
      </c>
      <c r="H111" s="1062">
        <v>329.52606782231965</v>
      </c>
      <c r="I111" s="416">
        <v>34.886253799999999</v>
      </c>
      <c r="J111" s="286" t="s">
        <v>1065</v>
      </c>
    </row>
    <row r="112" spans="2:10" s="34" customFormat="1" x14ac:dyDescent="0.35">
      <c r="B112" s="40"/>
      <c r="C112" s="308"/>
      <c r="D112" s="1165" t="s">
        <v>1062</v>
      </c>
      <c r="E112" s="1165"/>
      <c r="F112" s="418" t="s">
        <v>1148</v>
      </c>
      <c r="G112" s="287" t="s">
        <v>1027</v>
      </c>
      <c r="H112" s="1062">
        <v>3.1092628000000002</v>
      </c>
      <c r="I112" s="416">
        <v>80.917687400000034</v>
      </c>
      <c r="J112" s="286" t="s">
        <v>1162</v>
      </c>
    </row>
    <row r="113" spans="2:10" s="34" customFormat="1" x14ac:dyDescent="0.35">
      <c r="B113" s="40"/>
      <c r="C113" s="308"/>
      <c r="D113" s="418" t="s">
        <v>2867</v>
      </c>
      <c r="E113" s="418"/>
      <c r="F113" s="418" t="s">
        <v>2868</v>
      </c>
      <c r="G113" s="287" t="s">
        <v>1027</v>
      </c>
      <c r="H113" s="1062">
        <v>10.188532500000001</v>
      </c>
      <c r="I113" s="416">
        <f>0</f>
        <v>0</v>
      </c>
      <c r="J113" s="286" t="s">
        <v>2843</v>
      </c>
    </row>
    <row r="114" spans="2:10" s="34" customFormat="1" x14ac:dyDescent="0.35">
      <c r="B114" s="40"/>
      <c r="C114" s="308"/>
      <c r="D114" s="1165" t="s">
        <v>1066</v>
      </c>
      <c r="E114" s="1165"/>
      <c r="F114" s="418" t="s">
        <v>1163</v>
      </c>
      <c r="G114" s="287" t="s">
        <v>1027</v>
      </c>
      <c r="H114" s="1062">
        <v>1.8382196</v>
      </c>
      <c r="I114" s="416">
        <v>39.516658800000002</v>
      </c>
      <c r="J114" s="286" t="s">
        <v>1067</v>
      </c>
    </row>
    <row r="115" spans="2:10" s="34" customFormat="1" x14ac:dyDescent="0.35">
      <c r="B115" s="40"/>
      <c r="C115" s="308"/>
      <c r="D115" s="1165" t="s">
        <v>1068</v>
      </c>
      <c r="E115" s="1165"/>
      <c r="F115" s="418" t="s">
        <v>1164</v>
      </c>
      <c r="G115" s="287" t="s">
        <v>1027</v>
      </c>
      <c r="H115" s="1062" t="s">
        <v>174</v>
      </c>
      <c r="I115" s="416">
        <v>2.8900000000003274E-5</v>
      </c>
      <c r="J115" s="286" t="s">
        <v>1069</v>
      </c>
    </row>
    <row r="116" spans="2:10" s="34" customFormat="1" x14ac:dyDescent="0.35">
      <c r="B116" s="40"/>
      <c r="C116" s="308"/>
      <c r="D116" s="1165" t="s">
        <v>1070</v>
      </c>
      <c r="E116" s="1165"/>
      <c r="F116" s="418" t="s">
        <v>735</v>
      </c>
      <c r="G116" s="287" t="s">
        <v>1027</v>
      </c>
      <c r="H116" s="1062">
        <v>22.929395800000002</v>
      </c>
      <c r="I116" s="416">
        <v>387.39836600000029</v>
      </c>
      <c r="J116" s="286" t="s">
        <v>1071</v>
      </c>
    </row>
    <row r="117" spans="2:10" s="34" customFormat="1" x14ac:dyDescent="0.35">
      <c r="B117" s="40"/>
      <c r="C117" s="308"/>
      <c r="D117" s="1165" t="s">
        <v>1072</v>
      </c>
      <c r="E117" s="1165"/>
      <c r="F117" s="418" t="s">
        <v>1165</v>
      </c>
      <c r="G117" s="287" t="s">
        <v>1027</v>
      </c>
      <c r="H117" s="1062" t="s">
        <v>174</v>
      </c>
      <c r="I117" s="416">
        <v>-6.9819999999999993E-2</v>
      </c>
      <c r="J117" s="286" t="s">
        <v>1073</v>
      </c>
    </row>
    <row r="118" spans="2:10" s="34" customFormat="1" x14ac:dyDescent="0.35">
      <c r="B118" s="40"/>
      <c r="C118" s="308"/>
      <c r="D118" s="1165" t="s">
        <v>1074</v>
      </c>
      <c r="E118" s="1165"/>
      <c r="F118" s="418" t="s">
        <v>736</v>
      </c>
      <c r="G118" s="287" t="s">
        <v>1027</v>
      </c>
      <c r="H118" s="1062">
        <v>920.92954750000001</v>
      </c>
      <c r="I118" s="416">
        <v>616.4415555999999</v>
      </c>
      <c r="J118" s="286" t="s">
        <v>1075</v>
      </c>
    </row>
    <row r="119" spans="2:10" s="34" customFormat="1" x14ac:dyDescent="0.35">
      <c r="B119" s="40"/>
      <c r="C119" s="308"/>
      <c r="D119" s="1165" t="s">
        <v>1166</v>
      </c>
      <c r="E119" s="1165"/>
      <c r="F119" s="418" t="s">
        <v>1153</v>
      </c>
      <c r="G119" s="287" t="s">
        <v>1027</v>
      </c>
      <c r="H119" s="1062">
        <v>38.991339282777076</v>
      </c>
      <c r="I119" s="416">
        <v>184.44797765102007</v>
      </c>
      <c r="J119" s="286" t="s">
        <v>1087</v>
      </c>
    </row>
    <row r="120" spans="2:10" s="34" customFormat="1" x14ac:dyDescent="0.35">
      <c r="B120" s="40"/>
      <c r="C120" s="308"/>
      <c r="D120" s="1178" t="s">
        <v>1082</v>
      </c>
      <c r="E120" s="1178"/>
      <c r="F120" s="651" t="s">
        <v>1167</v>
      </c>
      <c r="G120" s="287" t="s">
        <v>1027</v>
      </c>
      <c r="H120" s="1062" t="s">
        <v>174</v>
      </c>
      <c r="I120" s="416">
        <v>0.15332699999999999</v>
      </c>
      <c r="J120" s="286" t="s">
        <v>1083</v>
      </c>
    </row>
    <row r="121" spans="2:10" s="34" customFormat="1" x14ac:dyDescent="0.35">
      <c r="B121" s="40"/>
      <c r="C121" s="308"/>
      <c r="D121" s="1165" t="s">
        <v>1084</v>
      </c>
      <c r="E121" s="1165"/>
      <c r="F121" s="418" t="s">
        <v>1168</v>
      </c>
      <c r="G121" s="287" t="s">
        <v>1027</v>
      </c>
      <c r="H121" s="1062">
        <f>25.9738884865575</f>
        <v>25.973888486557499</v>
      </c>
      <c r="I121" s="416">
        <v>64.261019599999997</v>
      </c>
      <c r="J121" s="286" t="s">
        <v>1085</v>
      </c>
    </row>
    <row r="122" spans="2:10" s="34" customFormat="1" x14ac:dyDescent="0.35">
      <c r="B122" s="40"/>
      <c r="C122" s="308"/>
      <c r="D122" s="1165" t="s">
        <v>1169</v>
      </c>
      <c r="E122" s="1165"/>
      <c r="F122" s="418" t="s">
        <v>549</v>
      </c>
      <c r="G122" s="287" t="s">
        <v>1027</v>
      </c>
      <c r="H122" s="1062" t="s">
        <v>174</v>
      </c>
      <c r="I122" s="416">
        <v>-4.2801900000000002</v>
      </c>
      <c r="J122" s="286" t="s">
        <v>1018</v>
      </c>
    </row>
    <row r="123" spans="2:10" s="34" customFormat="1" x14ac:dyDescent="0.35">
      <c r="B123" s="40"/>
      <c r="C123" s="308"/>
      <c r="D123" s="1165" t="s">
        <v>1088</v>
      </c>
      <c r="E123" s="1165"/>
      <c r="F123" s="418" t="s">
        <v>549</v>
      </c>
      <c r="G123" s="287" t="s">
        <v>1027</v>
      </c>
      <c r="H123" s="1062">
        <v>24.133787999999999</v>
      </c>
      <c r="I123" s="416">
        <v>23.999871499999983</v>
      </c>
      <c r="J123" s="286" t="s">
        <v>1089</v>
      </c>
    </row>
    <row r="124" spans="2:10" s="34" customFormat="1" x14ac:dyDescent="0.35">
      <c r="B124" s="40"/>
      <c r="C124" s="308"/>
      <c r="D124" s="1165" t="s">
        <v>1090</v>
      </c>
      <c r="E124" s="1165"/>
      <c r="F124" s="418" t="s">
        <v>734</v>
      </c>
      <c r="G124" s="287" t="s">
        <v>1027</v>
      </c>
      <c r="H124" s="1062">
        <v>7.5709291000000007</v>
      </c>
      <c r="I124" s="416">
        <v>9.4309926999999991</v>
      </c>
      <c r="J124" s="286" t="s">
        <v>1091</v>
      </c>
    </row>
    <row r="125" spans="2:10" s="34" customFormat="1" x14ac:dyDescent="0.35">
      <c r="B125" s="40"/>
      <c r="C125" s="308"/>
      <c r="D125" s="1165" t="s">
        <v>1170</v>
      </c>
      <c r="E125" s="1165"/>
      <c r="F125" s="418" t="s">
        <v>1153</v>
      </c>
      <c r="G125" s="287" t="s">
        <v>1027</v>
      </c>
      <c r="H125" s="1062">
        <v>188.69457530000003</v>
      </c>
      <c r="I125" s="416">
        <v>136.2759542</v>
      </c>
      <c r="J125" s="286" t="s">
        <v>1033</v>
      </c>
    </row>
    <row r="126" spans="2:10" s="34" customFormat="1" x14ac:dyDescent="0.35">
      <c r="B126" s="40"/>
      <c r="C126" s="308"/>
      <c r="D126" s="1165" t="s">
        <v>1171</v>
      </c>
      <c r="E126" s="1165"/>
      <c r="F126" s="418" t="s">
        <v>1172</v>
      </c>
      <c r="G126" s="287" t="s">
        <v>1027</v>
      </c>
      <c r="H126" s="1062" t="s">
        <v>174</v>
      </c>
      <c r="I126" s="416">
        <v>7.126519999999989E-2</v>
      </c>
      <c r="J126" s="286" t="s">
        <v>1079</v>
      </c>
    </row>
    <row r="127" spans="2:10" s="34" customFormat="1" x14ac:dyDescent="0.35">
      <c r="B127" s="40"/>
      <c r="C127" s="308"/>
      <c r="D127" s="1165" t="s">
        <v>1034</v>
      </c>
      <c r="E127" s="1165"/>
      <c r="F127" s="418" t="s">
        <v>734</v>
      </c>
      <c r="G127" s="287" t="s">
        <v>1027</v>
      </c>
      <c r="H127" s="1062">
        <v>74.506627331377572</v>
      </c>
      <c r="I127" s="416">
        <v>19.519898599999998</v>
      </c>
      <c r="J127" s="286" t="s">
        <v>1035</v>
      </c>
    </row>
    <row r="128" spans="2:10" s="34" customFormat="1" x14ac:dyDescent="0.35">
      <c r="B128" s="40"/>
      <c r="C128" s="308"/>
      <c r="D128" s="1165" t="s">
        <v>1058</v>
      </c>
      <c r="E128" s="1165"/>
      <c r="F128" s="418" t="s">
        <v>1173</v>
      </c>
      <c r="G128" s="287" t="s">
        <v>1027</v>
      </c>
      <c r="H128" s="1062" t="s">
        <v>174</v>
      </c>
      <c r="I128" s="416">
        <v>-7.5960000000000036E-4</v>
      </c>
      <c r="J128" s="286" t="s">
        <v>1059</v>
      </c>
    </row>
    <row r="129" spans="2:10" s="34" customFormat="1" x14ac:dyDescent="0.35">
      <c r="B129" s="40"/>
      <c r="C129" s="308"/>
      <c r="D129" s="418" t="s">
        <v>2861</v>
      </c>
      <c r="E129" s="418"/>
      <c r="F129" s="418" t="s">
        <v>1194</v>
      </c>
      <c r="G129" s="287" t="s">
        <v>1027</v>
      </c>
      <c r="H129" s="1062">
        <v>18.939077000000026</v>
      </c>
      <c r="I129" s="416">
        <f>0</f>
        <v>0</v>
      </c>
      <c r="J129" s="286" t="s">
        <v>1110</v>
      </c>
    </row>
    <row r="130" spans="2:10" s="34" customFormat="1" x14ac:dyDescent="0.35">
      <c r="B130" s="40"/>
      <c r="C130" s="308"/>
      <c r="D130" s="418" t="s">
        <v>2862</v>
      </c>
      <c r="E130" s="418"/>
      <c r="F130" s="418" t="s">
        <v>1172</v>
      </c>
      <c r="G130" s="287" t="s">
        <v>1027</v>
      </c>
      <c r="H130" s="1062">
        <v>0.42023799999999994</v>
      </c>
      <c r="I130" s="416">
        <f>0</f>
        <v>0</v>
      </c>
      <c r="J130" s="286" t="s">
        <v>2844</v>
      </c>
    </row>
    <row r="131" spans="2:10" s="34" customFormat="1" x14ac:dyDescent="0.35">
      <c r="B131" s="40"/>
      <c r="C131" s="308"/>
      <c r="D131" s="418" t="s">
        <v>2863</v>
      </c>
      <c r="E131" s="418"/>
      <c r="F131" s="418" t="s">
        <v>2864</v>
      </c>
      <c r="G131" s="287" t="s">
        <v>1027</v>
      </c>
      <c r="H131" s="1062">
        <v>0.59151719999999997</v>
      </c>
      <c r="I131" s="416">
        <f>0</f>
        <v>0</v>
      </c>
      <c r="J131" s="286" t="s">
        <v>2845</v>
      </c>
    </row>
    <row r="132" spans="2:10" s="34" customFormat="1" x14ac:dyDescent="0.35">
      <c r="B132" s="40"/>
      <c r="C132" s="308"/>
      <c r="D132" s="1165" t="s">
        <v>1094</v>
      </c>
      <c r="E132" s="1165"/>
      <c r="F132" s="418" t="s">
        <v>1155</v>
      </c>
      <c r="G132" s="287" t="s">
        <v>1027</v>
      </c>
      <c r="H132" s="1062">
        <v>32.943472</v>
      </c>
      <c r="I132" s="416">
        <v>2.0181782000000004</v>
      </c>
      <c r="J132" s="286" t="s">
        <v>1095</v>
      </c>
    </row>
    <row r="133" spans="2:10" s="34" customFormat="1" x14ac:dyDescent="0.35">
      <c r="B133" s="40"/>
      <c r="C133" s="308"/>
      <c r="D133" s="1165" t="s">
        <v>1174</v>
      </c>
      <c r="E133" s="1165"/>
      <c r="F133" s="418" t="s">
        <v>1175</v>
      </c>
      <c r="G133" s="287" t="s">
        <v>1027</v>
      </c>
      <c r="H133" s="1062">
        <v>-1.965875139691142</v>
      </c>
      <c r="I133" s="416">
        <v>11.6133089</v>
      </c>
      <c r="J133" s="286" t="s">
        <v>1057</v>
      </c>
    </row>
    <row r="134" spans="2:10" s="34" customFormat="1" x14ac:dyDescent="0.35">
      <c r="B134" s="40"/>
      <c r="C134" s="308"/>
      <c r="D134" s="418" t="s">
        <v>1176</v>
      </c>
      <c r="E134" s="418"/>
      <c r="F134" s="418" t="s">
        <v>1177</v>
      </c>
      <c r="G134" s="287" t="s">
        <v>1027</v>
      </c>
      <c r="H134" s="1062">
        <v>112.74733605640695</v>
      </c>
      <c r="I134" s="416">
        <v>14.568509283439999</v>
      </c>
      <c r="J134" s="286" t="s">
        <v>1097</v>
      </c>
    </row>
    <row r="135" spans="2:10" s="34" customFormat="1" x14ac:dyDescent="0.35">
      <c r="B135" s="40"/>
      <c r="C135" s="308"/>
      <c r="D135" s="418" t="s">
        <v>1070</v>
      </c>
      <c r="E135" s="418"/>
      <c r="F135" s="418" t="s">
        <v>735</v>
      </c>
      <c r="G135" s="287" t="s">
        <v>1027</v>
      </c>
      <c r="H135" s="1062" t="s">
        <v>174</v>
      </c>
      <c r="I135" s="416">
        <v>-1.1169999999999999E-2</v>
      </c>
      <c r="J135" s="286" t="s">
        <v>1037</v>
      </c>
    </row>
    <row r="136" spans="2:10" s="34" customFormat="1" ht="11.5" customHeight="1" x14ac:dyDescent="0.35">
      <c r="B136" s="40"/>
      <c r="C136" s="308"/>
      <c r="D136" s="418" t="s">
        <v>1178</v>
      </c>
      <c r="E136" s="418"/>
      <c r="F136" s="418" t="s">
        <v>549</v>
      </c>
      <c r="G136" s="520" t="s">
        <v>1014</v>
      </c>
      <c r="H136" s="1062">
        <v>4.1655699999999998</v>
      </c>
      <c r="I136" s="416">
        <v>35.178040000000003</v>
      </c>
      <c r="J136" s="286" t="s">
        <v>1016</v>
      </c>
    </row>
    <row r="137" spans="2:10" s="34" customFormat="1" x14ac:dyDescent="0.35">
      <c r="B137" s="40"/>
      <c r="C137" s="308"/>
      <c r="D137" s="418" t="s">
        <v>1179</v>
      </c>
      <c r="E137" s="418"/>
      <c r="F137" s="418" t="s">
        <v>1168</v>
      </c>
      <c r="G137" s="287" t="s">
        <v>1027</v>
      </c>
      <c r="H137" s="1062">
        <f>111.3942879</f>
        <v>111.39428789999999</v>
      </c>
      <c r="I137" s="416">
        <v>56.801060100000001</v>
      </c>
      <c r="J137" s="286" t="s">
        <v>1099</v>
      </c>
    </row>
    <row r="138" spans="2:10" s="34" customFormat="1" x14ac:dyDescent="0.35">
      <c r="B138" s="40"/>
      <c r="C138" s="308"/>
      <c r="D138" s="418" t="s">
        <v>1180</v>
      </c>
      <c r="E138" s="418"/>
      <c r="F138" s="418" t="s">
        <v>1181</v>
      </c>
      <c r="G138" s="287" t="s">
        <v>1027</v>
      </c>
      <c r="H138" s="1062">
        <f>179.616129191598</f>
        <v>179.61612919159799</v>
      </c>
      <c r="I138" s="416">
        <v>49.483106911159979</v>
      </c>
      <c r="J138" s="286" t="s">
        <v>1103</v>
      </c>
    </row>
    <row r="139" spans="2:10" s="34" customFormat="1" x14ac:dyDescent="0.35">
      <c r="B139" s="40"/>
      <c r="C139" s="308"/>
      <c r="D139" s="418" t="s">
        <v>1182</v>
      </c>
      <c r="E139" s="418"/>
      <c r="F139" s="418" t="s">
        <v>1153</v>
      </c>
      <c r="G139" s="287" t="s">
        <v>1027</v>
      </c>
      <c r="H139" s="1062">
        <v>1213.0176339022582</v>
      </c>
      <c r="I139" s="416">
        <v>612.88114520668</v>
      </c>
      <c r="J139" s="286" t="s">
        <v>1105</v>
      </c>
    </row>
    <row r="140" spans="2:10" s="34" customFormat="1" x14ac:dyDescent="0.35">
      <c r="B140" s="40"/>
      <c r="C140" s="308"/>
      <c r="D140" s="418" t="s">
        <v>1113</v>
      </c>
      <c r="E140" s="418"/>
      <c r="F140" s="418" t="s">
        <v>1158</v>
      </c>
      <c r="G140" s="287" t="s">
        <v>1027</v>
      </c>
      <c r="H140" s="1062">
        <v>25.385230300000003</v>
      </c>
      <c r="I140" s="416">
        <v>30.260264000000003</v>
      </c>
      <c r="J140" s="286" t="s">
        <v>1114</v>
      </c>
    </row>
    <row r="141" spans="2:10" s="34" customFormat="1" x14ac:dyDescent="0.35">
      <c r="B141" s="40"/>
      <c r="C141" s="308"/>
      <c r="D141" s="418" t="s">
        <v>1183</v>
      </c>
      <c r="E141" s="418"/>
      <c r="F141" s="418" t="s">
        <v>1163</v>
      </c>
      <c r="G141" s="287" t="s">
        <v>1027</v>
      </c>
      <c r="H141" s="1062">
        <v>4.8470493000000001</v>
      </c>
      <c r="I141" s="416">
        <v>99.477881499999981</v>
      </c>
      <c r="J141" s="286" t="s">
        <v>1116</v>
      </c>
    </row>
    <row r="142" spans="2:10" s="34" customFormat="1" x14ac:dyDescent="0.35">
      <c r="B142" s="40"/>
      <c r="C142" s="308"/>
      <c r="D142" s="418" t="s">
        <v>1117</v>
      </c>
      <c r="E142" s="418"/>
      <c r="F142" s="418" t="s">
        <v>1157</v>
      </c>
      <c r="G142" s="287" t="s">
        <v>1027</v>
      </c>
      <c r="H142" s="1062">
        <v>0.1104084</v>
      </c>
      <c r="I142" s="416">
        <v>0.74443409999999999</v>
      </c>
      <c r="J142" s="286" t="s">
        <v>1118</v>
      </c>
    </row>
    <row r="143" spans="2:10" s="34" customFormat="1" x14ac:dyDescent="0.35">
      <c r="B143" s="40"/>
      <c r="C143" s="308"/>
      <c r="D143" s="418" t="s">
        <v>1184</v>
      </c>
      <c r="E143" s="418"/>
      <c r="F143" s="418" t="s">
        <v>1159</v>
      </c>
      <c r="G143" s="287" t="s">
        <v>1027</v>
      </c>
      <c r="H143" s="1062">
        <v>22.388693199999995</v>
      </c>
      <c r="I143" s="416">
        <v>9.1084650000000007</v>
      </c>
      <c r="J143" s="286" t="s">
        <v>1120</v>
      </c>
    </row>
    <row r="144" spans="2:10" s="34" customFormat="1" x14ac:dyDescent="0.35">
      <c r="B144" s="40"/>
      <c r="C144" s="308"/>
      <c r="D144" s="418" t="s">
        <v>1123</v>
      </c>
      <c r="E144" s="418"/>
      <c r="F144" s="418" t="s">
        <v>1161</v>
      </c>
      <c r="G144" s="287" t="s">
        <v>1027</v>
      </c>
      <c r="H144" s="1062">
        <v>0.12106979999999999</v>
      </c>
      <c r="I144" s="416">
        <v>6.9354100000000002E-2</v>
      </c>
      <c r="J144" s="286" t="s">
        <v>1124</v>
      </c>
    </row>
    <row r="145" spans="1:14" s="34" customFormat="1" x14ac:dyDescent="0.35">
      <c r="B145" s="40"/>
      <c r="C145" s="308"/>
      <c r="D145" s="418" t="s">
        <v>1185</v>
      </c>
      <c r="E145" s="418"/>
      <c r="F145" s="418" t="s">
        <v>736</v>
      </c>
      <c r="G145" s="287" t="s">
        <v>1027</v>
      </c>
      <c r="H145" s="1062">
        <v>492.45948529999993</v>
      </c>
      <c r="I145" s="416">
        <v>523.86184970000011</v>
      </c>
      <c r="J145" s="286" t="s">
        <v>1126</v>
      </c>
    </row>
    <row r="146" spans="1:14" s="34" customFormat="1" x14ac:dyDescent="0.35">
      <c r="B146" s="40"/>
      <c r="C146" s="308"/>
      <c r="D146" s="418" t="s">
        <v>1044</v>
      </c>
      <c r="E146" s="418"/>
      <c r="F146" s="418" t="s">
        <v>734</v>
      </c>
      <c r="G146" s="287" t="s">
        <v>1027</v>
      </c>
      <c r="H146" s="1062">
        <v>1821.1519651166593</v>
      </c>
      <c r="I146" s="416">
        <v>660.24458740000057</v>
      </c>
      <c r="J146" s="286" t="s">
        <v>1045</v>
      </c>
      <c r="K146" s="110"/>
      <c r="L146" s="418"/>
      <c r="M146" s="747"/>
    </row>
    <row r="147" spans="1:14" s="34" customFormat="1" x14ac:dyDescent="0.35">
      <c r="B147" s="40"/>
      <c r="C147" s="308"/>
      <c r="D147" s="418" t="s">
        <v>1187</v>
      </c>
      <c r="E147" s="418"/>
      <c r="F147" s="418" t="s">
        <v>735</v>
      </c>
      <c r="G147" s="287" t="s">
        <v>1027</v>
      </c>
      <c r="H147" s="1062">
        <v>5810.8575907579843</v>
      </c>
      <c r="I147" s="416">
        <v>3713.6995438856202</v>
      </c>
      <c r="J147" s="286" t="s">
        <v>1128</v>
      </c>
      <c r="K147" s="110"/>
      <c r="L147" s="418"/>
    </row>
    <row r="148" spans="1:14" s="34" customFormat="1" x14ac:dyDescent="0.35">
      <c r="B148" s="40"/>
      <c r="C148" s="308"/>
      <c r="D148" s="418"/>
      <c r="E148" s="418"/>
      <c r="F148" s="418"/>
      <c r="G148" s="287"/>
      <c r="H148" s="416"/>
      <c r="I148" s="416"/>
      <c r="J148" s="286"/>
      <c r="K148" s="117"/>
      <c r="L148" s="418"/>
    </row>
    <row r="149" spans="1:14" s="54" customFormat="1" ht="34.5" hidden="1" x14ac:dyDescent="0.35">
      <c r="B149" s="53"/>
      <c r="C149" s="509" t="s">
        <v>1143</v>
      </c>
      <c r="D149" s="620" t="s">
        <v>1144</v>
      </c>
      <c r="E149" s="620"/>
      <c r="F149" s="620" t="s">
        <v>1145</v>
      </c>
      <c r="G149" s="620" t="s">
        <v>1146</v>
      </c>
      <c r="H149" s="607" t="s">
        <v>147</v>
      </c>
      <c r="I149" s="607" t="s">
        <v>1189</v>
      </c>
    </row>
    <row r="150" spans="1:14" s="53" customFormat="1" x14ac:dyDescent="0.35">
      <c r="B150" s="284" t="str">
        <f>B84</f>
        <v>Paladion Networks Private Limited</v>
      </c>
      <c r="C150" s="308"/>
      <c r="D150" s="418"/>
      <c r="E150" s="418"/>
      <c r="F150" s="418"/>
      <c r="G150" s="287"/>
      <c r="H150" s="416"/>
      <c r="I150" s="416"/>
      <c r="N150" s="61"/>
    </row>
    <row r="151" spans="1:14" s="53" customFormat="1" x14ac:dyDescent="0.35">
      <c r="B151" s="284" t="str">
        <f>B85</f>
        <v>Summary of Material accounting policies and other explanatory information</v>
      </c>
      <c r="C151" s="308"/>
      <c r="D151" s="418"/>
      <c r="E151" s="418"/>
      <c r="F151" s="418"/>
      <c r="G151" s="287"/>
      <c r="H151" s="416"/>
      <c r="I151" s="416"/>
      <c r="N151" s="61"/>
    </row>
    <row r="152" spans="1:14" s="53" customFormat="1" ht="12" x14ac:dyDescent="0.35">
      <c r="B152" s="606" t="str">
        <f>B86</f>
        <v>(Amounts are stated in ₹ lakhs, except share and per share data, unless ottherwise stated)</v>
      </c>
      <c r="C152" s="308"/>
      <c r="D152" s="418"/>
      <c r="E152" s="418"/>
      <c r="F152" s="418"/>
      <c r="G152" s="287"/>
      <c r="H152" s="416"/>
      <c r="I152" s="416"/>
      <c r="N152" s="61"/>
    </row>
    <row r="153" spans="1:14" s="53" customFormat="1" ht="12" x14ac:dyDescent="0.35">
      <c r="B153" s="606"/>
      <c r="C153" s="308"/>
      <c r="D153" s="418"/>
      <c r="E153" s="418"/>
      <c r="F153" s="418"/>
      <c r="G153" s="287"/>
      <c r="H153" s="416"/>
      <c r="I153" s="416"/>
      <c r="J153" s="417"/>
      <c r="N153" s="61"/>
    </row>
    <row r="154" spans="1:14" s="53" customFormat="1" x14ac:dyDescent="0.35">
      <c r="A154" s="110">
        <f>A88</f>
        <v>30</v>
      </c>
      <c r="B154" s="214" t="str">
        <f>"Note "&amp;A154&amp;": Related party transactions (Contd.)"</f>
        <v>Note 30: Related party transactions (Contd.)</v>
      </c>
      <c r="C154" s="418"/>
      <c r="D154" s="418"/>
      <c r="E154" s="287"/>
      <c r="F154" s="287"/>
      <c r="G154" s="416"/>
      <c r="H154" s="416"/>
      <c r="I154" s="417"/>
      <c r="M154" s="61"/>
    </row>
    <row r="155" spans="1:14" s="53" customFormat="1" x14ac:dyDescent="0.35">
      <c r="A155" s="110"/>
      <c r="B155" s="214"/>
      <c r="C155" s="418"/>
      <c r="D155" s="418"/>
      <c r="E155" s="287"/>
      <c r="F155" s="287"/>
      <c r="G155" s="416"/>
      <c r="H155" s="416"/>
      <c r="I155" s="417"/>
      <c r="M155" s="61"/>
    </row>
    <row r="156" spans="1:14" s="54" customFormat="1" ht="34.5" x14ac:dyDescent="0.35">
      <c r="B156" s="53"/>
      <c r="C156" s="509" t="s">
        <v>1143</v>
      </c>
      <c r="D156" s="1180" t="s">
        <v>1144</v>
      </c>
      <c r="E156" s="1180"/>
      <c r="F156" s="620"/>
      <c r="G156" s="620" t="s">
        <v>1146</v>
      </c>
      <c r="H156" s="607" t="s">
        <v>146</v>
      </c>
      <c r="I156" s="607" t="s">
        <v>147</v>
      </c>
    </row>
    <row r="157" spans="1:14" s="53" customFormat="1" x14ac:dyDescent="0.35">
      <c r="B157" s="61"/>
      <c r="C157" s="1172" t="s">
        <v>154</v>
      </c>
      <c r="D157" s="1179" t="s">
        <v>1190</v>
      </c>
      <c r="E157" s="1179"/>
      <c r="F157" s="650" t="s">
        <v>1148</v>
      </c>
      <c r="G157" s="521" t="s">
        <v>1149</v>
      </c>
      <c r="H157" s="604">
        <v>589.09772748236082</v>
      </c>
      <c r="I157" s="604">
        <v>786.40137836236033</v>
      </c>
      <c r="J157" s="718" t="s">
        <v>1024</v>
      </c>
      <c r="K157" s="1070">
        <f>'17-25'!C102/10^5</f>
        <v>6707.654267060022</v>
      </c>
      <c r="L157" s="1071">
        <f>K157-SUM(H157:H183)</f>
        <v>1.4064000106372987E-3</v>
      </c>
      <c r="N157" s="61"/>
    </row>
    <row r="158" spans="1:14" s="53" customFormat="1" x14ac:dyDescent="0.35">
      <c r="B158" s="61"/>
      <c r="C158" s="1113"/>
      <c r="D158" s="1165" t="s">
        <v>531</v>
      </c>
      <c r="E158" s="1165"/>
      <c r="F158" s="418" t="s">
        <v>1150</v>
      </c>
      <c r="G158" s="287" t="s">
        <v>1149</v>
      </c>
      <c r="H158" s="416">
        <v>36.84488338264805</v>
      </c>
      <c r="I158" s="416">
        <v>39.412280660199997</v>
      </c>
      <c r="J158" s="718" t="s">
        <v>1026</v>
      </c>
      <c r="N158" s="61"/>
    </row>
    <row r="159" spans="1:14" s="53" customFormat="1" x14ac:dyDescent="0.35">
      <c r="B159" s="61"/>
      <c r="C159" s="308"/>
      <c r="D159" s="1165" t="s">
        <v>1132</v>
      </c>
      <c r="E159" s="1165"/>
      <c r="F159" s="418" t="s">
        <v>1151</v>
      </c>
      <c r="G159" s="287" t="s">
        <v>1027</v>
      </c>
      <c r="H159" s="416">
        <f>0</f>
        <v>0</v>
      </c>
      <c r="I159" s="416">
        <v>-5.2794007000000009</v>
      </c>
      <c r="J159" s="718" t="s">
        <v>1133</v>
      </c>
      <c r="K159" s="1077"/>
      <c r="L159" s="1070"/>
      <c r="N159" s="61"/>
    </row>
    <row r="160" spans="1:14" s="53" customFormat="1" x14ac:dyDescent="0.35">
      <c r="B160" s="61"/>
      <c r="C160" s="308"/>
      <c r="D160" s="418" t="s">
        <v>1013</v>
      </c>
      <c r="E160" s="418"/>
      <c r="F160" s="418" t="s">
        <v>1153</v>
      </c>
      <c r="G160" s="287" t="s">
        <v>2855</v>
      </c>
      <c r="H160" s="416">
        <v>6.4733591524153695</v>
      </c>
      <c r="I160" s="416">
        <f>0</f>
        <v>0</v>
      </c>
      <c r="J160" s="718" t="s">
        <v>2850</v>
      </c>
      <c r="N160" s="61"/>
    </row>
    <row r="161" spans="2:14" s="53" customFormat="1" x14ac:dyDescent="0.35">
      <c r="B161" s="61"/>
      <c r="C161" s="308"/>
      <c r="D161" s="418" t="s">
        <v>2856</v>
      </c>
      <c r="E161" s="418"/>
      <c r="F161" s="418" t="s">
        <v>1191</v>
      </c>
      <c r="G161" s="287" t="s">
        <v>1027</v>
      </c>
      <c r="H161" s="416">
        <v>1.5179833000000003</v>
      </c>
      <c r="I161" s="416">
        <f>0</f>
        <v>0</v>
      </c>
      <c r="J161" s="718" t="s">
        <v>2851</v>
      </c>
      <c r="N161" s="61"/>
    </row>
    <row r="162" spans="2:14" s="53" customFormat="1" x14ac:dyDescent="0.35">
      <c r="B162" s="61"/>
      <c r="C162" s="308"/>
      <c r="D162" s="418" t="s">
        <v>2857</v>
      </c>
      <c r="E162" s="418"/>
      <c r="F162" s="418" t="s">
        <v>1173</v>
      </c>
      <c r="G162" s="287" t="s">
        <v>1027</v>
      </c>
      <c r="H162" s="416">
        <v>0.71400074399783786</v>
      </c>
      <c r="I162" s="416">
        <f>0</f>
        <v>0</v>
      </c>
      <c r="J162" s="718" t="s">
        <v>2852</v>
      </c>
      <c r="N162" s="61"/>
    </row>
    <row r="163" spans="2:14" s="53" customFormat="1" x14ac:dyDescent="0.35">
      <c r="B163" s="61"/>
      <c r="C163" s="308"/>
      <c r="D163" s="418" t="s">
        <v>2858</v>
      </c>
      <c r="E163" s="418"/>
      <c r="F163" s="418" t="s">
        <v>549</v>
      </c>
      <c r="G163" s="287" t="s">
        <v>1027</v>
      </c>
      <c r="H163" s="416">
        <v>53.595135169556997</v>
      </c>
      <c r="I163" s="416">
        <f>0</f>
        <v>0</v>
      </c>
      <c r="J163" s="718" t="s">
        <v>1089</v>
      </c>
      <c r="N163" s="61"/>
    </row>
    <row r="164" spans="2:14" s="53" customFormat="1" x14ac:dyDescent="0.35">
      <c r="B164" s="61"/>
      <c r="C164" s="308"/>
      <c r="D164" s="1165" t="s">
        <v>1152</v>
      </c>
      <c r="E164" s="1165"/>
      <c r="F164" s="418" t="s">
        <v>734</v>
      </c>
      <c r="G164" s="287" t="s">
        <v>1027</v>
      </c>
      <c r="H164" s="416">
        <f>0</f>
        <v>0</v>
      </c>
      <c r="I164" s="416">
        <v>2306.8461406464203</v>
      </c>
      <c r="J164" s="718" t="s">
        <v>1101</v>
      </c>
      <c r="N164" s="61"/>
    </row>
    <row r="165" spans="2:14" s="53" customFormat="1" x14ac:dyDescent="0.35">
      <c r="B165" s="61"/>
      <c r="C165" s="308"/>
      <c r="D165" s="1165" t="s">
        <v>1169</v>
      </c>
      <c r="E165" s="1165"/>
      <c r="F165" s="418" t="s">
        <v>549</v>
      </c>
      <c r="G165" s="287" t="s">
        <v>1027</v>
      </c>
      <c r="H165" s="416">
        <v>0.11572130000000001</v>
      </c>
      <c r="I165" s="416">
        <v>2.52895694488</v>
      </c>
      <c r="J165" s="718" t="s">
        <v>1018</v>
      </c>
      <c r="L165" s="748"/>
      <c r="N165" s="61"/>
    </row>
    <row r="166" spans="2:14" s="53" customFormat="1" x14ac:dyDescent="0.35">
      <c r="B166" s="61"/>
      <c r="C166" s="308"/>
      <c r="D166" s="1165" t="s">
        <v>1092</v>
      </c>
      <c r="E166" s="1165"/>
      <c r="F166" s="418" t="s">
        <v>1153</v>
      </c>
      <c r="G166" s="287" t="s">
        <v>1027</v>
      </c>
      <c r="H166" s="416">
        <f>0</f>
        <v>0</v>
      </c>
      <c r="I166" s="416">
        <v>0.1150733</v>
      </c>
      <c r="J166" s="718" t="s">
        <v>1093</v>
      </c>
      <c r="N166" s="61"/>
    </row>
    <row r="167" spans="2:14" s="53" customFormat="1" x14ac:dyDescent="0.35">
      <c r="B167" s="61"/>
      <c r="C167" s="308"/>
      <c r="D167" s="1165" t="s">
        <v>1070</v>
      </c>
      <c r="E167" s="1165"/>
      <c r="F167" s="418" t="s">
        <v>735</v>
      </c>
      <c r="G167" s="287" t="s">
        <v>1027</v>
      </c>
      <c r="H167" s="416">
        <v>38.881801300000021</v>
      </c>
      <c r="I167" s="416">
        <v>39.008882</v>
      </c>
      <c r="J167" s="718" t="s">
        <v>1071</v>
      </c>
      <c r="N167" s="61"/>
    </row>
    <row r="168" spans="2:14" s="53" customFormat="1" x14ac:dyDescent="0.35">
      <c r="B168" s="61"/>
      <c r="C168" s="308"/>
      <c r="D168" s="1165" t="s">
        <v>1076</v>
      </c>
      <c r="E168" s="1165"/>
      <c r="F168" s="418" t="s">
        <v>1191</v>
      </c>
      <c r="G168" s="287" t="s">
        <v>1027</v>
      </c>
      <c r="H168" s="416">
        <v>316.57012820000006</v>
      </c>
      <c r="I168" s="416">
        <v>161.7347795</v>
      </c>
      <c r="J168" s="718" t="s">
        <v>1077</v>
      </c>
      <c r="N168" s="61"/>
    </row>
    <row r="169" spans="2:14" s="53" customFormat="1" ht="11.5" customHeight="1" x14ac:dyDescent="0.35">
      <c r="B169" s="61"/>
      <c r="C169" s="308"/>
      <c r="D169" s="1165" t="s">
        <v>1192</v>
      </c>
      <c r="E169" s="1165"/>
      <c r="F169" s="418" t="s">
        <v>549</v>
      </c>
      <c r="G169" s="520" t="s">
        <v>1014</v>
      </c>
      <c r="H169" s="416">
        <v>73.943732434656141</v>
      </c>
      <c r="I169" s="416">
        <v>143.79485259768003</v>
      </c>
      <c r="J169" s="718" t="s">
        <v>1016</v>
      </c>
      <c r="L169" s="748"/>
      <c r="N169" s="61"/>
    </row>
    <row r="170" spans="2:14" s="53" customFormat="1" x14ac:dyDescent="0.35">
      <c r="B170" s="61"/>
      <c r="C170" s="308"/>
      <c r="D170" s="1165" t="s">
        <v>1193</v>
      </c>
      <c r="E170" s="1165"/>
      <c r="F170" s="418" t="s">
        <v>1155</v>
      </c>
      <c r="G170" s="287" t="s">
        <v>1027</v>
      </c>
      <c r="H170" s="416">
        <f>0</f>
        <v>0</v>
      </c>
      <c r="I170" s="416">
        <v>9.18818E-2</v>
      </c>
      <c r="J170" s="718" t="s">
        <v>1039</v>
      </c>
      <c r="L170" s="748"/>
      <c r="N170" s="61"/>
    </row>
    <row r="171" spans="2:14" s="53" customFormat="1" x14ac:dyDescent="0.35">
      <c r="B171" s="61"/>
      <c r="C171" s="308"/>
      <c r="D171" s="1165" t="s">
        <v>1054</v>
      </c>
      <c r="E171" s="1165"/>
      <c r="F171" s="418" t="s">
        <v>1194</v>
      </c>
      <c r="G171" s="287" t="s">
        <v>1027</v>
      </c>
      <c r="H171" s="416">
        <v>135.81371530000001</v>
      </c>
      <c r="I171" s="416">
        <v>7.6186347999999997</v>
      </c>
      <c r="J171" s="718" t="s">
        <v>1055</v>
      </c>
      <c r="N171" s="61"/>
    </row>
    <row r="172" spans="2:14" s="53" customFormat="1" x14ac:dyDescent="0.35">
      <c r="B172" s="61"/>
      <c r="C172" s="308"/>
      <c r="D172" s="1165" t="s">
        <v>1086</v>
      </c>
      <c r="E172" s="1165"/>
      <c r="F172" s="418" t="s">
        <v>1153</v>
      </c>
      <c r="G172" s="287" t="s">
        <v>1027</v>
      </c>
      <c r="H172" s="416">
        <v>-161.822685828191</v>
      </c>
      <c r="I172" s="416">
        <v>-44.243340000000003</v>
      </c>
      <c r="J172" s="718" t="s">
        <v>1087</v>
      </c>
      <c r="N172" s="61"/>
    </row>
    <row r="173" spans="2:14" s="53" customFormat="1" x14ac:dyDescent="0.35">
      <c r="B173" s="61"/>
      <c r="C173" s="308"/>
      <c r="D173" s="1165" t="s">
        <v>1062</v>
      </c>
      <c r="E173" s="1165"/>
      <c r="F173" s="418" t="s">
        <v>1148</v>
      </c>
      <c r="G173" s="287" t="s">
        <v>1027</v>
      </c>
      <c r="H173" s="416">
        <v>3.1713835471401857</v>
      </c>
      <c r="I173" s="416">
        <v>0.87372911374000006</v>
      </c>
      <c r="J173" s="718" t="s">
        <v>1063</v>
      </c>
      <c r="N173" s="61"/>
    </row>
    <row r="174" spans="2:14" s="53" customFormat="1" x14ac:dyDescent="0.35">
      <c r="B174" s="61"/>
      <c r="C174" s="308"/>
      <c r="D174" s="1165" t="s">
        <v>1080</v>
      </c>
      <c r="E174" s="1165"/>
      <c r="F174" s="418" t="s">
        <v>1150</v>
      </c>
      <c r="G174" s="287" t="s">
        <v>1027</v>
      </c>
      <c r="H174" s="416">
        <v>0.25705286283652445</v>
      </c>
      <c r="I174" s="416">
        <v>1.89025378164</v>
      </c>
      <c r="J174" s="718" t="s">
        <v>1081</v>
      </c>
      <c r="N174" s="61"/>
    </row>
    <row r="175" spans="2:14" s="53" customFormat="1" x14ac:dyDescent="0.35">
      <c r="B175" s="61"/>
      <c r="C175" s="308"/>
      <c r="D175" s="418" t="s">
        <v>1123</v>
      </c>
      <c r="E175" s="418"/>
      <c r="F175" s="418" t="s">
        <v>1161</v>
      </c>
      <c r="G175" s="287" t="s">
        <v>1027</v>
      </c>
      <c r="H175" s="416">
        <v>490.81032779999987</v>
      </c>
      <c r="I175" s="416">
        <v>360.79857909999998</v>
      </c>
      <c r="J175" s="722" t="s">
        <v>1124</v>
      </c>
      <c r="N175" s="61"/>
    </row>
    <row r="176" spans="2:14" s="53" customFormat="1" x14ac:dyDescent="0.35">
      <c r="B176" s="61"/>
      <c r="C176" s="308"/>
      <c r="D176" s="418" t="s">
        <v>1196</v>
      </c>
      <c r="E176" s="418"/>
      <c r="F176" s="418" t="s">
        <v>1173</v>
      </c>
      <c r="G176" s="287" t="s">
        <v>1027</v>
      </c>
      <c r="H176" s="416">
        <v>144.03700309999999</v>
      </c>
      <c r="I176" s="416">
        <v>47.148415899999996</v>
      </c>
      <c r="J176" s="722" t="s">
        <v>1059</v>
      </c>
      <c r="N176" s="61"/>
    </row>
    <row r="177" spans="2:14" s="53" customFormat="1" x14ac:dyDescent="0.35">
      <c r="B177" s="61"/>
      <c r="C177" s="308"/>
      <c r="D177" s="418" t="s">
        <v>2873</v>
      </c>
      <c r="E177" s="418"/>
      <c r="F177" s="418" t="s">
        <v>1163</v>
      </c>
      <c r="G177" s="287" t="s">
        <v>1027</v>
      </c>
      <c r="H177" s="416">
        <v>43.456681900000007</v>
      </c>
      <c r="I177" s="416">
        <v>38.951623600000005</v>
      </c>
      <c r="J177" s="722" t="s">
        <v>1067</v>
      </c>
      <c r="N177" s="61"/>
    </row>
    <row r="178" spans="2:14" s="53" customFormat="1" x14ac:dyDescent="0.35">
      <c r="B178" s="61"/>
      <c r="C178" s="308"/>
      <c r="D178" s="418" t="s">
        <v>1109</v>
      </c>
      <c r="E178" s="418"/>
      <c r="F178" s="418" t="s">
        <v>1194</v>
      </c>
      <c r="G178" s="287" t="s">
        <v>1027</v>
      </c>
      <c r="H178" s="416">
        <v>209.42303527580717</v>
      </c>
      <c r="I178" s="416">
        <v>62.153823596200006</v>
      </c>
      <c r="J178" s="722" t="s">
        <v>1110</v>
      </c>
      <c r="N178" s="61"/>
    </row>
    <row r="179" spans="2:14" s="53" customFormat="1" x14ac:dyDescent="0.35">
      <c r="B179" s="61"/>
      <c r="C179" s="308"/>
      <c r="D179" s="418" t="s">
        <v>1197</v>
      </c>
      <c r="E179" s="418"/>
      <c r="F179" s="418" t="s">
        <v>734</v>
      </c>
      <c r="G179" s="287" t="s">
        <v>1027</v>
      </c>
      <c r="H179" s="416">
        <v>899.28037276537259</v>
      </c>
      <c r="I179" s="416">
        <v>1375.9421443358001</v>
      </c>
      <c r="J179" s="722" t="s">
        <v>1045</v>
      </c>
      <c r="N179" s="61"/>
    </row>
    <row r="180" spans="2:14" s="53" customFormat="1" x14ac:dyDescent="0.35">
      <c r="B180" s="61"/>
      <c r="C180" s="308"/>
      <c r="D180" s="418" t="s">
        <v>1104</v>
      </c>
      <c r="E180" s="418"/>
      <c r="F180" s="418" t="s">
        <v>1153</v>
      </c>
      <c r="G180" s="287" t="s">
        <v>1027</v>
      </c>
      <c r="H180" s="416">
        <v>3551.4717541000027</v>
      </c>
      <c r="I180" s="416">
        <v>786.77156439999999</v>
      </c>
      <c r="J180" s="722" t="s">
        <v>1105</v>
      </c>
      <c r="N180" s="61"/>
    </row>
    <row r="181" spans="2:14" s="53" customFormat="1" x14ac:dyDescent="0.35">
      <c r="B181" s="61"/>
      <c r="C181" s="308"/>
      <c r="D181" s="418" t="s">
        <v>1111</v>
      </c>
      <c r="E181" s="418"/>
      <c r="F181" s="418" t="s">
        <v>1153</v>
      </c>
      <c r="G181" s="287" t="s">
        <v>1027</v>
      </c>
      <c r="H181" s="416">
        <v>0.34926480000000004</v>
      </c>
      <c r="I181" s="416">
        <v>0.60625760000000006</v>
      </c>
      <c r="J181" s="722" t="s">
        <v>1112</v>
      </c>
      <c r="N181" s="61"/>
    </row>
    <row r="182" spans="2:14" s="53" customFormat="1" x14ac:dyDescent="0.35">
      <c r="B182" s="61"/>
      <c r="C182" s="308"/>
      <c r="D182" s="418" t="s">
        <v>1121</v>
      </c>
      <c r="E182" s="418"/>
      <c r="F182" s="418" t="s">
        <v>1198</v>
      </c>
      <c r="G182" s="287" t="s">
        <v>1027</v>
      </c>
      <c r="H182" s="416">
        <v>0.88794509999999993</v>
      </c>
      <c r="I182" s="416">
        <v>0.77991430000000006</v>
      </c>
      <c r="J182" s="722" t="s">
        <v>1122</v>
      </c>
      <c r="N182" s="61"/>
    </row>
    <row r="183" spans="2:14" s="53" customFormat="1" x14ac:dyDescent="0.35">
      <c r="B183" s="61"/>
      <c r="C183" s="308"/>
      <c r="D183" s="418" t="s">
        <v>1127</v>
      </c>
      <c r="E183" s="418"/>
      <c r="F183" s="418" t="s">
        <v>735</v>
      </c>
      <c r="G183" s="287" t="s">
        <v>1027</v>
      </c>
      <c r="H183" s="416">
        <v>272.76253747140794</v>
      </c>
      <c r="I183" s="416">
        <v>2.7363637999999999</v>
      </c>
      <c r="J183" s="722" t="s">
        <v>1128</v>
      </c>
      <c r="K183" s="110"/>
      <c r="L183" s="418"/>
      <c r="M183" s="748"/>
      <c r="N183" s="61"/>
    </row>
    <row r="184" spans="2:14" s="53" customFormat="1" x14ac:dyDescent="0.35">
      <c r="B184" s="61"/>
      <c r="C184" s="308"/>
      <c r="D184" s="418" t="s">
        <v>1199</v>
      </c>
      <c r="E184" s="418"/>
      <c r="F184" s="418" t="s">
        <v>1153</v>
      </c>
      <c r="G184" s="287" t="s">
        <v>1027</v>
      </c>
      <c r="H184" s="416">
        <f>0</f>
        <v>0</v>
      </c>
      <c r="I184" s="416">
        <v>3.8155011999999999</v>
      </c>
      <c r="J184" s="722" t="s">
        <v>1107</v>
      </c>
      <c r="K184" s="110"/>
      <c r="L184" s="418"/>
      <c r="N184" s="61"/>
    </row>
    <row r="185" spans="2:14" s="53" customFormat="1" hidden="1" x14ac:dyDescent="0.35">
      <c r="B185" s="61"/>
      <c r="C185" s="308"/>
      <c r="D185" s="418"/>
      <c r="E185" s="418"/>
      <c r="F185" s="418"/>
      <c r="G185" s="287"/>
      <c r="H185" s="416"/>
      <c r="I185" s="416"/>
      <c r="J185" s="722"/>
      <c r="K185" s="117"/>
      <c r="L185" s="418"/>
      <c r="N185" s="61"/>
    </row>
    <row r="186" spans="2:14" s="53" customFormat="1" ht="23" x14ac:dyDescent="0.35">
      <c r="B186" s="61"/>
      <c r="C186" s="792" t="s">
        <v>808</v>
      </c>
      <c r="D186" s="1181" t="s">
        <v>1030</v>
      </c>
      <c r="E186" s="1181"/>
      <c r="F186" s="793" t="s">
        <v>1153</v>
      </c>
      <c r="G186" s="525" t="s">
        <v>1027</v>
      </c>
      <c r="H186" s="794">
        <v>808.49661531531126</v>
      </c>
      <c r="I186" s="794">
        <v>1180.2798261471798</v>
      </c>
      <c r="J186" s="718" t="s">
        <v>1031</v>
      </c>
      <c r="K186" s="1067">
        <f>'17-25'!D154</f>
        <v>808.4966153153116</v>
      </c>
      <c r="L186" s="418">
        <f>H186-K186</f>
        <v>0</v>
      </c>
      <c r="N186" s="61"/>
    </row>
    <row r="187" spans="2:14" s="53" customFormat="1" hidden="1" x14ac:dyDescent="0.35">
      <c r="B187" s="61"/>
      <c r="C187" s="735"/>
      <c r="D187" s="1165"/>
      <c r="E187" s="1165"/>
      <c r="F187" s="418"/>
      <c r="G187" s="287"/>
      <c r="H187" s="416"/>
      <c r="I187" s="416"/>
      <c r="J187" s="718"/>
      <c r="K187" s="117"/>
      <c r="L187" s="418"/>
      <c r="N187" s="61"/>
    </row>
    <row r="188" spans="2:14" x14ac:dyDescent="0.35">
      <c r="B188" s="211"/>
      <c r="C188" s="625" t="s">
        <v>829</v>
      </c>
      <c r="D188" s="1179" t="s">
        <v>1169</v>
      </c>
      <c r="E188" s="1179"/>
      <c r="F188" s="650" t="s">
        <v>549</v>
      </c>
      <c r="G188" s="521" t="s">
        <v>1027</v>
      </c>
      <c r="H188" s="604">
        <f>0</f>
        <v>0</v>
      </c>
      <c r="I188" s="604">
        <f>0</f>
        <v>0</v>
      </c>
      <c r="J188" s="513"/>
    </row>
    <row r="189" spans="2:14" x14ac:dyDescent="0.35">
      <c r="B189" s="211"/>
      <c r="D189" s="1165" t="s">
        <v>1088</v>
      </c>
      <c r="E189" s="1165"/>
      <c r="F189" s="418" t="s">
        <v>549</v>
      </c>
      <c r="G189" s="287" t="s">
        <v>1027</v>
      </c>
      <c r="H189" s="416">
        <f>0</f>
        <v>0</v>
      </c>
      <c r="I189" s="416">
        <v>58.734000000000002</v>
      </c>
      <c r="J189" s="513" t="s">
        <v>1089</v>
      </c>
      <c r="L189" s="418"/>
    </row>
    <row r="190" spans="2:14" x14ac:dyDescent="0.35">
      <c r="B190" s="211"/>
      <c r="D190" s="418" t="s">
        <v>1046</v>
      </c>
      <c r="E190" s="418"/>
      <c r="F190" s="418" t="s">
        <v>549</v>
      </c>
      <c r="G190" s="287" t="s">
        <v>1027</v>
      </c>
      <c r="H190" s="416">
        <f>0</f>
        <v>0</v>
      </c>
      <c r="I190" s="416">
        <v>0.46200000000000002</v>
      </c>
      <c r="J190" s="513" t="s">
        <v>1047</v>
      </c>
      <c r="L190" s="418"/>
    </row>
    <row r="191" spans="2:14" x14ac:dyDescent="0.35">
      <c r="B191" s="211"/>
      <c r="D191" s="418" t="s">
        <v>1034</v>
      </c>
      <c r="E191" s="418"/>
      <c r="F191" s="418" t="s">
        <v>734</v>
      </c>
      <c r="G191" s="287" t="s">
        <v>1027</v>
      </c>
      <c r="H191" s="416">
        <v>44.202456184766703</v>
      </c>
      <c r="I191" s="416">
        <v>26.659732400000003</v>
      </c>
      <c r="J191" s="513" t="s">
        <v>1035</v>
      </c>
      <c r="K191" s="117"/>
      <c r="L191" s="418"/>
    </row>
    <row r="192" spans="2:14" ht="14.5" customHeight="1" x14ac:dyDescent="0.35">
      <c r="B192" s="211"/>
      <c r="C192" s="1069"/>
      <c r="D192" s="1165" t="s">
        <v>639</v>
      </c>
      <c r="E192" s="1165"/>
      <c r="F192" s="418" t="s">
        <v>549</v>
      </c>
      <c r="G192" s="520" t="s">
        <v>1014</v>
      </c>
      <c r="H192" s="416">
        <f>0</f>
        <v>0</v>
      </c>
      <c r="I192" s="416">
        <v>-50.984491799999994</v>
      </c>
      <c r="J192" s="513" t="s">
        <v>1016</v>
      </c>
    </row>
    <row r="193" spans="2:17" x14ac:dyDescent="0.35">
      <c r="B193" s="211"/>
      <c r="C193" s="1172" t="s">
        <v>1200</v>
      </c>
      <c r="D193" s="1179" t="s">
        <v>2854</v>
      </c>
      <c r="E193" s="1179"/>
      <c r="F193" s="650" t="s">
        <v>1150</v>
      </c>
      <c r="G193" s="521" t="s">
        <v>1149</v>
      </c>
      <c r="H193" s="604">
        <v>227.93124820000003</v>
      </c>
      <c r="I193" s="604">
        <f>0</f>
        <v>0</v>
      </c>
      <c r="J193" s="286" t="s">
        <v>1026</v>
      </c>
      <c r="K193" s="1068">
        <f>'17-25'!D157</f>
        <v>199.54529132705338</v>
      </c>
      <c r="L193" s="418">
        <f>K193-SUM(H193:H195)</f>
        <v>0</v>
      </c>
    </row>
    <row r="194" spans="2:17" x14ac:dyDescent="0.35">
      <c r="B194" s="211"/>
      <c r="C194" s="1113"/>
      <c r="D194" s="418" t="s">
        <v>1197</v>
      </c>
      <c r="E194" s="418"/>
      <c r="F194" s="418" t="s">
        <v>734</v>
      </c>
      <c r="G194" s="287" t="s">
        <v>1027</v>
      </c>
      <c r="H194" s="416">
        <v>-39.19702257294658</v>
      </c>
      <c r="I194" s="416">
        <f>0</f>
        <v>0</v>
      </c>
      <c r="J194" s="286" t="s">
        <v>1045</v>
      </c>
      <c r="L194" s="418"/>
    </row>
    <row r="195" spans="2:17" ht="17" customHeight="1" x14ac:dyDescent="0.35">
      <c r="B195" s="211"/>
      <c r="C195" s="614"/>
      <c r="D195" s="512" t="s">
        <v>1201</v>
      </c>
      <c r="E195" s="512"/>
      <c r="F195" s="512" t="s">
        <v>549</v>
      </c>
      <c r="G195" s="816" t="s">
        <v>1014</v>
      </c>
      <c r="H195" s="605">
        <v>10.8110657</v>
      </c>
      <c r="I195" s="605">
        <v>6.1474099999999998</v>
      </c>
      <c r="J195" s="513" t="s">
        <v>1016</v>
      </c>
    </row>
    <row r="196" spans="2:17" x14ac:dyDescent="0.35">
      <c r="B196" s="40"/>
      <c r="C196" s="625" t="s">
        <v>791</v>
      </c>
      <c r="D196" s="1179" t="s">
        <v>1088</v>
      </c>
      <c r="E196" s="1179"/>
      <c r="F196" s="650" t="s">
        <v>549</v>
      </c>
      <c r="G196" s="521" t="s">
        <v>1027</v>
      </c>
      <c r="H196" s="604">
        <v>1.3948199999999999</v>
      </c>
      <c r="I196" s="604">
        <v>3.0627426</v>
      </c>
      <c r="J196" s="286" t="s">
        <v>1089</v>
      </c>
      <c r="K196" s="1067">
        <f>'17-25'!D119</f>
        <v>0.19858000000000001</v>
      </c>
      <c r="L196" s="421">
        <f>K196-SUM(H196:H197)</f>
        <v>0</v>
      </c>
      <c r="O196" s="418"/>
      <c r="Q196" s="185"/>
    </row>
    <row r="197" spans="2:17" ht="23" x14ac:dyDescent="0.35">
      <c r="B197" s="40"/>
      <c r="C197" s="511"/>
      <c r="D197" s="512" t="s">
        <v>1201</v>
      </c>
      <c r="E197" s="512"/>
      <c r="F197" s="512" t="s">
        <v>549</v>
      </c>
      <c r="G197" s="816" t="s">
        <v>1014</v>
      </c>
      <c r="H197" s="605">
        <v>-1.19624</v>
      </c>
      <c r="I197" s="605">
        <f>-0.5264</f>
        <v>-0.52639999999999998</v>
      </c>
      <c r="J197" s="513" t="s">
        <v>1016</v>
      </c>
      <c r="O197" s="418"/>
    </row>
    <row r="198" spans="2:17" hidden="1" x14ac:dyDescent="0.35">
      <c r="B198" s="40"/>
      <c r="C198" s="353"/>
      <c r="D198" s="1182"/>
      <c r="E198" s="1182"/>
      <c r="F198" s="512"/>
      <c r="G198" s="814"/>
      <c r="H198" s="605"/>
      <c r="I198" s="605"/>
      <c r="J198" s="286"/>
      <c r="N198" s="117"/>
      <c r="O198" s="418"/>
    </row>
    <row r="199" spans="2:17" ht="10.5" customHeight="1" x14ac:dyDescent="0.35">
      <c r="B199" s="40"/>
      <c r="C199" s="1112" t="s">
        <v>1202</v>
      </c>
      <c r="D199" s="418" t="s">
        <v>1197</v>
      </c>
      <c r="E199" s="418"/>
      <c r="F199" s="418" t="s">
        <v>734</v>
      </c>
      <c r="G199" s="517" t="s">
        <v>1027</v>
      </c>
      <c r="H199" s="416">
        <v>-35.333089329461281</v>
      </c>
      <c r="I199" s="416">
        <f>0</f>
        <v>0</v>
      </c>
      <c r="J199" s="286" t="s">
        <v>1045</v>
      </c>
      <c r="K199" s="1068">
        <f>'17-25'!D175+'17-25'!D172</f>
        <v>41.12871257053871</v>
      </c>
      <c r="L199" s="418">
        <f>K199-SUM(H199:H202)</f>
        <v>0</v>
      </c>
      <c r="N199" s="117"/>
      <c r="O199" s="418"/>
    </row>
    <row r="200" spans="2:17" x14ac:dyDescent="0.35">
      <c r="B200" s="40"/>
      <c r="C200" s="1112"/>
      <c r="D200" s="1178" t="s">
        <v>2915</v>
      </c>
      <c r="E200" s="1178"/>
      <c r="F200" s="418" t="s">
        <v>549</v>
      </c>
      <c r="G200" s="287" t="s">
        <v>1027</v>
      </c>
      <c r="H200" s="416">
        <v>8.9558719</v>
      </c>
      <c r="I200" s="416">
        <f>0</f>
        <v>0</v>
      </c>
      <c r="J200" s="286" t="s">
        <v>1047</v>
      </c>
      <c r="N200" s="117"/>
      <c r="O200" s="418"/>
    </row>
    <row r="201" spans="2:17" ht="14.5" customHeight="1" x14ac:dyDescent="0.35">
      <c r="B201" s="40"/>
      <c r="C201" s="1112"/>
      <c r="D201" s="1165" t="s">
        <v>1088</v>
      </c>
      <c r="E201" s="1165"/>
      <c r="F201" s="418" t="s">
        <v>549</v>
      </c>
      <c r="G201" s="287" t="s">
        <v>1027</v>
      </c>
      <c r="H201" s="416">
        <v>39.263939999999998</v>
      </c>
      <c r="I201" s="416">
        <v>48.858462799999991</v>
      </c>
      <c r="J201" s="286" t="s">
        <v>1089</v>
      </c>
      <c r="L201" s="418"/>
      <c r="O201" s="185"/>
    </row>
    <row r="202" spans="2:17" ht="18" customHeight="1" x14ac:dyDescent="0.35">
      <c r="B202" s="40"/>
      <c r="C202" s="1112"/>
      <c r="D202" s="512" t="s">
        <v>639</v>
      </c>
      <c r="E202" s="512"/>
      <c r="F202" s="418" t="s">
        <v>549</v>
      </c>
      <c r="G202" s="520" t="s">
        <v>1014</v>
      </c>
      <c r="H202" s="605">
        <v>28.241990000000001</v>
      </c>
      <c r="I202" s="605">
        <v>-21.44388</v>
      </c>
      <c r="J202" s="513" t="s">
        <v>1016</v>
      </c>
    </row>
    <row r="203" spans="2:17" hidden="1" x14ac:dyDescent="0.35">
      <c r="B203" s="40"/>
      <c r="C203" s="531"/>
      <c r="D203" s="1182"/>
      <c r="E203" s="1182"/>
      <c r="F203" s="512"/>
      <c r="G203" s="512"/>
      <c r="H203" s="605"/>
      <c r="I203" s="605"/>
      <c r="J203" s="286"/>
    </row>
    <row r="204" spans="2:17" x14ac:dyDescent="0.35">
      <c r="B204" s="40"/>
      <c r="C204" s="625" t="s">
        <v>1203</v>
      </c>
      <c r="D204" s="1179" t="s">
        <v>1088</v>
      </c>
      <c r="E204" s="1179"/>
      <c r="F204" s="650" t="s">
        <v>549</v>
      </c>
      <c r="G204" s="521" t="s">
        <v>1027</v>
      </c>
      <c r="H204" s="604">
        <v>27.731057499999999</v>
      </c>
      <c r="I204" s="604">
        <v>32.548929200000003</v>
      </c>
      <c r="J204" s="286" t="s">
        <v>1089</v>
      </c>
      <c r="K204" s="1067">
        <f>'17-25'!D184</f>
        <v>15.066947499999999</v>
      </c>
      <c r="L204" s="418">
        <f>K204-SUM(H204:H205)</f>
        <v>0</v>
      </c>
      <c r="O204" s="185"/>
    </row>
    <row r="205" spans="2:17" ht="15" customHeight="1" x14ac:dyDescent="0.35">
      <c r="B205" s="40"/>
      <c r="C205" s="511"/>
      <c r="D205" s="512" t="s">
        <v>639</v>
      </c>
      <c r="E205" s="512"/>
      <c r="F205" s="512" t="s">
        <v>549</v>
      </c>
      <c r="G205" s="816" t="s">
        <v>1204</v>
      </c>
      <c r="H205" s="605">
        <v>-12.664110000000001</v>
      </c>
      <c r="I205" s="605">
        <v>-11.449199999999999</v>
      </c>
      <c r="J205" s="513" t="s">
        <v>1016</v>
      </c>
    </row>
    <row r="206" spans="2:17" hidden="1" x14ac:dyDescent="0.35">
      <c r="B206" s="40"/>
      <c r="C206" s="531"/>
      <c r="D206" s="1182"/>
      <c r="E206" s="1182"/>
      <c r="F206" s="512"/>
      <c r="G206" s="512"/>
      <c r="H206" s="605"/>
      <c r="I206" s="605"/>
      <c r="J206" s="286"/>
      <c r="K206" s="117"/>
      <c r="L206" s="418"/>
    </row>
    <row r="207" spans="2:17" x14ac:dyDescent="0.35">
      <c r="B207" s="40"/>
      <c r="C207" s="795" t="s">
        <v>814</v>
      </c>
      <c r="D207" s="1181" t="s">
        <v>1088</v>
      </c>
      <c r="E207" s="1181"/>
      <c r="F207" s="793" t="s">
        <v>549</v>
      </c>
      <c r="G207" s="525" t="s">
        <v>1027</v>
      </c>
      <c r="H207" s="794">
        <v>0.2742018</v>
      </c>
      <c r="I207" s="794">
        <v>0</v>
      </c>
      <c r="J207" s="286" t="s">
        <v>1016</v>
      </c>
      <c r="K207" s="1067">
        <f>'17-25'!D163</f>
        <v>0.2742018</v>
      </c>
      <c r="L207" s="418">
        <f>H207-K207</f>
        <v>0</v>
      </c>
    </row>
    <row r="208" spans="2:17" hidden="1" x14ac:dyDescent="0.35">
      <c r="B208" s="40"/>
      <c r="C208" s="531"/>
      <c r="D208" s="1182"/>
      <c r="E208" s="1182"/>
      <c r="F208" s="512"/>
      <c r="G208" s="512"/>
      <c r="H208" s="605"/>
      <c r="I208" s="605"/>
      <c r="J208" s="286"/>
      <c r="L208" s="418"/>
    </row>
    <row r="209" spans="2:15" hidden="1" x14ac:dyDescent="0.35">
      <c r="B209" s="40"/>
      <c r="C209" s="531"/>
      <c r="D209" s="1182"/>
      <c r="E209" s="1182"/>
      <c r="F209" s="512"/>
      <c r="G209" s="512"/>
      <c r="H209" s="605"/>
      <c r="I209" s="605"/>
      <c r="J209" s="415"/>
      <c r="K209" s="117"/>
      <c r="L209" s="418"/>
      <c r="O209" s="418"/>
    </row>
    <row r="210" spans="2:15" ht="14.5" customHeight="1" x14ac:dyDescent="0.35">
      <c r="B210" s="40"/>
      <c r="C210" s="1167" t="s">
        <v>1205</v>
      </c>
      <c r="D210" s="291" t="s">
        <v>1197</v>
      </c>
      <c r="E210" s="291"/>
      <c r="F210" s="291" t="s">
        <v>734</v>
      </c>
      <c r="G210" s="517" t="s">
        <v>1027</v>
      </c>
      <c r="H210" s="416">
        <v>-8.7895291980853898</v>
      </c>
      <c r="I210" s="416"/>
      <c r="J210" s="286" t="s">
        <v>1045</v>
      </c>
      <c r="K210" s="418">
        <f>'17-25'!D168</f>
        <v>-7.0068691980853899</v>
      </c>
      <c r="L210" s="1067">
        <f>K210-SUM(H210:H211)</f>
        <v>0</v>
      </c>
      <c r="O210" s="418"/>
    </row>
    <row r="211" spans="2:15" ht="15" customHeight="1" x14ac:dyDescent="0.35">
      <c r="B211" s="40"/>
      <c r="C211" s="1112"/>
      <c r="D211" s="1163" t="s">
        <v>639</v>
      </c>
      <c r="E211" s="1163"/>
      <c r="F211" s="286" t="s">
        <v>549</v>
      </c>
      <c r="G211" s="520" t="s">
        <v>1014</v>
      </c>
      <c r="H211" s="416">
        <v>1.7826599999999999</v>
      </c>
      <c r="I211" s="416">
        <v>7.9001400000000004</v>
      </c>
      <c r="J211" s="286" t="s">
        <v>1016</v>
      </c>
    </row>
    <row r="212" spans="2:15" hidden="1" x14ac:dyDescent="0.35">
      <c r="B212" s="40"/>
      <c r="C212" s="531"/>
      <c r="D212" s="1182"/>
      <c r="E212" s="1182"/>
      <c r="F212" s="512"/>
      <c r="G212" s="512"/>
      <c r="H212" s="605"/>
      <c r="I212" s="605"/>
      <c r="J212" s="415"/>
      <c r="O212" s="418"/>
    </row>
    <row r="213" spans="2:15" x14ac:dyDescent="0.35">
      <c r="B213" s="40"/>
      <c r="C213" s="625" t="s">
        <v>1206</v>
      </c>
      <c r="D213" s="1169" t="s">
        <v>1190</v>
      </c>
      <c r="E213" s="1169"/>
      <c r="F213" s="291" t="s">
        <v>1148</v>
      </c>
      <c r="G213" s="521" t="s">
        <v>1149</v>
      </c>
      <c r="H213" s="604">
        <v>-41.27136990280205</v>
      </c>
      <c r="I213" s="604">
        <v>-40.471883534000007</v>
      </c>
      <c r="J213" s="286" t="s">
        <v>1024</v>
      </c>
      <c r="K213" s="1067">
        <f>'17-25'!D113</f>
        <v>-41.27136990280205</v>
      </c>
      <c r="L213" s="418">
        <f>H213-K213</f>
        <v>0</v>
      </c>
      <c r="N213" s="36">
        <f>H213*100000</f>
        <v>-4127136.9902802049</v>
      </c>
      <c r="O213" s="418"/>
    </row>
    <row r="214" spans="2:15" x14ac:dyDescent="0.35">
      <c r="B214" s="40"/>
      <c r="C214" s="511"/>
      <c r="D214" s="1164" t="s">
        <v>531</v>
      </c>
      <c r="E214" s="1164"/>
      <c r="F214" s="647" t="s">
        <v>1150</v>
      </c>
      <c r="G214" s="527" t="s">
        <v>1149</v>
      </c>
      <c r="H214" s="605">
        <f>0</f>
        <v>0</v>
      </c>
      <c r="I214" s="605">
        <v>-29.970638978429999</v>
      </c>
      <c r="J214" s="286" t="s">
        <v>1026</v>
      </c>
      <c r="O214" s="418"/>
    </row>
    <row r="215" spans="2:15" hidden="1" x14ac:dyDescent="0.35">
      <c r="B215" s="40"/>
      <c r="D215" s="286"/>
      <c r="E215" s="286"/>
      <c r="F215" s="286"/>
      <c r="H215" s="416"/>
      <c r="I215" s="416"/>
      <c r="J215" s="286"/>
      <c r="N215" s="117"/>
      <c r="O215" s="418"/>
    </row>
    <row r="216" spans="2:15" ht="14.5" customHeight="1" x14ac:dyDescent="0.35">
      <c r="B216" s="40"/>
      <c r="C216" s="1167" t="s">
        <v>779</v>
      </c>
      <c r="D216" s="291" t="s">
        <v>1046</v>
      </c>
      <c r="E216" s="291"/>
      <c r="F216" s="286" t="s">
        <v>549</v>
      </c>
      <c r="G216" s="521" t="s">
        <v>1027</v>
      </c>
      <c r="H216" s="604">
        <f>2.4843051</f>
        <v>2.4843050999999998</v>
      </c>
      <c r="I216" s="1064"/>
      <c r="J216" s="286" t="s">
        <v>1047</v>
      </c>
      <c r="K216" s="418">
        <f>H217+H216</f>
        <v>21.026928799999901</v>
      </c>
      <c r="L216" s="1067">
        <f>'17-25'!D86-SUM(H216:H217)</f>
        <v>9.9475983006414026E-14</v>
      </c>
      <c r="N216" s="117"/>
      <c r="O216" s="418"/>
    </row>
    <row r="217" spans="2:15" ht="18" customHeight="1" x14ac:dyDescent="0.35">
      <c r="B217" s="40"/>
      <c r="C217" s="1168"/>
      <c r="D217" s="647" t="s">
        <v>639</v>
      </c>
      <c r="E217" s="647"/>
      <c r="F217" s="647" t="s">
        <v>549</v>
      </c>
      <c r="G217" s="816" t="s">
        <v>1014</v>
      </c>
      <c r="H217" s="605">
        <f>18.5426236999999</f>
        <v>18.542623699999901</v>
      </c>
      <c r="I217" s="1065">
        <v>-1.05199</v>
      </c>
      <c r="J217" s="286" t="s">
        <v>1016</v>
      </c>
      <c r="O217" s="418"/>
    </row>
    <row r="218" spans="2:15" ht="23" x14ac:dyDescent="0.35">
      <c r="B218" s="40"/>
      <c r="C218" s="308" t="s">
        <v>1207</v>
      </c>
      <c r="D218" s="286" t="s">
        <v>1201</v>
      </c>
      <c r="E218" s="286"/>
      <c r="F218" s="286" t="s">
        <v>549</v>
      </c>
      <c r="G218" s="816" t="s">
        <v>1014</v>
      </c>
      <c r="H218" s="416">
        <v>2.24872701576321</v>
      </c>
      <c r="I218" s="416">
        <v>1.4201768632889489</v>
      </c>
      <c r="J218" s="286" t="s">
        <v>1016</v>
      </c>
      <c r="K218" s="1067">
        <f>'17-25'!D130</f>
        <v>2.24872701576321</v>
      </c>
      <c r="L218" s="418">
        <f>H218-K218</f>
        <v>0</v>
      </c>
      <c r="O218" s="418"/>
    </row>
    <row r="219" spans="2:15" x14ac:dyDescent="0.35">
      <c r="B219" s="40"/>
      <c r="C219" s="1167" t="s">
        <v>813</v>
      </c>
      <c r="D219" s="291" t="s">
        <v>1197</v>
      </c>
      <c r="E219" s="291"/>
      <c r="F219" s="291" t="s">
        <v>734</v>
      </c>
      <c r="G219" s="517" t="s">
        <v>1027</v>
      </c>
      <c r="H219" s="604">
        <v>-1.512339827857037</v>
      </c>
      <c r="I219" s="604">
        <f>0</f>
        <v>0</v>
      </c>
      <c r="J219" s="286" t="s">
        <v>1045</v>
      </c>
      <c r="K219" s="1067">
        <f>'17-25'!D160</f>
        <v>18.105620172142956</v>
      </c>
      <c r="L219" s="418">
        <f>H220+H219-K219</f>
        <v>0</v>
      </c>
      <c r="O219" s="418"/>
    </row>
    <row r="220" spans="2:15" x14ac:dyDescent="0.35">
      <c r="B220" s="40"/>
      <c r="C220" s="1112"/>
      <c r="D220" s="647" t="s">
        <v>2853</v>
      </c>
      <c r="E220" s="647"/>
      <c r="F220" s="647" t="s">
        <v>549</v>
      </c>
      <c r="G220" s="816" t="s">
        <v>1027</v>
      </c>
      <c r="H220" s="416">
        <v>19.61796</v>
      </c>
      <c r="I220" s="416">
        <f>0</f>
        <v>0</v>
      </c>
      <c r="J220" s="286" t="s">
        <v>2847</v>
      </c>
      <c r="O220" s="418"/>
    </row>
    <row r="221" spans="2:15" ht="22.5" customHeight="1" x14ac:dyDescent="0.35">
      <c r="B221" s="40"/>
      <c r="C221" s="1066" t="s">
        <v>2848</v>
      </c>
      <c r="D221" s="647" t="s">
        <v>2916</v>
      </c>
      <c r="E221" s="647"/>
      <c r="F221" s="647" t="s">
        <v>1191</v>
      </c>
      <c r="G221" s="816" t="s">
        <v>1027</v>
      </c>
      <c r="H221" s="794">
        <v>1.020106</v>
      </c>
      <c r="I221" s="794">
        <f>0</f>
        <v>0</v>
      </c>
      <c r="J221" s="286" t="s">
        <v>1077</v>
      </c>
      <c r="K221" s="1067">
        <f>'17-25'!D188</f>
        <v>1.020106</v>
      </c>
      <c r="L221" s="418">
        <f>H221-K221</f>
        <v>0</v>
      </c>
      <c r="N221" s="286"/>
      <c r="O221" s="418"/>
    </row>
    <row r="222" spans="2:15" ht="23" x14ac:dyDescent="0.35">
      <c r="B222" s="40"/>
      <c r="C222" s="308" t="s">
        <v>1208</v>
      </c>
      <c r="D222" s="647" t="s">
        <v>639</v>
      </c>
      <c r="E222" s="286"/>
      <c r="F222" s="647" t="s">
        <v>549</v>
      </c>
      <c r="G222" s="816" t="s">
        <v>1014</v>
      </c>
      <c r="H222" s="416">
        <f>0</f>
        <v>0</v>
      </c>
      <c r="I222" s="416">
        <v>66.197828466934112</v>
      </c>
      <c r="J222" s="286" t="s">
        <v>1016</v>
      </c>
      <c r="O222" s="418"/>
    </row>
    <row r="223" spans="2:15" ht="23" x14ac:dyDescent="0.35">
      <c r="B223" s="40"/>
      <c r="C223" s="625" t="s">
        <v>1209</v>
      </c>
      <c r="D223" s="291" t="s">
        <v>639</v>
      </c>
      <c r="E223" s="291"/>
      <c r="F223" s="291" t="s">
        <v>549</v>
      </c>
      <c r="G223" s="517" t="s">
        <v>1014</v>
      </c>
      <c r="H223" s="604">
        <v>2.3959477727200587</v>
      </c>
      <c r="I223" s="604">
        <v>1.5972985151467063</v>
      </c>
      <c r="J223" s="286" t="s">
        <v>1016</v>
      </c>
      <c r="K223" s="1067">
        <f>'17-25'!D81</f>
        <v>2.3959477727200587</v>
      </c>
      <c r="L223" s="418">
        <f>H223-K223</f>
        <v>0</v>
      </c>
      <c r="O223" s="418"/>
    </row>
    <row r="224" spans="2:15" ht="23" x14ac:dyDescent="0.35">
      <c r="B224" s="40"/>
      <c r="C224" s="795" t="s">
        <v>1210</v>
      </c>
      <c r="D224" s="806" t="s">
        <v>639</v>
      </c>
      <c r="E224" s="806"/>
      <c r="F224" s="806" t="s">
        <v>549</v>
      </c>
      <c r="G224" s="815" t="s">
        <v>1014</v>
      </c>
      <c r="H224" s="794">
        <v>27.460329881389299</v>
      </c>
      <c r="I224" s="794">
        <v>20.082086119738602</v>
      </c>
      <c r="J224" s="286" t="s">
        <v>1016</v>
      </c>
      <c r="K224" s="1067">
        <f>'17-25'!D80</f>
        <v>27.460329881389299</v>
      </c>
      <c r="L224" s="418">
        <f>H224-K224</f>
        <v>0</v>
      </c>
    </row>
    <row r="225" spans="1:17" ht="23.5" customHeight="1" x14ac:dyDescent="0.35">
      <c r="B225" s="40"/>
      <c r="C225" s="1066" t="s">
        <v>2849</v>
      </c>
      <c r="D225" s="806" t="s">
        <v>1197</v>
      </c>
      <c r="E225" s="806"/>
      <c r="F225" s="806" t="s">
        <v>734</v>
      </c>
      <c r="G225" s="815" t="s">
        <v>1027</v>
      </c>
      <c r="H225" s="794">
        <v>29.654881838062643</v>
      </c>
      <c r="I225" s="794">
        <f>0</f>
        <v>0</v>
      </c>
      <c r="J225" s="286" t="s">
        <v>1045</v>
      </c>
      <c r="K225" s="1067">
        <f>'17-25'!D88</f>
        <v>29.654881838062643</v>
      </c>
      <c r="L225" s="418">
        <f>H225-K225</f>
        <v>0</v>
      </c>
    </row>
    <row r="226" spans="1:17" x14ac:dyDescent="0.35">
      <c r="B226" s="40"/>
      <c r="C226" s="622"/>
      <c r="D226" s="286"/>
      <c r="E226" s="286"/>
      <c r="F226" s="286"/>
      <c r="H226" s="416"/>
      <c r="I226" s="416"/>
      <c r="J226" s="286"/>
    </row>
    <row r="227" spans="1:17" x14ac:dyDescent="0.35">
      <c r="B227" s="40"/>
      <c r="C227" s="622"/>
      <c r="D227" s="286"/>
      <c r="E227" s="285"/>
      <c r="F227" s="286"/>
      <c r="H227" s="416"/>
      <c r="I227" s="416"/>
      <c r="J227" s="286"/>
      <c r="O227" s="418"/>
    </row>
    <row r="228" spans="1:17" s="53" customFormat="1" x14ac:dyDescent="0.35">
      <c r="B228" s="284" t="str">
        <f>B150</f>
        <v>Paladion Networks Private Limited</v>
      </c>
      <c r="C228" s="308"/>
      <c r="D228" s="418"/>
      <c r="E228" s="418"/>
      <c r="F228" s="418"/>
      <c r="G228" s="287"/>
      <c r="H228" s="416"/>
      <c r="I228" s="416"/>
      <c r="N228" s="61"/>
    </row>
    <row r="229" spans="1:17" s="53" customFormat="1" x14ac:dyDescent="0.35">
      <c r="B229" s="284" t="str">
        <f>B151</f>
        <v>Summary of Material accounting policies and other explanatory information</v>
      </c>
      <c r="C229" s="308"/>
      <c r="D229" s="418"/>
      <c r="E229" s="418"/>
      <c r="F229" s="418"/>
      <c r="G229" s="287"/>
      <c r="H229" s="416"/>
      <c r="I229" s="416"/>
      <c r="N229" s="61"/>
    </row>
    <row r="230" spans="1:17" s="53" customFormat="1" ht="12" x14ac:dyDescent="0.35">
      <c r="B230" s="606" t="str">
        <f>B152</f>
        <v>(Amounts are stated in ₹ lakhs, except share and per share data, unless ottherwise stated)</v>
      </c>
      <c r="C230" s="308"/>
      <c r="D230" s="418"/>
      <c r="E230" s="418"/>
      <c r="F230" s="418"/>
      <c r="G230" s="287"/>
      <c r="H230" s="416"/>
      <c r="I230" s="416"/>
      <c r="N230" s="61"/>
    </row>
    <row r="231" spans="1:17" s="53" customFormat="1" ht="12" x14ac:dyDescent="0.35">
      <c r="B231" s="606"/>
      <c r="C231" s="308"/>
      <c r="D231" s="418"/>
      <c r="E231" s="418"/>
      <c r="F231" s="418"/>
      <c r="G231" s="287"/>
      <c r="H231" s="416"/>
      <c r="I231" s="416"/>
      <c r="J231" s="417"/>
      <c r="N231" s="61"/>
    </row>
    <row r="232" spans="1:17" s="53" customFormat="1" x14ac:dyDescent="0.35">
      <c r="A232" s="110">
        <f>A88</f>
        <v>30</v>
      </c>
      <c r="B232" s="214" t="str">
        <f>"Note "&amp;A232&amp;": Related party transactions (Contd.)"</f>
        <v>Note 30: Related party transactions (Contd.)</v>
      </c>
      <c r="C232" s="418"/>
      <c r="D232" s="418"/>
      <c r="E232" s="287"/>
      <c r="F232" s="287"/>
      <c r="G232" s="416"/>
      <c r="H232" s="416"/>
      <c r="I232" s="417"/>
      <c r="M232" s="61"/>
    </row>
    <row r="233" spans="1:17" x14ac:dyDescent="0.35">
      <c r="B233" s="40"/>
      <c r="C233" s="622"/>
      <c r="D233" s="286"/>
      <c r="E233" s="285"/>
      <c r="F233" s="286"/>
      <c r="H233" s="416"/>
      <c r="I233" s="416"/>
      <c r="J233" s="286"/>
      <c r="O233" s="418"/>
    </row>
    <row r="234" spans="1:17" x14ac:dyDescent="0.35">
      <c r="B234" s="40"/>
      <c r="C234" s="622"/>
      <c r="D234" s="286"/>
      <c r="E234" s="285"/>
      <c r="F234" s="286"/>
      <c r="H234" s="416"/>
      <c r="I234" s="416"/>
      <c r="J234" s="286"/>
      <c r="O234" s="418"/>
    </row>
    <row r="235" spans="1:17" x14ac:dyDescent="0.35">
      <c r="B235" s="34" t="s">
        <v>257</v>
      </c>
      <c r="C235" s="1183" t="s">
        <v>1211</v>
      </c>
      <c r="D235" s="1183"/>
      <c r="E235" s="1183"/>
      <c r="F235" s="1183"/>
      <c r="G235" s="1183"/>
      <c r="H235" s="88"/>
      <c r="I235" s="88"/>
      <c r="M235" s="618"/>
      <c r="P235" s="618"/>
      <c r="Q235" s="618"/>
    </row>
    <row r="236" spans="1:17" s="53" customFormat="1" ht="34.5" x14ac:dyDescent="0.35">
      <c r="B236" s="61"/>
      <c r="C236" s="516" t="s">
        <v>1212</v>
      </c>
      <c r="D236" s="1180" t="s">
        <v>1144</v>
      </c>
      <c r="E236" s="1180"/>
      <c r="F236" s="620"/>
      <c r="G236" s="620" t="s">
        <v>1213</v>
      </c>
      <c r="H236" s="607" t="str">
        <f>H156</f>
        <v>For the year ended
31 March 2025</v>
      </c>
      <c r="I236" s="607" t="str">
        <f>I156</f>
        <v>For the year ended
31 March 2024</v>
      </c>
      <c r="J236" s="417"/>
      <c r="N236" s="61"/>
    </row>
    <row r="237" spans="1:17" s="420" customFormat="1" x14ac:dyDescent="0.35">
      <c r="B237" s="117"/>
      <c r="C237" s="1172" t="s">
        <v>1214</v>
      </c>
      <c r="D237" s="1169" t="s">
        <v>528</v>
      </c>
      <c r="E237" s="1169"/>
      <c r="F237" s="291" t="s">
        <v>1177</v>
      </c>
      <c r="G237" s="521" t="s">
        <v>1149</v>
      </c>
      <c r="H237" s="514">
        <f>(14.88294*10^5)/100000</f>
        <v>14.88294</v>
      </c>
      <c r="I237" s="514">
        <v>14.88294</v>
      </c>
      <c r="J237" s="731" t="s">
        <v>1025</v>
      </c>
    </row>
    <row r="238" spans="1:17" s="420" customFormat="1" x14ac:dyDescent="0.35">
      <c r="B238" s="117"/>
      <c r="C238" s="1113"/>
      <c r="D238" s="1163" t="s">
        <v>531</v>
      </c>
      <c r="E238" s="1163"/>
      <c r="F238" s="286" t="s">
        <v>1150</v>
      </c>
      <c r="G238" s="287" t="s">
        <v>1149</v>
      </c>
      <c r="H238" s="515">
        <f>(19.84079*10^5)/100000</f>
        <v>19.840789999999998</v>
      </c>
      <c r="I238" s="515">
        <v>19.840789999999998</v>
      </c>
      <c r="J238" s="731" t="s">
        <v>1026</v>
      </c>
    </row>
    <row r="239" spans="1:17" s="420" customFormat="1" x14ac:dyDescent="0.35">
      <c r="B239" s="117"/>
      <c r="C239" s="1113"/>
      <c r="D239" s="1163" t="s">
        <v>534</v>
      </c>
      <c r="E239" s="1163"/>
      <c r="F239" s="286" t="s">
        <v>1148</v>
      </c>
      <c r="G239" s="287" t="s">
        <v>1149</v>
      </c>
      <c r="H239" s="515">
        <f>(19.84392*10^5)/100000</f>
        <v>19.843920000000001</v>
      </c>
      <c r="I239" s="515">
        <v>19.843920000000001</v>
      </c>
      <c r="J239" s="286" t="s">
        <v>1024</v>
      </c>
    </row>
    <row r="240" spans="1:17" s="420" customFormat="1" ht="23.15" customHeight="1" x14ac:dyDescent="0.35">
      <c r="B240" s="117"/>
      <c r="C240" s="308"/>
      <c r="D240" s="1133" t="s">
        <v>537</v>
      </c>
      <c r="E240" s="1133"/>
      <c r="F240" s="286" t="s">
        <v>1172</v>
      </c>
      <c r="G240" s="287" t="s">
        <v>1149</v>
      </c>
      <c r="H240" s="515">
        <f>(13.8215326*10^5)/100000</f>
        <v>13.821532599999999</v>
      </c>
      <c r="I240" s="515">
        <v>13.821532599999999</v>
      </c>
      <c r="J240" s="731" t="s">
        <v>1023</v>
      </c>
    </row>
    <row r="241" spans="2:14" x14ac:dyDescent="0.35">
      <c r="B241" s="117"/>
      <c r="C241" s="517" t="s">
        <v>23</v>
      </c>
      <c r="D241" s="1169" t="s">
        <v>1019</v>
      </c>
      <c r="E241" s="1169"/>
      <c r="F241" s="291" t="s">
        <v>734</v>
      </c>
      <c r="G241" s="291" t="s">
        <v>1014</v>
      </c>
      <c r="H241" s="262">
        <v>94.948756099999997</v>
      </c>
      <c r="I241" s="604">
        <v>1314.3839846999999</v>
      </c>
      <c r="J241" s="287" t="s">
        <v>1020</v>
      </c>
      <c r="K241" s="36">
        <f>'8-10'!I9</f>
        <v>5197.8105100000002</v>
      </c>
      <c r="L241" s="36">
        <f>K241-SUM(H241:H291)</f>
        <v>-2.2890935724717565E-6</v>
      </c>
    </row>
    <row r="242" spans="2:14" x14ac:dyDescent="0.35">
      <c r="B242" s="40"/>
      <c r="D242" s="1163" t="s">
        <v>531</v>
      </c>
      <c r="E242" s="1163"/>
      <c r="F242" s="286" t="s">
        <v>1150</v>
      </c>
      <c r="G242" s="286" t="s">
        <v>1149</v>
      </c>
      <c r="H242" s="90">
        <v>659.14021299537887</v>
      </c>
      <c r="I242" s="416">
        <v>593.0304408044999</v>
      </c>
      <c r="J242" s="287" t="s">
        <v>1026</v>
      </c>
      <c r="K242" s="36"/>
    </row>
    <row r="243" spans="2:14" s="34" customFormat="1" ht="11.5" customHeight="1" x14ac:dyDescent="0.35">
      <c r="B243" s="40"/>
      <c r="C243" s="308"/>
      <c r="D243" s="1133" t="s">
        <v>1132</v>
      </c>
      <c r="E243" s="1133"/>
      <c r="F243" s="286" t="s">
        <v>1151</v>
      </c>
      <c r="G243" s="287" t="s">
        <v>1027</v>
      </c>
      <c r="H243" s="90">
        <v>0</v>
      </c>
      <c r="I243" s="416">
        <v>363.78584510000007</v>
      </c>
      <c r="J243" s="287" t="s">
        <v>1133</v>
      </c>
      <c r="K243" s="36"/>
    </row>
    <row r="244" spans="2:14" x14ac:dyDescent="0.35">
      <c r="B244" s="117"/>
      <c r="D244" s="1163" t="s">
        <v>1190</v>
      </c>
      <c r="E244" s="1163"/>
      <c r="F244" s="286" t="s">
        <v>1148</v>
      </c>
      <c r="G244" s="287" t="s">
        <v>1149</v>
      </c>
      <c r="H244" s="90">
        <v>384.93528157966722</v>
      </c>
      <c r="I244" s="416">
        <v>460.43833326563987</v>
      </c>
      <c r="J244" s="287" t="s">
        <v>1024</v>
      </c>
      <c r="K244" s="418"/>
      <c r="M244" s="34"/>
      <c r="N244" s="34"/>
    </row>
    <row r="245" spans="2:14" x14ac:dyDescent="0.35">
      <c r="B245" s="117"/>
      <c r="D245" s="1133" t="s">
        <v>1215</v>
      </c>
      <c r="E245" s="1133"/>
      <c r="F245" s="621" t="s">
        <v>1177</v>
      </c>
      <c r="G245" s="287" t="s">
        <v>1149</v>
      </c>
      <c r="H245" s="90">
        <v>22.254840826247687</v>
      </c>
      <c r="I245" s="416">
        <v>21.677209739550001</v>
      </c>
      <c r="J245" s="287" t="s">
        <v>1025</v>
      </c>
      <c r="K245" s="418"/>
      <c r="M245" s="34"/>
      <c r="N245" s="34"/>
    </row>
    <row r="246" spans="2:14" x14ac:dyDescent="0.35">
      <c r="B246" s="117"/>
      <c r="D246" s="1163" t="s">
        <v>1152</v>
      </c>
      <c r="E246" s="1163"/>
      <c r="F246" s="286" t="s">
        <v>734</v>
      </c>
      <c r="G246" s="287" t="s">
        <v>1027</v>
      </c>
      <c r="H246" s="90">
        <v>359.59084159999998</v>
      </c>
      <c r="I246" s="416">
        <v>787.39299959999994</v>
      </c>
      <c r="J246" s="513" t="s">
        <v>1101</v>
      </c>
      <c r="K246" s="418"/>
      <c r="M246" s="34"/>
      <c r="N246" s="34"/>
    </row>
    <row r="247" spans="2:14" x14ac:dyDescent="0.35">
      <c r="B247" s="117"/>
      <c r="D247" s="1163" t="s">
        <v>1030</v>
      </c>
      <c r="E247" s="1163"/>
      <c r="F247" s="286" t="s">
        <v>1153</v>
      </c>
      <c r="G247" s="287" t="s">
        <v>1027</v>
      </c>
      <c r="H247" s="90">
        <v>0</v>
      </c>
      <c r="I247" s="416">
        <v>30.285894700000004</v>
      </c>
      <c r="J247" s="513" t="s">
        <v>1031</v>
      </c>
      <c r="K247" s="418"/>
    </row>
    <row r="248" spans="2:14" ht="11.5" customHeight="1" x14ac:dyDescent="0.35">
      <c r="B248" s="117"/>
      <c r="D248" s="1133" t="s">
        <v>1046</v>
      </c>
      <c r="E248" s="1133"/>
      <c r="F248" s="286" t="s">
        <v>549</v>
      </c>
      <c r="G248" s="287" t="s">
        <v>1027</v>
      </c>
      <c r="H248" s="90">
        <v>0</v>
      </c>
      <c r="I248" s="416">
        <v>587.86740340000006</v>
      </c>
      <c r="J248" s="513" t="s">
        <v>1047</v>
      </c>
      <c r="K248" s="418"/>
      <c r="N248" s="36"/>
    </row>
    <row r="249" spans="2:14" x14ac:dyDescent="0.35">
      <c r="B249" s="117"/>
      <c r="D249" s="1163" t="s">
        <v>1086</v>
      </c>
      <c r="E249" s="1163"/>
      <c r="F249" s="286" t="s">
        <v>1153</v>
      </c>
      <c r="G249" s="287" t="s">
        <v>1027</v>
      </c>
      <c r="H249" s="90">
        <v>3.0999938726432532</v>
      </c>
      <c r="I249" s="416">
        <v>158.263107515</v>
      </c>
      <c r="J249" s="513" t="s">
        <v>1087</v>
      </c>
      <c r="K249" s="418"/>
    </row>
    <row r="250" spans="2:14" x14ac:dyDescent="0.35">
      <c r="B250" s="117"/>
      <c r="D250" s="1133" t="s">
        <v>1032</v>
      </c>
      <c r="E250" s="1133"/>
      <c r="F250" s="621" t="s">
        <v>1153</v>
      </c>
      <c r="G250" s="287" t="s">
        <v>1027</v>
      </c>
      <c r="H250" s="90">
        <v>149.47911880000004</v>
      </c>
      <c r="I250" s="416">
        <v>90.680445700000007</v>
      </c>
      <c r="J250" s="513" t="s">
        <v>1033</v>
      </c>
      <c r="K250" s="418"/>
    </row>
    <row r="251" spans="2:14" x14ac:dyDescent="0.35">
      <c r="B251" s="117"/>
      <c r="D251" s="1163" t="s">
        <v>1034</v>
      </c>
      <c r="E251" s="1163"/>
      <c r="F251" s="286" t="s">
        <v>734</v>
      </c>
      <c r="G251" s="287" t="s">
        <v>1027</v>
      </c>
      <c r="H251" s="90">
        <v>11.097601291127541</v>
      </c>
      <c r="I251" s="416">
        <v>2.3171515999999999</v>
      </c>
      <c r="J251" s="513" t="s">
        <v>1035</v>
      </c>
      <c r="K251" s="418"/>
    </row>
    <row r="252" spans="2:14" x14ac:dyDescent="0.35">
      <c r="B252" s="117"/>
      <c r="D252" s="287" t="s">
        <v>2866</v>
      </c>
      <c r="F252" s="286" t="s">
        <v>1163</v>
      </c>
      <c r="G252" s="287" t="s">
        <v>1027</v>
      </c>
      <c r="H252" s="90">
        <v>1.4804743000000002</v>
      </c>
      <c r="I252" s="416">
        <v>0</v>
      </c>
      <c r="J252" s="513" t="s">
        <v>2842</v>
      </c>
      <c r="K252" s="418"/>
    </row>
    <row r="253" spans="2:14" x14ac:dyDescent="0.35">
      <c r="B253" s="117"/>
      <c r="D253" s="1163" t="s">
        <v>1040</v>
      </c>
      <c r="E253" s="1163"/>
      <c r="F253" s="286" t="s">
        <v>1217</v>
      </c>
      <c r="G253" s="287" t="s">
        <v>1027</v>
      </c>
      <c r="H253" s="90">
        <v>0.14326809999999998</v>
      </c>
      <c r="I253" s="416">
        <v>0.1812802</v>
      </c>
      <c r="J253" s="513" t="s">
        <v>1041</v>
      </c>
      <c r="K253" s="418"/>
    </row>
    <row r="254" spans="2:14" x14ac:dyDescent="0.35">
      <c r="B254" s="117"/>
      <c r="D254" s="1163" t="s">
        <v>1218</v>
      </c>
      <c r="E254" s="1163"/>
      <c r="F254" s="286" t="s">
        <v>1157</v>
      </c>
      <c r="G254" s="287" t="s">
        <v>1027</v>
      </c>
      <c r="H254" s="90">
        <v>1.3345464999999999</v>
      </c>
      <c r="I254" s="416">
        <v>12.399323096540002</v>
      </c>
      <c r="J254" s="513" t="s">
        <v>1043</v>
      </c>
      <c r="K254" s="418"/>
    </row>
    <row r="255" spans="2:14" x14ac:dyDescent="0.35">
      <c r="B255" s="117"/>
      <c r="D255" s="1163" t="s">
        <v>1048</v>
      </c>
      <c r="E255" s="1163"/>
      <c r="F255" s="286" t="s">
        <v>1158</v>
      </c>
      <c r="G255" s="287" t="s">
        <v>1027</v>
      </c>
      <c r="H255" s="90">
        <v>0</v>
      </c>
      <c r="I255" s="416">
        <v>0.18831040000000002</v>
      </c>
      <c r="J255" s="513" t="s">
        <v>1049</v>
      </c>
      <c r="K255" s="418"/>
    </row>
    <row r="256" spans="2:14" x14ac:dyDescent="0.35">
      <c r="B256" s="117"/>
      <c r="D256" s="1163" t="s">
        <v>1050</v>
      </c>
      <c r="E256" s="1163"/>
      <c r="F256" s="286" t="s">
        <v>1159</v>
      </c>
      <c r="G256" s="287" t="s">
        <v>1027</v>
      </c>
      <c r="H256" s="90">
        <v>5.6958200000000003</v>
      </c>
      <c r="I256" s="416">
        <v>0.65044080000000004</v>
      </c>
      <c r="J256" s="513" t="s">
        <v>1051</v>
      </c>
      <c r="K256" s="418"/>
    </row>
    <row r="257" spans="2:14" x14ac:dyDescent="0.35">
      <c r="B257" s="117"/>
      <c r="D257" s="1163" t="s">
        <v>1052</v>
      </c>
      <c r="E257" s="1163"/>
      <c r="F257" s="286" t="s">
        <v>1219</v>
      </c>
      <c r="G257" s="287" t="s">
        <v>1027</v>
      </c>
      <c r="H257" s="90">
        <v>0</v>
      </c>
      <c r="I257" s="416">
        <v>2.0534E-2</v>
      </c>
      <c r="J257" s="513" t="s">
        <v>1053</v>
      </c>
      <c r="K257" s="418"/>
    </row>
    <row r="258" spans="2:14" x14ac:dyDescent="0.35">
      <c r="B258" s="117"/>
      <c r="D258" s="1163" t="s">
        <v>1056</v>
      </c>
      <c r="E258" s="1163"/>
      <c r="F258" s="286" t="s">
        <v>1175</v>
      </c>
      <c r="G258" s="287" t="s">
        <v>1027</v>
      </c>
      <c r="H258" s="90">
        <v>6.3603897624768919</v>
      </c>
      <c r="I258" s="416">
        <v>2.3484116999999998</v>
      </c>
      <c r="J258" s="513" t="s">
        <v>1057</v>
      </c>
      <c r="K258" s="418"/>
    </row>
    <row r="259" spans="2:14" x14ac:dyDescent="0.35">
      <c r="B259" s="117"/>
      <c r="D259" s="1163" t="s">
        <v>1058</v>
      </c>
      <c r="E259" s="1163"/>
      <c r="F259" s="286" t="s">
        <v>1173</v>
      </c>
      <c r="G259" s="287" t="s">
        <v>1027</v>
      </c>
      <c r="H259" s="90">
        <v>2.7637E-3</v>
      </c>
      <c r="I259" s="416">
        <v>2.6892999999999995E-3</v>
      </c>
      <c r="J259" s="513" t="s">
        <v>1059</v>
      </c>
      <c r="K259" s="418"/>
    </row>
    <row r="260" spans="2:14" x14ac:dyDescent="0.35">
      <c r="B260" s="117"/>
      <c r="D260" s="1163" t="s">
        <v>1060</v>
      </c>
      <c r="E260" s="1163"/>
      <c r="F260" s="286" t="s">
        <v>1161</v>
      </c>
      <c r="G260" s="287" t="s">
        <v>1027</v>
      </c>
      <c r="H260" s="90">
        <v>0</v>
      </c>
      <c r="I260" s="416">
        <v>13.9087855</v>
      </c>
      <c r="J260" s="513" t="s">
        <v>1061</v>
      </c>
      <c r="K260" s="418"/>
    </row>
    <row r="261" spans="2:14" x14ac:dyDescent="0.35">
      <c r="B261" s="117"/>
      <c r="D261" s="1163" t="s">
        <v>1062</v>
      </c>
      <c r="E261" s="1163"/>
      <c r="F261" s="286" t="s">
        <v>1148</v>
      </c>
      <c r="G261" s="287" t="s">
        <v>1027</v>
      </c>
      <c r="H261" s="90">
        <v>0.2062407</v>
      </c>
      <c r="I261" s="416">
        <v>0.15758679999999894</v>
      </c>
      <c r="J261" s="513" t="s">
        <v>1220</v>
      </c>
      <c r="K261" s="418"/>
    </row>
    <row r="262" spans="2:14" x14ac:dyDescent="0.35">
      <c r="B262" s="117"/>
      <c r="D262" s="1163" t="s">
        <v>1064</v>
      </c>
      <c r="E262" s="1163"/>
      <c r="F262" s="286" t="s">
        <v>1151</v>
      </c>
      <c r="G262" s="287" t="s">
        <v>1027</v>
      </c>
      <c r="H262" s="90">
        <v>159.29796189999999</v>
      </c>
      <c r="I262" s="416">
        <v>27.860582999999998</v>
      </c>
      <c r="J262" s="513" t="s">
        <v>1065</v>
      </c>
      <c r="K262" s="418"/>
      <c r="L262" s="418"/>
    </row>
    <row r="263" spans="2:14" x14ac:dyDescent="0.35">
      <c r="B263" s="117"/>
      <c r="D263" s="1163" t="s">
        <v>1062</v>
      </c>
      <c r="E263" s="1163"/>
      <c r="F263" s="286" t="s">
        <v>1148</v>
      </c>
      <c r="G263" s="287" t="s">
        <v>1027</v>
      </c>
      <c r="H263" s="90">
        <v>5.1739644000000009</v>
      </c>
      <c r="I263" s="416">
        <v>37.224786600000002</v>
      </c>
      <c r="J263" s="513" t="s">
        <v>1195</v>
      </c>
      <c r="K263" s="418"/>
      <c r="L263" s="418"/>
    </row>
    <row r="264" spans="2:14" x14ac:dyDescent="0.35">
      <c r="B264" s="117"/>
      <c r="D264" s="1163" t="s">
        <v>1066</v>
      </c>
      <c r="E264" s="1163"/>
      <c r="F264" s="286" t="s">
        <v>1163</v>
      </c>
      <c r="G264" s="287" t="s">
        <v>1027</v>
      </c>
      <c r="H264" s="90">
        <v>0</v>
      </c>
      <c r="I264" s="416">
        <v>12.015647299999999</v>
      </c>
      <c r="J264" s="513" t="s">
        <v>1067</v>
      </c>
      <c r="K264" s="418"/>
      <c r="L264" s="418"/>
    </row>
    <row r="265" spans="2:14" x14ac:dyDescent="0.35">
      <c r="B265" s="117"/>
      <c r="D265" s="1163" t="s">
        <v>1068</v>
      </c>
      <c r="E265" s="1163"/>
      <c r="F265" s="286" t="s">
        <v>1164</v>
      </c>
      <c r="G265" s="287" t="s">
        <v>1027</v>
      </c>
      <c r="H265" s="90">
        <v>0</v>
      </c>
      <c r="I265" s="416">
        <v>3.2181599999999998E-2</v>
      </c>
      <c r="J265" s="513" t="s">
        <v>1069</v>
      </c>
      <c r="K265" s="418"/>
    </row>
    <row r="266" spans="2:14" x14ac:dyDescent="0.35">
      <c r="B266" s="117"/>
      <c r="D266" s="1163" t="s">
        <v>1070</v>
      </c>
      <c r="E266" s="1163"/>
      <c r="F266" s="286" t="s">
        <v>735</v>
      </c>
      <c r="G266" s="287" t="s">
        <v>1027</v>
      </c>
      <c r="H266" s="90">
        <v>3.1228459999999996</v>
      </c>
      <c r="I266" s="416">
        <v>121.60644379999999</v>
      </c>
      <c r="J266" s="513" t="s">
        <v>1071</v>
      </c>
      <c r="K266" s="418"/>
    </row>
    <row r="267" spans="2:14" x14ac:dyDescent="0.35">
      <c r="B267" s="117"/>
      <c r="D267" s="1163" t="s">
        <v>1074</v>
      </c>
      <c r="E267" s="1163"/>
      <c r="F267" s="286" t="s">
        <v>736</v>
      </c>
      <c r="G267" s="287" t="s">
        <v>1027</v>
      </c>
      <c r="H267" s="90">
        <v>345.076303</v>
      </c>
      <c r="I267" s="416">
        <v>204.5629055</v>
      </c>
      <c r="J267" s="513" t="s">
        <v>1075</v>
      </c>
      <c r="K267" s="418"/>
    </row>
    <row r="268" spans="2:14" x14ac:dyDescent="0.35">
      <c r="B268" s="117"/>
      <c r="D268" s="1163" t="s">
        <v>1078</v>
      </c>
      <c r="E268" s="1163"/>
      <c r="F268" s="286" t="s">
        <v>1172</v>
      </c>
      <c r="G268" s="287" t="s">
        <v>1027</v>
      </c>
      <c r="H268" s="90">
        <v>0</v>
      </c>
      <c r="I268" s="416">
        <v>2.0175114000000001</v>
      </c>
      <c r="J268" s="732" t="s">
        <v>1079</v>
      </c>
      <c r="L268" s="418"/>
      <c r="N268" s="185"/>
    </row>
    <row r="269" spans="2:14" x14ac:dyDescent="0.35">
      <c r="B269" s="117"/>
      <c r="D269" s="1133" t="s">
        <v>1080</v>
      </c>
      <c r="E269" s="1133"/>
      <c r="F269" s="621" t="s">
        <v>1150</v>
      </c>
      <c r="G269" s="287" t="s">
        <v>1027</v>
      </c>
      <c r="H269" s="90">
        <v>537.28150270000003</v>
      </c>
      <c r="I269" s="416">
        <v>451.09871580000004</v>
      </c>
      <c r="J269" s="513" t="s">
        <v>1081</v>
      </c>
      <c r="L269" s="418"/>
    </row>
    <row r="270" spans="2:14" x14ac:dyDescent="0.35">
      <c r="B270" s="117"/>
      <c r="D270" s="1133" t="s">
        <v>1082</v>
      </c>
      <c r="E270" s="1133"/>
      <c r="F270" s="621" t="s">
        <v>1167</v>
      </c>
      <c r="G270" s="287" t="s">
        <v>1027</v>
      </c>
      <c r="H270" s="90">
        <v>0.56393639999999989</v>
      </c>
      <c r="I270" s="416">
        <v>0.54646850000000002</v>
      </c>
      <c r="J270" s="513" t="s">
        <v>1083</v>
      </c>
      <c r="K270" s="117"/>
      <c r="L270" s="418"/>
    </row>
    <row r="271" spans="2:14" x14ac:dyDescent="0.35">
      <c r="B271" s="117"/>
      <c r="D271" s="1133" t="s">
        <v>1084</v>
      </c>
      <c r="E271" s="1133"/>
      <c r="F271" s="418" t="s">
        <v>1168</v>
      </c>
      <c r="G271" s="287" t="s">
        <v>1027</v>
      </c>
      <c r="H271" s="90">
        <v>83.603227399999994</v>
      </c>
      <c r="I271" s="416">
        <v>39.406411599999998</v>
      </c>
      <c r="J271" s="513" t="s">
        <v>1085</v>
      </c>
      <c r="K271" s="418"/>
    </row>
    <row r="272" spans="2:14" x14ac:dyDescent="0.35">
      <c r="B272" s="117"/>
      <c r="D272" s="1133" t="s">
        <v>1088</v>
      </c>
      <c r="E272" s="1133"/>
      <c r="F272" s="286" t="s">
        <v>549</v>
      </c>
      <c r="G272" s="287" t="s">
        <v>1027</v>
      </c>
      <c r="H272" s="90">
        <v>3.5586854000000003</v>
      </c>
      <c r="I272" s="416">
        <v>2.8232983000000003</v>
      </c>
      <c r="J272" s="513" t="s">
        <v>1089</v>
      </c>
      <c r="K272" s="418"/>
    </row>
    <row r="273" spans="2:11" x14ac:dyDescent="0.35">
      <c r="B273" s="117"/>
      <c r="D273" s="1163" t="s">
        <v>1090</v>
      </c>
      <c r="E273" s="1163"/>
      <c r="F273" s="286" t="s">
        <v>734</v>
      </c>
      <c r="G273" s="287" t="s">
        <v>1027</v>
      </c>
      <c r="H273" s="90">
        <v>0.59769240000000001</v>
      </c>
      <c r="I273" s="416">
        <v>5.5639900999999998</v>
      </c>
      <c r="J273" s="513" t="s">
        <v>1091</v>
      </c>
      <c r="K273" s="418"/>
    </row>
    <row r="274" spans="2:11" x14ac:dyDescent="0.35">
      <c r="B274" s="117"/>
      <c r="D274" s="1133" t="s">
        <v>1028</v>
      </c>
      <c r="E274" s="1133"/>
      <c r="F274" s="621" t="s">
        <v>1153</v>
      </c>
      <c r="G274" s="287" t="s">
        <v>1027</v>
      </c>
      <c r="H274" s="90">
        <v>0</v>
      </c>
      <c r="I274" s="416">
        <v>0.1417592</v>
      </c>
      <c r="J274" s="513" t="s">
        <v>1029</v>
      </c>
      <c r="K274" s="418"/>
    </row>
    <row r="275" spans="2:11" ht="14.15" customHeight="1" x14ac:dyDescent="0.35">
      <c r="B275" s="117"/>
      <c r="D275" s="1163" t="s">
        <v>639</v>
      </c>
      <c r="E275" s="1163"/>
      <c r="F275" s="286" t="s">
        <v>549</v>
      </c>
      <c r="G275" s="520" t="s">
        <v>1014</v>
      </c>
      <c r="H275" s="90">
        <v>0</v>
      </c>
      <c r="I275" s="416">
        <v>12.40537</v>
      </c>
      <c r="J275" s="513" t="s">
        <v>1016</v>
      </c>
      <c r="K275" s="418"/>
    </row>
    <row r="276" spans="2:11" x14ac:dyDescent="0.35">
      <c r="B276" s="117"/>
      <c r="D276" s="286" t="s">
        <v>1179</v>
      </c>
      <c r="E276" s="286"/>
      <c r="F276" s="286" t="s">
        <v>1168</v>
      </c>
      <c r="G276" s="287" t="s">
        <v>1027</v>
      </c>
      <c r="H276" s="90">
        <v>99.548790900000014</v>
      </c>
      <c r="I276" s="416">
        <v>49.008089800000008</v>
      </c>
      <c r="J276" s="513" t="s">
        <v>1099</v>
      </c>
      <c r="K276" s="418"/>
    </row>
    <row r="277" spans="2:11" x14ac:dyDescent="0.35">
      <c r="B277" s="117"/>
      <c r="D277" s="286" t="s">
        <v>1102</v>
      </c>
      <c r="E277" s="286"/>
      <c r="F277" s="286" t="s">
        <v>1181</v>
      </c>
      <c r="G277" s="287" t="s">
        <v>1027</v>
      </c>
      <c r="H277" s="90">
        <v>107.34329094232903</v>
      </c>
      <c r="I277" s="416">
        <v>206.02658995022998</v>
      </c>
      <c r="J277" s="513" t="s">
        <v>1103</v>
      </c>
      <c r="K277" s="418"/>
    </row>
    <row r="278" spans="2:11" x14ac:dyDescent="0.35">
      <c r="B278" s="117"/>
      <c r="D278" s="286" t="s">
        <v>1104</v>
      </c>
      <c r="E278" s="286"/>
      <c r="F278" s="286" t="s">
        <v>1153</v>
      </c>
      <c r="G278" s="287" t="s">
        <v>1027</v>
      </c>
      <c r="H278" s="90">
        <v>299.78621236839183</v>
      </c>
      <c r="I278" s="416">
        <v>96.829648355659998</v>
      </c>
      <c r="J278" s="513" t="s">
        <v>1105</v>
      </c>
      <c r="K278" s="418"/>
    </row>
    <row r="279" spans="2:11" x14ac:dyDescent="0.35">
      <c r="B279" s="117"/>
      <c r="D279" s="117" t="s">
        <v>1113</v>
      </c>
      <c r="E279" s="286"/>
      <c r="F279" s="286" t="s">
        <v>1158</v>
      </c>
      <c r="G279" s="287" t="s">
        <v>1027</v>
      </c>
      <c r="H279" s="90">
        <v>9.0228555000000004</v>
      </c>
      <c r="I279" s="416">
        <v>6.6863625999999998</v>
      </c>
      <c r="J279" s="513" t="s">
        <v>1114</v>
      </c>
      <c r="K279" s="418"/>
    </row>
    <row r="280" spans="2:11" x14ac:dyDescent="0.35">
      <c r="B280" s="117"/>
      <c r="D280" s="117" t="s">
        <v>1221</v>
      </c>
      <c r="E280" s="286"/>
      <c r="F280" s="286" t="s">
        <v>1198</v>
      </c>
      <c r="G280" s="287" t="s">
        <v>1027</v>
      </c>
      <c r="H280" s="90">
        <v>32.133151100000006</v>
      </c>
      <c r="I280" s="416">
        <v>9.1741899999999987E-2</v>
      </c>
      <c r="J280" s="513" t="s">
        <v>1095</v>
      </c>
      <c r="K280" s="418"/>
    </row>
    <row r="281" spans="2:11" x14ac:dyDescent="0.35">
      <c r="B281" s="117"/>
      <c r="D281" s="117" t="s">
        <v>1115</v>
      </c>
      <c r="E281" s="286"/>
      <c r="F281" s="286" t="s">
        <v>1163</v>
      </c>
      <c r="G281" s="287" t="s">
        <v>1027</v>
      </c>
      <c r="H281" s="90">
        <v>4.8008660999999995</v>
      </c>
      <c r="I281" s="416">
        <v>70.802480000000003</v>
      </c>
      <c r="J281" s="513" t="s">
        <v>1116</v>
      </c>
      <c r="K281" s="418"/>
    </row>
    <row r="282" spans="2:11" x14ac:dyDescent="0.35">
      <c r="B282" s="117"/>
      <c r="D282" s="117" t="s">
        <v>1119</v>
      </c>
      <c r="E282" s="286"/>
      <c r="F282" s="286" t="s">
        <v>1159</v>
      </c>
      <c r="G282" s="287" t="s">
        <v>1027</v>
      </c>
      <c r="H282" s="90">
        <v>16.5620364</v>
      </c>
      <c r="I282" s="416">
        <v>1.5459042999999999</v>
      </c>
      <c r="J282" s="513" t="s">
        <v>1120</v>
      </c>
      <c r="K282" s="418"/>
    </row>
    <row r="283" spans="2:11" x14ac:dyDescent="0.35">
      <c r="B283" s="117"/>
      <c r="D283" s="117" t="s">
        <v>1125</v>
      </c>
      <c r="E283" s="286"/>
      <c r="F283" s="286" t="s">
        <v>736</v>
      </c>
      <c r="G283" s="287" t="s">
        <v>1027</v>
      </c>
      <c r="H283" s="90">
        <v>567.68080399999997</v>
      </c>
      <c r="I283" s="416">
        <v>276.0107946</v>
      </c>
      <c r="J283" s="513" t="s">
        <v>1126</v>
      </c>
      <c r="K283" s="418"/>
    </row>
    <row r="284" spans="2:11" x14ac:dyDescent="0.35">
      <c r="B284" s="117"/>
      <c r="D284" s="117" t="s">
        <v>1197</v>
      </c>
      <c r="E284" s="286"/>
      <c r="F284" s="286" t="s">
        <v>734</v>
      </c>
      <c r="G284" s="287" t="s">
        <v>1027</v>
      </c>
      <c r="H284" s="90">
        <v>430.76562460000002</v>
      </c>
      <c r="I284" s="416">
        <v>234.83580700000002</v>
      </c>
      <c r="J284" s="513" t="s">
        <v>1045</v>
      </c>
      <c r="K284" s="418"/>
    </row>
    <row r="285" spans="2:11" x14ac:dyDescent="0.35">
      <c r="B285" s="117"/>
      <c r="D285" s="117" t="s">
        <v>1222</v>
      </c>
      <c r="E285" s="286"/>
      <c r="F285" s="286" t="s">
        <v>735</v>
      </c>
      <c r="G285" s="287" t="s">
        <v>1027</v>
      </c>
      <c r="H285" s="90">
        <v>636.90839764362295</v>
      </c>
      <c r="I285" s="416">
        <v>2306.5471127768396</v>
      </c>
      <c r="J285" s="513" t="s">
        <v>1128</v>
      </c>
      <c r="K285" s="418"/>
    </row>
    <row r="286" spans="2:11" x14ac:dyDescent="0.35">
      <c r="B286" s="117"/>
      <c r="D286" s="117" t="s">
        <v>1117</v>
      </c>
      <c r="E286" s="286"/>
      <c r="F286" s="286" t="s">
        <v>1157</v>
      </c>
      <c r="G286" s="287" t="s">
        <v>1027</v>
      </c>
      <c r="H286" s="90">
        <v>-0.121187</v>
      </c>
      <c r="I286" s="416">
        <v>-2.09617E-2</v>
      </c>
      <c r="J286" s="513" t="s">
        <v>1118</v>
      </c>
      <c r="K286" s="418"/>
    </row>
    <row r="287" spans="2:11" x14ac:dyDescent="0.35">
      <c r="B287" s="117"/>
      <c r="D287" s="117" t="s">
        <v>1223</v>
      </c>
      <c r="E287" s="286"/>
      <c r="F287" s="286" t="s">
        <v>1224</v>
      </c>
      <c r="G287" s="287" t="s">
        <v>1027</v>
      </c>
      <c r="H287" s="90">
        <v>135.79270890720889</v>
      </c>
      <c r="I287" s="416">
        <v>15.399214296419999</v>
      </c>
      <c r="J287" s="513" t="s">
        <v>1097</v>
      </c>
      <c r="K287" s="418"/>
    </row>
    <row r="288" spans="2:11" x14ac:dyDescent="0.35">
      <c r="B288" s="117"/>
      <c r="D288" s="117" t="s">
        <v>1109</v>
      </c>
      <c r="E288" s="286"/>
      <c r="F288" s="286" t="s">
        <v>1194</v>
      </c>
      <c r="G288" s="287" t="s">
        <v>1027</v>
      </c>
      <c r="H288" s="90">
        <v>18.3896956</v>
      </c>
      <c r="I288" s="416">
        <f>0</f>
        <v>0</v>
      </c>
      <c r="J288" s="513" t="s">
        <v>1110</v>
      </c>
      <c r="K288" s="418"/>
    </row>
    <row r="289" spans="2:15" x14ac:dyDescent="0.35">
      <c r="B289" s="117"/>
      <c r="D289" s="117" t="s">
        <v>2871</v>
      </c>
      <c r="E289" s="286"/>
      <c r="F289" s="286" t="s">
        <v>1172</v>
      </c>
      <c r="G289" s="287" t="s">
        <v>1027</v>
      </c>
      <c r="H289" s="90">
        <v>0.4358306999999999</v>
      </c>
      <c r="I289" s="416">
        <f>0</f>
        <v>0</v>
      </c>
      <c r="J289" s="513" t="s">
        <v>2844</v>
      </c>
      <c r="K289" s="418"/>
    </row>
    <row r="290" spans="2:15" x14ac:dyDescent="0.35">
      <c r="B290" s="117"/>
      <c r="D290" s="117" t="s">
        <v>2872</v>
      </c>
      <c r="E290" s="286"/>
      <c r="F290" s="286" t="s">
        <v>2864</v>
      </c>
      <c r="G290" s="287" t="s">
        <v>1027</v>
      </c>
      <c r="H290" s="90">
        <v>0.59434399999999998</v>
      </c>
      <c r="I290" s="416">
        <f>0</f>
        <v>0</v>
      </c>
      <c r="J290" s="513" t="s">
        <v>2845</v>
      </c>
      <c r="K290" s="418"/>
    </row>
    <row r="291" spans="2:15" x14ac:dyDescent="0.35">
      <c r="B291" s="117"/>
      <c r="D291" s="286" t="s">
        <v>1123</v>
      </c>
      <c r="E291" s="286"/>
      <c r="F291" s="286" t="s">
        <v>549</v>
      </c>
      <c r="G291" s="287" t="s">
        <v>1027</v>
      </c>
      <c r="H291" s="90">
        <v>0.12082080000000001</v>
      </c>
      <c r="I291" s="416">
        <f>0</f>
        <v>0</v>
      </c>
      <c r="J291" s="419" t="s">
        <v>1124</v>
      </c>
      <c r="L291" s="36"/>
    </row>
    <row r="292" spans="2:15" x14ac:dyDescent="0.35">
      <c r="B292" s="117"/>
      <c r="D292" s="286"/>
      <c r="E292" s="286"/>
      <c r="F292" s="286"/>
      <c r="H292" s="90"/>
      <c r="I292" s="416"/>
      <c r="J292" s="419"/>
      <c r="L292" s="36"/>
    </row>
    <row r="293" spans="2:15" x14ac:dyDescent="0.35">
      <c r="B293" s="40"/>
      <c r="C293" s="625" t="s">
        <v>1225</v>
      </c>
      <c r="D293" s="1179" t="s">
        <v>1088</v>
      </c>
      <c r="E293" s="1179"/>
      <c r="F293" s="648" t="s">
        <v>549</v>
      </c>
      <c r="G293" s="521" t="s">
        <v>1027</v>
      </c>
      <c r="H293" s="262">
        <v>124.36488120793798</v>
      </c>
      <c r="I293" s="604">
        <v>116.55872736897778</v>
      </c>
      <c r="J293" s="513" t="s">
        <v>1089</v>
      </c>
      <c r="K293" s="1067">
        <f>'5-7'!D11</f>
        <v>124.36488120793783</v>
      </c>
      <c r="L293" s="36">
        <f>K293-H293</f>
        <v>-1.5631940186722204E-13</v>
      </c>
    </row>
    <row r="294" spans="2:15" x14ac:dyDescent="0.35">
      <c r="B294" s="40"/>
      <c r="C294" s="511"/>
      <c r="D294" s="1164"/>
      <c r="E294" s="1164"/>
      <c r="F294" s="647"/>
      <c r="G294" s="527"/>
      <c r="H294" s="261"/>
      <c r="I294" s="605"/>
      <c r="L294" s="36"/>
    </row>
    <row r="295" spans="2:15" s="173" customFormat="1" ht="24.5" customHeight="1" x14ac:dyDescent="0.35">
      <c r="B295" s="523"/>
      <c r="C295" s="1073" t="s">
        <v>1226</v>
      </c>
      <c r="D295" s="1169" t="s">
        <v>1019</v>
      </c>
      <c r="E295" s="1169"/>
      <c r="F295" s="286" t="s">
        <v>734</v>
      </c>
      <c r="G295" s="520" t="s">
        <v>1014</v>
      </c>
      <c r="H295" s="609">
        <v>16.684935304990759</v>
      </c>
      <c r="I295" s="609">
        <v>16.251514499999999</v>
      </c>
      <c r="J295" s="287" t="s">
        <v>1020</v>
      </c>
      <c r="K295" s="1072">
        <f>'14-16'!I51</f>
        <v>3628.3708069554996</v>
      </c>
      <c r="L295" s="421">
        <f>SUM(H295:H299)-K295</f>
        <v>-2.5669131446193205E-5</v>
      </c>
    </row>
    <row r="296" spans="2:15" s="173" customFormat="1" ht="12" customHeight="1" x14ac:dyDescent="0.35">
      <c r="B296" s="523"/>
      <c r="C296" s="1085"/>
      <c r="D296" s="1163" t="s">
        <v>1197</v>
      </c>
      <c r="E296" s="1163"/>
      <c r="F296" s="286" t="s">
        <v>734</v>
      </c>
      <c r="G296" s="287" t="s">
        <v>1027</v>
      </c>
      <c r="H296" s="609">
        <v>1858.1314576079947</v>
      </c>
      <c r="I296" s="609">
        <f>0</f>
        <v>0</v>
      </c>
      <c r="J296" s="513" t="s">
        <v>1045</v>
      </c>
    </row>
    <row r="297" spans="2:15" s="173" customFormat="1" x14ac:dyDescent="0.35">
      <c r="D297" s="1163" t="s">
        <v>1152</v>
      </c>
      <c r="E297" s="1163"/>
      <c r="F297" s="286" t="s">
        <v>734</v>
      </c>
      <c r="G297" s="287" t="s">
        <v>1027</v>
      </c>
      <c r="H297" s="609">
        <v>961.36115878003704</v>
      </c>
      <c r="I297" s="609">
        <v>3758.8857205016093</v>
      </c>
      <c r="J297" s="513" t="s">
        <v>1101</v>
      </c>
      <c r="K297" s="110"/>
      <c r="L297" s="36"/>
    </row>
    <row r="298" spans="2:15" s="173" customFormat="1" x14ac:dyDescent="0.35">
      <c r="D298" s="1163" t="s">
        <v>1088</v>
      </c>
      <c r="E298" s="1163"/>
      <c r="F298" s="286" t="s">
        <v>549</v>
      </c>
      <c r="G298" s="287" t="s">
        <v>1027</v>
      </c>
      <c r="H298" s="609">
        <v>147.86381</v>
      </c>
      <c r="I298" s="609">
        <v>146.56106</v>
      </c>
      <c r="J298" s="513" t="s">
        <v>1089</v>
      </c>
      <c r="K298" s="110"/>
      <c r="L298" s="36"/>
    </row>
    <row r="299" spans="2:15" x14ac:dyDescent="0.35">
      <c r="B299" s="40"/>
      <c r="D299" s="1163" t="s">
        <v>1129</v>
      </c>
      <c r="E299" s="1163"/>
      <c r="F299" s="286" t="s">
        <v>734</v>
      </c>
      <c r="G299" s="287" t="s">
        <v>1027</v>
      </c>
      <c r="H299" s="609">
        <v>644.32941959334573</v>
      </c>
      <c r="I299" s="609">
        <v>627.59181943999999</v>
      </c>
      <c r="J299" s="287" t="s">
        <v>1130</v>
      </c>
      <c r="L299" s="36"/>
    </row>
    <row r="300" spans="2:15" x14ac:dyDescent="0.35">
      <c r="B300" s="117"/>
      <c r="C300" s="519"/>
      <c r="D300" s="1164"/>
      <c r="E300" s="1164"/>
      <c r="F300" s="647"/>
      <c r="G300" s="527"/>
      <c r="H300" s="637"/>
      <c r="I300" s="637"/>
      <c r="J300" s="418"/>
    </row>
    <row r="301" spans="2:15" x14ac:dyDescent="0.35">
      <c r="B301" s="40"/>
      <c r="C301" s="308" t="s">
        <v>1227</v>
      </c>
      <c r="D301" s="1133" t="s">
        <v>1218</v>
      </c>
      <c r="E301" s="1133"/>
      <c r="F301" s="621" t="s">
        <v>1157</v>
      </c>
      <c r="G301" s="287" t="s">
        <v>1027</v>
      </c>
      <c r="H301" s="90">
        <v>3.0931613000000002</v>
      </c>
      <c r="I301" s="416">
        <v>2.1062545999999998</v>
      </c>
      <c r="J301" s="287" t="s">
        <v>1043</v>
      </c>
      <c r="K301" s="36">
        <f>'14-16'!I60</f>
        <v>213.12521099999998</v>
      </c>
      <c r="L301" s="36">
        <f>K301-SUM(H301:H302)</f>
        <v>0</v>
      </c>
    </row>
    <row r="302" spans="2:15" x14ac:dyDescent="0.35">
      <c r="B302" s="40"/>
      <c r="D302" s="287" t="s">
        <v>2870</v>
      </c>
      <c r="F302" s="621" t="s">
        <v>734</v>
      </c>
      <c r="G302" s="287" t="s">
        <v>1027</v>
      </c>
      <c r="H302" s="90">
        <v>210.03204969999999</v>
      </c>
      <c r="I302" s="416">
        <f>0</f>
        <v>0</v>
      </c>
      <c r="J302" s="287" t="s">
        <v>1020</v>
      </c>
    </row>
    <row r="303" spans="2:15" x14ac:dyDescent="0.35">
      <c r="B303" s="40"/>
      <c r="C303" s="511"/>
      <c r="D303" s="1184"/>
      <c r="E303" s="1184"/>
      <c r="F303" s="649"/>
      <c r="G303" s="527"/>
      <c r="H303" s="261"/>
      <c r="I303" s="605"/>
      <c r="J303" s="287"/>
      <c r="L303" s="36"/>
      <c r="O303" s="36"/>
    </row>
    <row r="304" spans="2:15" x14ac:dyDescent="0.35">
      <c r="B304" s="40"/>
      <c r="C304" s="308" t="s">
        <v>1228</v>
      </c>
      <c r="D304" s="1170" t="s">
        <v>1102</v>
      </c>
      <c r="E304" s="1170"/>
      <c r="F304" s="621" t="s">
        <v>1181</v>
      </c>
      <c r="G304" s="287" t="s">
        <v>1027</v>
      </c>
      <c r="H304" s="90"/>
      <c r="I304" s="416">
        <v>156.21266534265001</v>
      </c>
      <c r="J304" s="513" t="s">
        <v>1103</v>
      </c>
      <c r="K304" s="1072">
        <f>'14-16'!I65</f>
        <v>0</v>
      </c>
      <c r="L304" s="36">
        <f>K304-H304</f>
        <v>0</v>
      </c>
      <c r="O304" s="36"/>
    </row>
    <row r="305" spans="1:15" x14ac:dyDescent="0.35">
      <c r="B305" s="40"/>
      <c r="C305" s="511"/>
      <c r="D305" s="1184"/>
      <c r="E305" s="1184"/>
      <c r="F305" s="649"/>
      <c r="G305" s="527"/>
      <c r="H305" s="261"/>
      <c r="I305" s="605"/>
      <c r="J305" s="419"/>
      <c r="L305" s="36"/>
      <c r="O305" s="36"/>
    </row>
    <row r="306" spans="1:15" x14ac:dyDescent="0.35">
      <c r="B306" s="40"/>
      <c r="D306" s="621"/>
      <c r="E306" s="621"/>
      <c r="F306" s="621"/>
      <c r="H306" s="90"/>
      <c r="I306" s="416"/>
      <c r="J306" s="419"/>
      <c r="L306" s="36"/>
      <c r="O306" s="36"/>
    </row>
    <row r="307" spans="1:15" x14ac:dyDescent="0.35">
      <c r="B307" s="40"/>
      <c r="D307" s="621"/>
      <c r="E307" s="621"/>
      <c r="F307" s="621"/>
      <c r="H307" s="90"/>
      <c r="I307" s="416"/>
      <c r="J307" s="419"/>
      <c r="L307" s="36"/>
      <c r="O307" s="36"/>
    </row>
    <row r="308" spans="1:15" x14ac:dyDescent="0.35">
      <c r="B308" s="285" t="str">
        <f>B1</f>
        <v>Paladion Networks Private Limited</v>
      </c>
    </row>
    <row r="309" spans="1:15" x14ac:dyDescent="0.35">
      <c r="B309" s="285" t="str">
        <f>B2</f>
        <v>Summary of Material accounting policies and other explanatory information</v>
      </c>
    </row>
    <row r="310" spans="1:15" ht="12" x14ac:dyDescent="0.35">
      <c r="B310" s="383" t="str">
        <f>B3</f>
        <v>(Amounts are stated in ₹ lakhs, except share and per share data, unless ottherwise stated)</v>
      </c>
    </row>
    <row r="311" spans="1:15" ht="12" x14ac:dyDescent="0.35">
      <c r="B311" s="383"/>
    </row>
    <row r="312" spans="1:15" s="53" customFormat="1" x14ac:dyDescent="0.35">
      <c r="A312" s="110">
        <f>A154</f>
        <v>30</v>
      </c>
      <c r="B312" s="214" t="str">
        <f>"Note "&amp;A312&amp;": Related party transactions (Contd.)"</f>
        <v>Note 30: Related party transactions (Contd.)</v>
      </c>
      <c r="C312" s="418"/>
      <c r="D312" s="418"/>
      <c r="E312" s="287"/>
      <c r="F312" s="287"/>
      <c r="G312" s="416"/>
      <c r="H312" s="416"/>
      <c r="I312" s="417"/>
      <c r="M312" s="61"/>
    </row>
    <row r="313" spans="1:15" x14ac:dyDescent="0.35">
      <c r="B313" s="117"/>
    </row>
    <row r="314" spans="1:15" s="53" customFormat="1" ht="34.5" x14ac:dyDescent="0.35">
      <c r="B314" s="61"/>
      <c r="C314" s="510" t="s">
        <v>1212</v>
      </c>
      <c r="D314" s="1180" t="s">
        <v>1144</v>
      </c>
      <c r="E314" s="1180"/>
      <c r="F314" s="620"/>
      <c r="G314" s="620" t="s">
        <v>1213</v>
      </c>
      <c r="H314" s="607" t="str">
        <f>H236</f>
        <v>For the year ended
31 March 2025</v>
      </c>
      <c r="I314" s="607" t="str">
        <f>I236</f>
        <v>For the year ended
31 March 2024</v>
      </c>
      <c r="J314" s="417"/>
      <c r="N314" s="61"/>
    </row>
    <row r="315" spans="1:15" ht="13" customHeight="1" x14ac:dyDescent="0.35">
      <c r="B315" s="40"/>
      <c r="C315" s="520" t="s">
        <v>43</v>
      </c>
      <c r="D315" s="1169" t="s">
        <v>1152</v>
      </c>
      <c r="E315" s="1169"/>
      <c r="F315" s="291" t="s">
        <v>734</v>
      </c>
      <c r="G315" s="517" t="s">
        <v>1014</v>
      </c>
      <c r="H315" s="90">
        <v>0</v>
      </c>
      <c r="I315" s="416">
        <v>31.518143993839999</v>
      </c>
      <c r="J315" s="513" t="s">
        <v>1101</v>
      </c>
      <c r="K315" s="36">
        <f>'14-16'!I10</f>
        <v>3331.679310490304</v>
      </c>
      <c r="L315" s="36">
        <f>K315-SUM(H315:H344)</f>
        <v>2.222329203505069E-5</v>
      </c>
    </row>
    <row r="316" spans="1:15" ht="11.5" customHeight="1" x14ac:dyDescent="0.35">
      <c r="B316" s="40"/>
      <c r="C316" s="520"/>
      <c r="D316" s="1133" t="s">
        <v>1216</v>
      </c>
      <c r="E316" s="1133"/>
      <c r="F316" s="286" t="s">
        <v>549</v>
      </c>
      <c r="G316" s="287" t="s">
        <v>1027</v>
      </c>
      <c r="H316" s="90">
        <v>3.4120368000000001</v>
      </c>
      <c r="I316" s="416">
        <v>0</v>
      </c>
      <c r="J316" s="513" t="s">
        <v>1047</v>
      </c>
      <c r="L316" s="36"/>
    </row>
    <row r="317" spans="1:15" ht="11.5" customHeight="1" x14ac:dyDescent="0.35">
      <c r="B317" s="40"/>
      <c r="C317" s="520"/>
      <c r="D317" s="621" t="s">
        <v>1013</v>
      </c>
      <c r="E317" s="621"/>
      <c r="F317" s="286" t="s">
        <v>1153</v>
      </c>
      <c r="G317" s="287" t="s">
        <v>2869</v>
      </c>
      <c r="H317" s="90">
        <v>6.5609272680221826</v>
      </c>
      <c r="I317" s="416"/>
      <c r="J317" s="513" t="s">
        <v>2850</v>
      </c>
      <c r="L317" s="36"/>
    </row>
    <row r="318" spans="1:15" x14ac:dyDescent="0.35">
      <c r="B318" s="40"/>
      <c r="C318" s="520"/>
      <c r="D318" s="1163" t="s">
        <v>1030</v>
      </c>
      <c r="E318" s="1163"/>
      <c r="F318" s="286" t="s">
        <v>1153</v>
      </c>
      <c r="G318" s="287" t="s">
        <v>1027</v>
      </c>
      <c r="H318" s="90">
        <v>492.09760746580685</v>
      </c>
      <c r="I318" s="416">
        <v>1163.47896345032</v>
      </c>
      <c r="J318" s="513" t="s">
        <v>1031</v>
      </c>
    </row>
    <row r="319" spans="1:15" x14ac:dyDescent="0.35">
      <c r="B319" s="40"/>
      <c r="C319" s="520"/>
      <c r="D319" s="1163" t="s">
        <v>1193</v>
      </c>
      <c r="E319" s="1163"/>
      <c r="F319" s="286" t="s">
        <v>1229</v>
      </c>
      <c r="G319" s="287" t="s">
        <v>1027</v>
      </c>
      <c r="H319" s="90">
        <v>1.4098131299999999E-3</v>
      </c>
      <c r="I319" s="416">
        <v>9.1959999999999785E-4</v>
      </c>
      <c r="J319" s="513" t="s">
        <v>1039</v>
      </c>
      <c r="L319" s="36"/>
    </row>
    <row r="320" spans="1:15" x14ac:dyDescent="0.35">
      <c r="B320" s="40"/>
      <c r="C320" s="520"/>
      <c r="D320" s="1163" t="s">
        <v>1054</v>
      </c>
      <c r="E320" s="1163"/>
      <c r="F320" s="286" t="s">
        <v>1194</v>
      </c>
      <c r="G320" s="287" t="s">
        <v>1027</v>
      </c>
      <c r="H320" s="90">
        <v>26.033122232225999</v>
      </c>
      <c r="I320" s="416">
        <v>4.7442704999999998</v>
      </c>
      <c r="J320" s="513" t="s">
        <v>1055</v>
      </c>
      <c r="K320" s="185"/>
    </row>
    <row r="321" spans="2:11" x14ac:dyDescent="0.35">
      <c r="B321" s="40"/>
      <c r="C321" s="520"/>
      <c r="D321" s="1163" t="s">
        <v>1062</v>
      </c>
      <c r="E321" s="1163"/>
      <c r="F321" s="286" t="s">
        <v>1148</v>
      </c>
      <c r="G321" s="287" t="s">
        <v>1027</v>
      </c>
      <c r="H321" s="90">
        <v>19.134571649907578</v>
      </c>
      <c r="I321" s="416">
        <v>18.63792808809</v>
      </c>
      <c r="J321" s="513" t="s">
        <v>1220</v>
      </c>
      <c r="K321" s="185"/>
    </row>
    <row r="322" spans="2:11" x14ac:dyDescent="0.35">
      <c r="B322" s="40"/>
      <c r="C322" s="520"/>
      <c r="D322" s="1163" t="s">
        <v>1070</v>
      </c>
      <c r="E322" s="1163"/>
      <c r="F322" s="286" t="s">
        <v>735</v>
      </c>
      <c r="G322" s="287" t="s">
        <v>1027</v>
      </c>
      <c r="H322" s="90">
        <v>4.1559411321560003</v>
      </c>
      <c r="I322" s="416">
        <v>18.818085500000002</v>
      </c>
      <c r="J322" s="513" t="s">
        <v>1071</v>
      </c>
      <c r="K322" s="185"/>
    </row>
    <row r="323" spans="2:11" x14ac:dyDescent="0.35">
      <c r="B323" s="40"/>
      <c r="C323" s="520"/>
      <c r="D323" s="1163" t="s">
        <v>1076</v>
      </c>
      <c r="E323" s="1163"/>
      <c r="F323" s="286" t="s">
        <v>1191</v>
      </c>
      <c r="G323" s="287" t="s">
        <v>1027</v>
      </c>
      <c r="H323" s="90">
        <v>17.524287955862004</v>
      </c>
      <c r="I323" s="416">
        <v>125.28734120000001</v>
      </c>
      <c r="J323" s="513" t="s">
        <v>1077</v>
      </c>
      <c r="K323" s="185"/>
    </row>
    <row r="324" spans="2:11" x14ac:dyDescent="0.35">
      <c r="B324" s="40"/>
      <c r="C324" s="520"/>
      <c r="D324" s="1163" t="s">
        <v>1230</v>
      </c>
      <c r="E324" s="1163"/>
      <c r="F324" s="286" t="s">
        <v>1150</v>
      </c>
      <c r="G324" s="287" t="s">
        <v>1027</v>
      </c>
      <c r="H324" s="90">
        <v>2.8655550365988911</v>
      </c>
      <c r="I324" s="416">
        <v>2.53728542682</v>
      </c>
      <c r="J324" s="513" t="s">
        <v>1081</v>
      </c>
      <c r="K324" s="185"/>
    </row>
    <row r="325" spans="2:11" x14ac:dyDescent="0.35">
      <c r="B325" s="40"/>
      <c r="C325" s="520"/>
      <c r="D325" s="1163" t="s">
        <v>1092</v>
      </c>
      <c r="E325" s="1163"/>
      <c r="F325" s="286" t="s">
        <v>1153</v>
      </c>
      <c r="G325" s="287" t="s">
        <v>1027</v>
      </c>
      <c r="H325" s="90">
        <v>0</v>
      </c>
      <c r="I325" s="416">
        <v>8.5617000000000019E-3</v>
      </c>
      <c r="J325" s="513" t="s">
        <v>1093</v>
      </c>
      <c r="K325" s="185"/>
    </row>
    <row r="326" spans="2:11" x14ac:dyDescent="0.35">
      <c r="B326" s="40"/>
      <c r="C326" s="520"/>
      <c r="D326" s="1163" t="s">
        <v>1169</v>
      </c>
      <c r="E326" s="1163"/>
      <c r="F326" s="286" t="s">
        <v>549</v>
      </c>
      <c r="G326" s="287" t="s">
        <v>1027</v>
      </c>
      <c r="H326" s="90">
        <v>1.9651E-3</v>
      </c>
      <c r="I326" s="416">
        <v>5.6330000000000199E-2</v>
      </c>
      <c r="J326" s="513" t="s">
        <v>1018</v>
      </c>
      <c r="K326" s="185"/>
    </row>
    <row r="327" spans="2:11" x14ac:dyDescent="0.35">
      <c r="B327" s="40"/>
      <c r="C327" s="520"/>
      <c r="D327" s="1163" t="s">
        <v>1088</v>
      </c>
      <c r="E327" s="1163"/>
      <c r="F327" s="286" t="s">
        <v>549</v>
      </c>
      <c r="G327" s="287" t="s">
        <v>1027</v>
      </c>
      <c r="H327" s="90">
        <f>138.7605906+21.31502</f>
        <v>160.0756106</v>
      </c>
      <c r="I327" s="416">
        <v>64.175404999999998</v>
      </c>
      <c r="J327" s="513" t="s">
        <v>1089</v>
      </c>
      <c r="K327" s="185"/>
    </row>
    <row r="328" spans="2:11" x14ac:dyDescent="0.35">
      <c r="B328" s="40"/>
      <c r="C328" s="520"/>
      <c r="D328" s="1163" t="s">
        <v>1231</v>
      </c>
      <c r="E328" s="1163"/>
      <c r="F328" s="286" t="s">
        <v>1224</v>
      </c>
      <c r="G328" s="287" t="s">
        <v>1149</v>
      </c>
      <c r="H328" s="90">
        <v>570.61018633727781</v>
      </c>
      <c r="I328" s="416">
        <v>365.6398218717099</v>
      </c>
      <c r="J328" s="287" t="s">
        <v>1024</v>
      </c>
      <c r="K328" s="185"/>
    </row>
    <row r="329" spans="2:11" x14ac:dyDescent="0.35">
      <c r="B329" s="40"/>
      <c r="C329" s="520"/>
      <c r="D329" s="1163" t="s">
        <v>531</v>
      </c>
      <c r="E329" s="1163"/>
      <c r="F329" s="286" t="s">
        <v>1150</v>
      </c>
      <c r="G329" s="287" t="s">
        <v>1149</v>
      </c>
      <c r="H329" s="90">
        <v>290.75270222792011</v>
      </c>
      <c r="I329" s="416">
        <v>74.342839194419994</v>
      </c>
      <c r="J329" s="287" t="s">
        <v>1026</v>
      </c>
    </row>
    <row r="330" spans="2:11" ht="12" customHeight="1" x14ac:dyDescent="0.35">
      <c r="B330" s="40"/>
      <c r="C330" s="520"/>
      <c r="D330" s="1163" t="s">
        <v>639</v>
      </c>
      <c r="E330" s="1163"/>
      <c r="F330" s="286" t="s">
        <v>549</v>
      </c>
      <c r="G330" s="520" t="s">
        <v>1014</v>
      </c>
      <c r="H330" s="90">
        <v>12.701545547689459</v>
      </c>
      <c r="I330" s="416">
        <v>101.59425289138001</v>
      </c>
      <c r="J330" s="513" t="s">
        <v>1016</v>
      </c>
    </row>
    <row r="331" spans="2:11" x14ac:dyDescent="0.35">
      <c r="B331" s="40"/>
      <c r="C331" s="520"/>
      <c r="D331" s="723" t="s">
        <v>1196</v>
      </c>
      <c r="E331" s="286"/>
      <c r="F331" s="286" t="s">
        <v>1173</v>
      </c>
      <c r="G331" s="287" t="s">
        <v>1027</v>
      </c>
      <c r="H331" s="90">
        <v>21.479565674829995</v>
      </c>
      <c r="I331" s="416">
        <v>37.012387199999999</v>
      </c>
      <c r="J331" s="513" t="s">
        <v>1059</v>
      </c>
    </row>
    <row r="332" spans="2:11" x14ac:dyDescent="0.35">
      <c r="B332" s="40"/>
      <c r="C332" s="520"/>
      <c r="D332" s="723" t="s">
        <v>1066</v>
      </c>
      <c r="E332" s="110"/>
      <c r="F332" s="286" t="s">
        <v>1163</v>
      </c>
      <c r="G332" s="287" t="s">
        <v>1027</v>
      </c>
      <c r="H332" s="90">
        <v>0.18701811993600001</v>
      </c>
      <c r="I332" s="416">
        <v>30.465261599999998</v>
      </c>
      <c r="J332" s="513" t="s">
        <v>1067</v>
      </c>
    </row>
    <row r="333" spans="2:11" x14ac:dyDescent="0.35">
      <c r="B333" s="40"/>
      <c r="C333" s="520"/>
      <c r="D333" s="723" t="s">
        <v>2857</v>
      </c>
      <c r="E333" s="110"/>
      <c r="F333" s="286" t="s">
        <v>1173</v>
      </c>
      <c r="G333" s="287" t="s">
        <v>1027</v>
      </c>
      <c r="H333" s="90">
        <v>0.72364131497227357</v>
      </c>
      <c r="I333" s="416"/>
      <c r="J333" s="513" t="s">
        <v>2852</v>
      </c>
    </row>
    <row r="334" spans="2:11" x14ac:dyDescent="0.35">
      <c r="B334" s="40"/>
      <c r="C334" s="520"/>
      <c r="D334" s="723" t="s">
        <v>1104</v>
      </c>
      <c r="E334" s="110"/>
      <c r="F334" s="286" t="s">
        <v>1153</v>
      </c>
      <c r="G334" s="287" t="s">
        <v>1027</v>
      </c>
      <c r="H334" s="90">
        <v>1190.0174606594001</v>
      </c>
      <c r="I334" s="416">
        <v>394.11963980000002</v>
      </c>
      <c r="J334" s="513" t="s">
        <v>1105</v>
      </c>
    </row>
    <row r="335" spans="2:11" x14ac:dyDescent="0.35">
      <c r="B335" s="40"/>
      <c r="C335" s="520"/>
      <c r="D335" s="723" t="s">
        <v>1232</v>
      </c>
      <c r="E335" s="110"/>
      <c r="F335" s="286" t="s">
        <v>1153</v>
      </c>
      <c r="G335" s="287" t="s">
        <v>1027</v>
      </c>
      <c r="H335" s="90">
        <v>0</v>
      </c>
      <c r="I335" s="416">
        <v>2306.2555019000001</v>
      </c>
      <c r="J335" s="513" t="s">
        <v>1087</v>
      </c>
    </row>
    <row r="336" spans="2:11" x14ac:dyDescent="0.35">
      <c r="B336" s="40"/>
      <c r="C336" s="520"/>
      <c r="D336" s="723" t="s">
        <v>1109</v>
      </c>
      <c r="E336" s="286"/>
      <c r="F336" s="117" t="s">
        <v>1194</v>
      </c>
      <c r="G336" s="287" t="s">
        <v>1027</v>
      </c>
      <c r="H336" s="90">
        <v>40.888054173207792</v>
      </c>
      <c r="I336" s="416">
        <v>48.718215995920005</v>
      </c>
      <c r="J336" s="513" t="s">
        <v>1110</v>
      </c>
    </row>
    <row r="337" spans="2:12" x14ac:dyDescent="0.35">
      <c r="B337" s="40"/>
      <c r="C337" s="520"/>
      <c r="D337" s="723" t="s">
        <v>1111</v>
      </c>
      <c r="E337" s="286"/>
      <c r="F337" s="117" t="s">
        <v>1153</v>
      </c>
      <c r="G337" s="287" t="s">
        <v>1027</v>
      </c>
      <c r="H337" s="90">
        <v>0</v>
      </c>
      <c r="I337" s="416">
        <v>0.38512439999999998</v>
      </c>
      <c r="J337" s="513" t="s">
        <v>1112</v>
      </c>
    </row>
    <row r="338" spans="2:12" x14ac:dyDescent="0.35">
      <c r="B338" s="40"/>
      <c r="C338" s="520"/>
      <c r="D338" s="723" t="s">
        <v>1121</v>
      </c>
      <c r="E338" s="286"/>
      <c r="F338" s="117" t="s">
        <v>1198</v>
      </c>
      <c r="G338" s="287" t="s">
        <v>1027</v>
      </c>
      <c r="H338" s="90">
        <v>0.1221845389</v>
      </c>
      <c r="I338" s="416">
        <v>0.44493160000000004</v>
      </c>
      <c r="J338" s="513" t="s">
        <v>1122</v>
      </c>
    </row>
    <row r="339" spans="2:12" x14ac:dyDescent="0.35">
      <c r="B339" s="40"/>
      <c r="C339" s="520"/>
      <c r="D339" s="723" t="s">
        <v>1123</v>
      </c>
      <c r="E339" s="286"/>
      <c r="F339" s="117" t="s">
        <v>1161</v>
      </c>
      <c r="G339" s="287" t="s">
        <v>1027</v>
      </c>
      <c r="H339" s="90">
        <v>83.790576430149272</v>
      </c>
      <c r="I339" s="416">
        <v>322.54391509999999</v>
      </c>
      <c r="J339" s="513" t="s">
        <v>1124</v>
      </c>
    </row>
    <row r="340" spans="2:12" x14ac:dyDescent="0.35">
      <c r="B340" s="40"/>
      <c r="C340" s="520"/>
      <c r="D340" s="723" t="s">
        <v>1197</v>
      </c>
      <c r="E340" s="286"/>
      <c r="F340" s="117" t="s">
        <v>734</v>
      </c>
      <c r="G340" s="287" t="s">
        <v>1027</v>
      </c>
      <c r="H340" s="90">
        <v>238.02507658969688</v>
      </c>
      <c r="I340" s="416">
        <v>1219.5042606739</v>
      </c>
      <c r="J340" s="513" t="s">
        <v>1045</v>
      </c>
    </row>
    <row r="341" spans="2:12" x14ac:dyDescent="0.35">
      <c r="B341" s="40"/>
      <c r="C341" s="520"/>
      <c r="D341" s="723" t="s">
        <v>1127</v>
      </c>
      <c r="E341" s="286"/>
      <c r="F341" s="117" t="s">
        <v>735</v>
      </c>
      <c r="G341" s="287" t="s">
        <v>1027</v>
      </c>
      <c r="H341" s="90">
        <v>68.00287364922977</v>
      </c>
      <c r="I341" s="416">
        <v>2.1394831999999999</v>
      </c>
      <c r="J341" s="513" t="s">
        <v>1128</v>
      </c>
    </row>
    <row r="342" spans="2:12" x14ac:dyDescent="0.35">
      <c r="B342" s="40"/>
      <c r="C342" s="520"/>
      <c r="D342" s="723" t="s">
        <v>1233</v>
      </c>
      <c r="E342" s="286"/>
      <c r="F342" s="117" t="s">
        <v>1153</v>
      </c>
      <c r="G342" s="287" t="s">
        <v>1027</v>
      </c>
      <c r="H342" s="90">
        <v>0</v>
      </c>
      <c r="I342" s="416">
        <v>8.0387000000000011E-3</v>
      </c>
      <c r="J342" s="513" t="s">
        <v>1107</v>
      </c>
    </row>
    <row r="343" spans="2:12" x14ac:dyDescent="0.35">
      <c r="B343" s="40"/>
      <c r="C343" s="520"/>
      <c r="D343" s="723" t="s">
        <v>1062</v>
      </c>
      <c r="E343" s="286"/>
      <c r="F343" s="117" t="s">
        <v>1224</v>
      </c>
      <c r="G343" s="287" t="s">
        <v>1027</v>
      </c>
      <c r="H343" s="90">
        <v>54.549294397412154</v>
      </c>
      <c r="I343" s="416">
        <v>49.846127707860006</v>
      </c>
      <c r="J343" s="513" t="s">
        <v>1195</v>
      </c>
    </row>
    <row r="344" spans="2:12" x14ac:dyDescent="0.35">
      <c r="B344" s="40"/>
      <c r="C344" s="520"/>
      <c r="D344" s="723" t="s">
        <v>1234</v>
      </c>
      <c r="E344" s="286"/>
      <c r="F344" s="117" t="s">
        <v>734</v>
      </c>
      <c r="G344" s="287" t="s">
        <v>1027</v>
      </c>
      <c r="H344" s="90">
        <v>27.966073552680228</v>
      </c>
      <c r="I344" s="416">
        <v>26.835834200000001</v>
      </c>
      <c r="J344" s="513" t="s">
        <v>1035</v>
      </c>
    </row>
    <row r="345" spans="2:12" x14ac:dyDescent="0.35">
      <c r="B345" s="40"/>
      <c r="C345" s="520"/>
      <c r="D345" s="1164"/>
      <c r="E345" s="1164"/>
      <c r="F345" s="647"/>
      <c r="G345" s="527"/>
      <c r="H345" s="90"/>
      <c r="I345" s="416"/>
      <c r="J345" s="419"/>
    </row>
    <row r="346" spans="2:12" x14ac:dyDescent="0.35">
      <c r="B346" s="40"/>
      <c r="C346" s="625" t="s">
        <v>1235</v>
      </c>
      <c r="D346" s="1169" t="s">
        <v>1123</v>
      </c>
      <c r="E346" s="1169"/>
      <c r="F346" s="286" t="s">
        <v>549</v>
      </c>
      <c r="G346" s="287" t="s">
        <v>1027</v>
      </c>
      <c r="H346" s="262">
        <v>6.7373000000000003</v>
      </c>
      <c r="I346" s="262">
        <v>0</v>
      </c>
      <c r="J346" s="513" t="s">
        <v>1124</v>
      </c>
      <c r="K346" s="1072">
        <f>'14-16'!I14</f>
        <v>303.35321809999999</v>
      </c>
      <c r="L346" s="421">
        <f>K346-SUM(H346:H351)</f>
        <v>-5.6843418860808015E-13</v>
      </c>
    </row>
    <row r="347" spans="2:12" x14ac:dyDescent="0.35">
      <c r="B347" s="40"/>
      <c r="D347" s="1163" t="s">
        <v>2865</v>
      </c>
      <c r="E347" s="1163"/>
      <c r="F347" s="286" t="s">
        <v>735</v>
      </c>
      <c r="G347" s="287" t="s">
        <v>1027</v>
      </c>
      <c r="H347" s="90">
        <v>44.295708099999999</v>
      </c>
      <c r="I347" s="90">
        <v>0</v>
      </c>
      <c r="J347" s="513" t="s">
        <v>1128</v>
      </c>
    </row>
    <row r="348" spans="2:12" x14ac:dyDescent="0.35">
      <c r="B348" s="40"/>
      <c r="D348" s="1163" t="s">
        <v>639</v>
      </c>
      <c r="E348" s="1163"/>
      <c r="F348" s="286" t="s">
        <v>549</v>
      </c>
      <c r="G348" s="287" t="s">
        <v>1014</v>
      </c>
      <c r="H348" s="90" t="s">
        <v>174</v>
      </c>
      <c r="I348" s="90">
        <v>4.5599086</v>
      </c>
      <c r="J348" s="513" t="s">
        <v>1016</v>
      </c>
    </row>
    <row r="349" spans="2:12" x14ac:dyDescent="0.35">
      <c r="B349" s="40"/>
      <c r="D349" s="286" t="s">
        <v>1104</v>
      </c>
      <c r="E349" s="286"/>
      <c r="F349" s="286" t="s">
        <v>1153</v>
      </c>
      <c r="G349" s="287" t="s">
        <v>1027</v>
      </c>
      <c r="H349" s="90">
        <v>235.6990500000006</v>
      </c>
      <c r="I349" s="90">
        <v>282.22927550000003</v>
      </c>
      <c r="J349" s="513" t="s">
        <v>1105</v>
      </c>
      <c r="L349" s="36"/>
    </row>
    <row r="350" spans="2:12" x14ac:dyDescent="0.35">
      <c r="B350" s="40"/>
      <c r="D350" s="286" t="s">
        <v>1046</v>
      </c>
      <c r="E350" s="286"/>
      <c r="F350" s="286" t="s">
        <v>549</v>
      </c>
      <c r="G350" s="287" t="s">
        <v>1027</v>
      </c>
      <c r="H350" s="90">
        <v>0.94716</v>
      </c>
      <c r="I350" s="90">
        <v>0.46200000000000002</v>
      </c>
      <c r="J350" s="513" t="s">
        <v>1047</v>
      </c>
      <c r="L350" s="36"/>
    </row>
    <row r="351" spans="2:12" x14ac:dyDescent="0.35">
      <c r="B351" s="40"/>
      <c r="D351" s="1163" t="s">
        <v>1169</v>
      </c>
      <c r="E351" s="1163"/>
      <c r="F351" s="286" t="s">
        <v>549</v>
      </c>
      <c r="G351" s="287" t="s">
        <v>1027</v>
      </c>
      <c r="H351" s="90">
        <v>15.673999999999999</v>
      </c>
      <c r="I351" s="90">
        <v>0.67200000000000004</v>
      </c>
      <c r="J351" s="513" t="s">
        <v>1018</v>
      </c>
      <c r="K351" s="185"/>
    </row>
    <row r="352" spans="2:12" x14ac:dyDescent="0.35">
      <c r="B352" s="40"/>
      <c r="D352" s="286"/>
      <c r="E352" s="286"/>
      <c r="F352" s="286"/>
      <c r="H352" s="90"/>
      <c r="I352" s="90"/>
      <c r="J352" s="513"/>
      <c r="K352" s="185"/>
    </row>
    <row r="353" spans="3:12" x14ac:dyDescent="0.35">
      <c r="C353" s="517" t="s">
        <v>563</v>
      </c>
      <c r="D353" s="1170" t="s">
        <v>531</v>
      </c>
      <c r="E353" s="1170"/>
      <c r="F353" s="648" t="s">
        <v>1150</v>
      </c>
      <c r="G353" s="521" t="s">
        <v>1149</v>
      </c>
      <c r="H353" s="262">
        <v>127.25127661318831</v>
      </c>
      <c r="I353" s="262">
        <v>10.849440400000001</v>
      </c>
      <c r="J353" s="287" t="s">
        <v>1026</v>
      </c>
      <c r="K353" s="1067">
        <f>'8-10'!I14</f>
        <v>3035.9980449973805</v>
      </c>
      <c r="L353" s="36">
        <f>K353-SUM(H353:H393)</f>
        <v>-1.1699994956870796E-5</v>
      </c>
    </row>
    <row r="354" spans="3:12" x14ac:dyDescent="0.35">
      <c r="D354" s="1133" t="s">
        <v>2873</v>
      </c>
      <c r="E354" s="1133"/>
      <c r="F354" s="621" t="s">
        <v>1151</v>
      </c>
      <c r="G354" s="287" t="s">
        <v>1027</v>
      </c>
      <c r="H354" s="90">
        <v>0</v>
      </c>
      <c r="I354" s="90">
        <v>83.471745999999996</v>
      </c>
      <c r="J354" s="287" t="s">
        <v>1133</v>
      </c>
      <c r="L354" s="595"/>
    </row>
    <row r="355" spans="3:12" x14ac:dyDescent="0.35">
      <c r="D355" s="1133" t="s">
        <v>1231</v>
      </c>
      <c r="E355" s="1133"/>
      <c r="F355" s="621" t="s">
        <v>1148</v>
      </c>
      <c r="G355" s="287" t="s">
        <v>1149</v>
      </c>
      <c r="H355" s="90">
        <v>145.12430171190979</v>
      </c>
      <c r="I355" s="90">
        <v>20.805706500000003</v>
      </c>
      <c r="J355" s="287" t="s">
        <v>1024</v>
      </c>
      <c r="L355" s="36"/>
    </row>
    <row r="356" spans="3:12" x14ac:dyDescent="0.35">
      <c r="D356" s="1163" t="s">
        <v>1019</v>
      </c>
      <c r="E356" s="1163"/>
      <c r="F356" s="621" t="s">
        <v>734</v>
      </c>
      <c r="G356" s="287" t="s">
        <v>1014</v>
      </c>
      <c r="H356" s="90">
        <v>62.992261827897501</v>
      </c>
      <c r="I356" s="90">
        <v>409.32645549999995</v>
      </c>
      <c r="J356" s="287" t="s">
        <v>1020</v>
      </c>
    </row>
    <row r="357" spans="3:12" x14ac:dyDescent="0.35">
      <c r="D357" s="520" t="s">
        <v>2866</v>
      </c>
      <c r="E357" s="520"/>
      <c r="F357" s="621" t="s">
        <v>1163</v>
      </c>
      <c r="G357" s="287" t="s">
        <v>1027</v>
      </c>
      <c r="H357" s="90">
        <v>0.88247570000000009</v>
      </c>
      <c r="I357" s="609">
        <v>0</v>
      </c>
      <c r="J357" s="287" t="s">
        <v>2842</v>
      </c>
    </row>
    <row r="358" spans="3:12" x14ac:dyDescent="0.35">
      <c r="D358" s="1133" t="s">
        <v>1086</v>
      </c>
      <c r="E358" s="1133"/>
      <c r="F358" s="621" t="s">
        <v>1153</v>
      </c>
      <c r="G358" s="287" t="s">
        <v>1027</v>
      </c>
      <c r="H358" s="90">
        <v>0</v>
      </c>
      <c r="I358" s="90">
        <v>0.2284552</v>
      </c>
      <c r="J358" s="513" t="s">
        <v>1087</v>
      </c>
    </row>
    <row r="359" spans="3:12" x14ac:dyDescent="0.35">
      <c r="D359" s="1133" t="s">
        <v>1080</v>
      </c>
      <c r="E359" s="1133"/>
      <c r="F359" s="621" t="s">
        <v>1150</v>
      </c>
      <c r="G359" s="287" t="s">
        <v>1027</v>
      </c>
      <c r="H359" s="90">
        <v>71.079624489141793</v>
      </c>
      <c r="I359" s="90">
        <v>33.554191699999997</v>
      </c>
      <c r="J359" s="513" t="s">
        <v>1081</v>
      </c>
    </row>
    <row r="360" spans="3:12" x14ac:dyDescent="0.35">
      <c r="D360" s="1133" t="s">
        <v>1152</v>
      </c>
      <c r="E360" s="1133"/>
      <c r="F360" s="621" t="s">
        <v>734</v>
      </c>
      <c r="G360" s="287" t="s">
        <v>1027</v>
      </c>
      <c r="H360" s="90">
        <v>136.73262248635763</v>
      </c>
      <c r="I360" s="90">
        <v>187.72909559999999</v>
      </c>
      <c r="J360" s="513" t="s">
        <v>1101</v>
      </c>
    </row>
    <row r="361" spans="3:12" x14ac:dyDescent="0.35">
      <c r="D361" s="1133" t="s">
        <v>1030</v>
      </c>
      <c r="E361" s="1133"/>
      <c r="F361" s="621" t="s">
        <v>1153</v>
      </c>
      <c r="G361" s="287" t="s">
        <v>1027</v>
      </c>
      <c r="H361" s="90">
        <v>0.12108459999999999</v>
      </c>
      <c r="I361" s="90">
        <v>0.52166940000000006</v>
      </c>
      <c r="J361" s="513" t="s">
        <v>1031</v>
      </c>
    </row>
    <row r="362" spans="3:12" x14ac:dyDescent="0.35">
      <c r="D362" s="1133" t="s">
        <v>1032</v>
      </c>
      <c r="E362" s="1133"/>
      <c r="F362" s="621" t="s">
        <v>1153</v>
      </c>
      <c r="G362" s="287" t="s">
        <v>1027</v>
      </c>
      <c r="H362" s="90">
        <v>50.529949800000004</v>
      </c>
      <c r="I362" s="90">
        <v>24.370369399999998</v>
      </c>
      <c r="J362" s="513" t="s">
        <v>1033</v>
      </c>
    </row>
    <row r="363" spans="3:12" x14ac:dyDescent="0.35">
      <c r="D363" s="1163" t="s">
        <v>1034</v>
      </c>
      <c r="E363" s="1163"/>
      <c r="F363" s="286" t="s">
        <v>734</v>
      </c>
      <c r="G363" s="287" t="s">
        <v>1027</v>
      </c>
      <c r="H363" s="90">
        <v>0.73153070000000009</v>
      </c>
      <c r="I363" s="609">
        <v>0.5749301</v>
      </c>
      <c r="J363" s="513" t="s">
        <v>1035</v>
      </c>
    </row>
    <row r="364" spans="3:12" x14ac:dyDescent="0.35">
      <c r="D364" s="287" t="s">
        <v>2867</v>
      </c>
      <c r="F364" s="286" t="s">
        <v>2868</v>
      </c>
      <c r="G364" s="287" t="s">
        <v>1027</v>
      </c>
      <c r="H364" s="90">
        <v>1.3597860999999998</v>
      </c>
      <c r="I364" s="609">
        <v>0</v>
      </c>
      <c r="J364" s="513" t="s">
        <v>2843</v>
      </c>
    </row>
    <row r="365" spans="3:12" x14ac:dyDescent="0.35">
      <c r="D365" s="287" t="s">
        <v>1109</v>
      </c>
      <c r="F365" s="286" t="s">
        <v>1155</v>
      </c>
      <c r="G365" s="287" t="s">
        <v>1027</v>
      </c>
      <c r="H365" s="90">
        <v>1.0832913</v>
      </c>
      <c r="I365" s="609">
        <v>0</v>
      </c>
      <c r="J365" s="513" t="s">
        <v>1110</v>
      </c>
    </row>
    <row r="366" spans="3:12" x14ac:dyDescent="0.35">
      <c r="D366" s="1163" t="s">
        <v>1040</v>
      </c>
      <c r="E366" s="1163"/>
      <c r="F366" s="286" t="s">
        <v>1217</v>
      </c>
      <c r="G366" s="287" t="s">
        <v>1027</v>
      </c>
      <c r="H366" s="90">
        <v>0</v>
      </c>
      <c r="I366" s="609">
        <v>1.8887999999999999E-2</v>
      </c>
      <c r="J366" s="513" t="s">
        <v>1041</v>
      </c>
    </row>
    <row r="367" spans="3:12" x14ac:dyDescent="0.35">
      <c r="D367" s="1163" t="s">
        <v>1046</v>
      </c>
      <c r="E367" s="1163"/>
      <c r="F367" s="286" t="s">
        <v>549</v>
      </c>
      <c r="G367" s="287" t="s">
        <v>1027</v>
      </c>
      <c r="H367" s="90">
        <v>427.96750600000001</v>
      </c>
      <c r="I367" s="609">
        <v>44.249580000000002</v>
      </c>
      <c r="J367" s="513" t="s">
        <v>1047</v>
      </c>
    </row>
    <row r="368" spans="3:12" x14ac:dyDescent="0.35">
      <c r="D368" s="1163" t="s">
        <v>1050</v>
      </c>
      <c r="E368" s="1163"/>
      <c r="F368" s="286" t="s">
        <v>1159</v>
      </c>
      <c r="G368" s="287" t="s">
        <v>1027</v>
      </c>
      <c r="H368" s="90">
        <v>1.0933200999999999</v>
      </c>
      <c r="I368" s="609">
        <v>0.12322190000000001</v>
      </c>
      <c r="J368" s="513" t="s">
        <v>1051</v>
      </c>
    </row>
    <row r="369" spans="2:10" x14ac:dyDescent="0.35">
      <c r="D369" s="1163" t="s">
        <v>1060</v>
      </c>
      <c r="E369" s="1163"/>
      <c r="F369" s="286" t="s">
        <v>1161</v>
      </c>
      <c r="G369" s="287" t="s">
        <v>1027</v>
      </c>
      <c r="H369" s="90">
        <v>0</v>
      </c>
      <c r="I369" s="90">
        <v>2.3583054999999997</v>
      </c>
      <c r="J369" s="513" t="s">
        <v>1061</v>
      </c>
    </row>
    <row r="370" spans="2:10" x14ac:dyDescent="0.35">
      <c r="D370" s="1163" t="s">
        <v>1064</v>
      </c>
      <c r="E370" s="1163"/>
      <c r="F370" s="286" t="s">
        <v>1151</v>
      </c>
      <c r="G370" s="287" t="s">
        <v>1027</v>
      </c>
      <c r="H370" s="90">
        <v>117.8231368223194</v>
      </c>
      <c r="I370" s="609">
        <v>9.4761000000000006</v>
      </c>
      <c r="J370" s="513" t="s">
        <v>1065</v>
      </c>
    </row>
    <row r="371" spans="2:10" x14ac:dyDescent="0.35">
      <c r="D371" s="286"/>
      <c r="E371" s="286"/>
      <c r="F371" s="286"/>
      <c r="H371" s="90"/>
      <c r="I371" s="609"/>
      <c r="J371" s="513"/>
    </row>
    <row r="372" spans="2:10" x14ac:dyDescent="0.35">
      <c r="D372" s="286"/>
      <c r="E372" s="286"/>
      <c r="F372" s="286"/>
      <c r="H372" s="90"/>
      <c r="I372" s="609"/>
      <c r="J372" s="513"/>
    </row>
    <row r="373" spans="2:10" x14ac:dyDescent="0.35">
      <c r="B373" s="285" t="str">
        <f>B308</f>
        <v>Paladion Networks Private Limited</v>
      </c>
      <c r="D373" s="286"/>
      <c r="E373" s="621"/>
      <c r="F373" s="621"/>
      <c r="H373" s="90"/>
      <c r="I373" s="90"/>
      <c r="J373" s="419"/>
    </row>
    <row r="374" spans="2:10" x14ac:dyDescent="0.35">
      <c r="B374" s="285" t="str">
        <f>B309</f>
        <v>Summary of Material accounting policies and other explanatory information</v>
      </c>
      <c r="D374" s="286"/>
      <c r="E374" s="621"/>
      <c r="F374" s="621"/>
      <c r="H374" s="90"/>
      <c r="I374" s="90"/>
      <c r="J374" s="419"/>
    </row>
    <row r="375" spans="2:10" ht="12" x14ac:dyDescent="0.35">
      <c r="B375" s="383" t="str">
        <f>B310</f>
        <v>(Amounts are stated in ₹ lakhs, except share and per share data, unless ottherwise stated)</v>
      </c>
      <c r="D375" s="286"/>
      <c r="E375" s="621"/>
      <c r="F375" s="621"/>
      <c r="H375" s="90"/>
      <c r="I375" s="90"/>
      <c r="J375" s="419"/>
    </row>
    <row r="376" spans="2:10" x14ac:dyDescent="0.35">
      <c r="B376" s="285"/>
      <c r="D376" s="286"/>
      <c r="E376" s="621"/>
      <c r="F376" s="621"/>
      <c r="H376" s="90"/>
      <c r="I376" s="90"/>
      <c r="J376" s="419"/>
    </row>
    <row r="377" spans="2:10" x14ac:dyDescent="0.35">
      <c r="B377" s="285" t="str">
        <f>B312</f>
        <v>Note 30: Related party transactions (Contd.)</v>
      </c>
      <c r="D377" s="286"/>
      <c r="E377" s="621"/>
      <c r="F377" s="621"/>
      <c r="H377" s="90"/>
      <c r="I377" s="90"/>
      <c r="J377" s="419"/>
    </row>
    <row r="378" spans="2:10" x14ac:dyDescent="0.35">
      <c r="B378" s="285"/>
      <c r="D378" s="286"/>
      <c r="E378" s="621"/>
      <c r="F378" s="621"/>
      <c r="H378" s="90"/>
      <c r="I378" s="90"/>
      <c r="J378" s="419"/>
    </row>
    <row r="379" spans="2:10" s="241" customFormat="1" ht="23" x14ac:dyDescent="0.35">
      <c r="C379" s="510" t="s">
        <v>1212</v>
      </c>
      <c r="D379" s="1180" t="s">
        <v>1144</v>
      </c>
      <c r="E379" s="1180"/>
      <c r="F379" s="620"/>
      <c r="G379" s="620" t="s">
        <v>1213</v>
      </c>
      <c r="H379" s="608" t="s">
        <v>1236</v>
      </c>
      <c r="I379" s="608" t="s">
        <v>1237</v>
      </c>
    </row>
    <row r="380" spans="2:10" x14ac:dyDescent="0.35">
      <c r="D380" s="1163" t="s">
        <v>1070</v>
      </c>
      <c r="E380" s="1163"/>
      <c r="F380" s="286" t="s">
        <v>735</v>
      </c>
      <c r="G380" s="287" t="s">
        <v>1027</v>
      </c>
      <c r="H380" s="90">
        <v>0.98817060000000001</v>
      </c>
      <c r="I380" s="90">
        <v>0</v>
      </c>
      <c r="J380" s="513" t="s">
        <v>1071</v>
      </c>
    </row>
    <row r="381" spans="2:10" x14ac:dyDescent="0.35">
      <c r="D381" s="1163" t="s">
        <v>1074</v>
      </c>
      <c r="E381" s="1163"/>
      <c r="F381" s="286" t="s">
        <v>736</v>
      </c>
      <c r="G381" s="287" t="s">
        <v>1027</v>
      </c>
      <c r="H381" s="90">
        <v>156.41235</v>
      </c>
      <c r="I381" s="90">
        <v>0</v>
      </c>
      <c r="J381" s="513" t="s">
        <v>1075</v>
      </c>
    </row>
    <row r="382" spans="2:10" x14ac:dyDescent="0.35">
      <c r="D382" s="1163" t="s">
        <v>1238</v>
      </c>
      <c r="E382" s="1163"/>
      <c r="F382" s="286" t="s">
        <v>1239</v>
      </c>
      <c r="G382" s="287" t="s">
        <v>1027</v>
      </c>
      <c r="H382" s="90">
        <v>0</v>
      </c>
      <c r="I382" s="90">
        <v>9.2461223999999991</v>
      </c>
      <c r="J382" s="513" t="s">
        <v>1057</v>
      </c>
    </row>
    <row r="383" spans="2:10" x14ac:dyDescent="0.35">
      <c r="D383" s="1163" t="s">
        <v>1084</v>
      </c>
      <c r="E383" s="1163"/>
      <c r="F383" s="286" t="s">
        <v>1168</v>
      </c>
      <c r="G383" s="287" t="s">
        <v>1027</v>
      </c>
      <c r="H383" s="90">
        <v>6.5212468865575</v>
      </c>
      <c r="I383" s="609">
        <v>21.80883</v>
      </c>
      <c r="J383" s="513" t="s">
        <v>1085</v>
      </c>
    </row>
    <row r="384" spans="2:10" x14ac:dyDescent="0.35">
      <c r="D384" s="1163" t="s">
        <v>1088</v>
      </c>
      <c r="E384" s="1163"/>
      <c r="F384" s="286" t="s">
        <v>549</v>
      </c>
      <c r="G384" s="287" t="s">
        <v>1027</v>
      </c>
      <c r="H384" s="90">
        <v>1.2962201999999998</v>
      </c>
      <c r="I384" s="609">
        <v>0.39602999999999999</v>
      </c>
      <c r="J384" s="513" t="s">
        <v>1089</v>
      </c>
    </row>
    <row r="385" spans="3:14" x14ac:dyDescent="0.35">
      <c r="D385" s="1163" t="s">
        <v>1090</v>
      </c>
      <c r="E385" s="1163"/>
      <c r="F385" s="286" t="s">
        <v>734</v>
      </c>
      <c r="G385" s="287" t="s">
        <v>1027</v>
      </c>
      <c r="H385" s="90">
        <v>0.2259632</v>
      </c>
      <c r="I385" s="609">
        <v>0.1466488</v>
      </c>
      <c r="J385" s="513" t="s">
        <v>1091</v>
      </c>
    </row>
    <row r="386" spans="3:14" x14ac:dyDescent="0.35">
      <c r="D386" s="117" t="s">
        <v>639</v>
      </c>
      <c r="E386" s="286"/>
      <c r="F386" s="117" t="s">
        <v>549</v>
      </c>
      <c r="G386" s="287" t="s">
        <v>1014</v>
      </c>
      <c r="H386" s="90">
        <v>1.05199</v>
      </c>
      <c r="I386" s="609">
        <v>23.824660000000002</v>
      </c>
      <c r="J386" s="513" t="s">
        <v>1016</v>
      </c>
    </row>
    <row r="387" spans="3:14" x14ac:dyDescent="0.35">
      <c r="D387" s="117" t="s">
        <v>1240</v>
      </c>
      <c r="E387" s="286"/>
      <c r="F387" s="117" t="s">
        <v>1168</v>
      </c>
      <c r="G387" s="287" t="s">
        <v>1027</v>
      </c>
      <c r="H387" s="90">
        <v>15.720518599999998</v>
      </c>
      <c r="I387" s="609">
        <v>7.9963457000000009</v>
      </c>
      <c r="J387" s="513" t="s">
        <v>1099</v>
      </c>
    </row>
    <row r="388" spans="3:14" x14ac:dyDescent="0.35">
      <c r="D388" s="117" t="s">
        <v>1104</v>
      </c>
      <c r="E388" s="286"/>
      <c r="F388" s="117" t="s">
        <v>1153</v>
      </c>
      <c r="G388" s="287" t="s">
        <v>1027</v>
      </c>
      <c r="H388" s="90">
        <v>13.9673224</v>
      </c>
      <c r="I388" s="609">
        <v>10.190541899999999</v>
      </c>
      <c r="J388" s="513" t="s">
        <v>1105</v>
      </c>
    </row>
    <row r="389" spans="3:14" x14ac:dyDescent="0.35">
      <c r="D389" s="117" t="s">
        <v>1113</v>
      </c>
      <c r="E389" s="286"/>
      <c r="F389" s="117" t="s">
        <v>1158</v>
      </c>
      <c r="G389" s="287" t="s">
        <v>1027</v>
      </c>
      <c r="H389" s="90">
        <v>8.1551223999999998</v>
      </c>
      <c r="I389" s="609">
        <v>1.7116153000000001</v>
      </c>
      <c r="J389" s="513" t="s">
        <v>1114</v>
      </c>
    </row>
    <row r="390" spans="3:14" x14ac:dyDescent="0.35">
      <c r="D390" s="117" t="s">
        <v>1119</v>
      </c>
      <c r="E390" s="286"/>
      <c r="F390" s="117" t="s">
        <v>1159</v>
      </c>
      <c r="G390" s="287" t="s">
        <v>1027</v>
      </c>
      <c r="H390" s="90">
        <v>1.5772610999999999</v>
      </c>
      <c r="I390" s="609">
        <v>0.33009080000000002</v>
      </c>
      <c r="J390" s="513" t="s">
        <v>1120</v>
      </c>
    </row>
    <row r="391" spans="3:14" x14ac:dyDescent="0.35">
      <c r="D391" s="117" t="s">
        <v>1125</v>
      </c>
      <c r="E391" s="286"/>
      <c r="F391" s="117" t="s">
        <v>736</v>
      </c>
      <c r="G391" s="287" t="s">
        <v>1027</v>
      </c>
      <c r="H391" s="90">
        <v>67.964784000000009</v>
      </c>
      <c r="I391" s="609">
        <v>248.71975200000003</v>
      </c>
      <c r="J391" s="513" t="s">
        <v>1126</v>
      </c>
    </row>
    <row r="392" spans="3:14" x14ac:dyDescent="0.35">
      <c r="D392" s="117" t="s">
        <v>1197</v>
      </c>
      <c r="E392" s="286"/>
      <c r="F392" s="117" t="s">
        <v>734</v>
      </c>
      <c r="G392" s="287" t="s">
        <v>1027</v>
      </c>
      <c r="H392" s="90">
        <v>355.69601851665897</v>
      </c>
      <c r="I392" s="609">
        <v>13.920807100000001</v>
      </c>
      <c r="J392" s="513" t="s">
        <v>1045</v>
      </c>
    </row>
    <row r="393" spans="3:14" x14ac:dyDescent="0.35">
      <c r="D393" s="117" t="s">
        <v>1241</v>
      </c>
      <c r="F393" s="117" t="s">
        <v>735</v>
      </c>
      <c r="G393" s="287" t="s">
        <v>1027</v>
      </c>
      <c r="H393" s="90">
        <v>1261.648920543344</v>
      </c>
      <c r="I393" s="609">
        <v>366.71365700000001</v>
      </c>
      <c r="J393" s="513" t="s">
        <v>1128</v>
      </c>
    </row>
    <row r="394" spans="3:14" x14ac:dyDescent="0.35">
      <c r="D394" s="117"/>
      <c r="F394" s="117"/>
      <c r="H394" s="90"/>
      <c r="I394" s="609"/>
      <c r="J394" s="513"/>
    </row>
    <row r="395" spans="3:14" ht="23" x14ac:dyDescent="0.35">
      <c r="C395" s="625" t="s">
        <v>1242</v>
      </c>
      <c r="D395" s="1169" t="s">
        <v>1152</v>
      </c>
      <c r="E395" s="1169"/>
      <c r="F395" s="291" t="s">
        <v>734</v>
      </c>
      <c r="G395" s="521" t="s">
        <v>1027</v>
      </c>
      <c r="H395" s="262" t="s">
        <v>174</v>
      </c>
      <c r="I395" s="629">
        <v>1774.7766521026099</v>
      </c>
      <c r="J395" s="419" t="s">
        <v>1101</v>
      </c>
      <c r="K395" s="595">
        <f>'5-7'!D39</f>
        <v>142.9072314</v>
      </c>
      <c r="L395" s="36">
        <f>K395-H396</f>
        <v>0</v>
      </c>
      <c r="M395" s="36"/>
      <c r="N395" s="36"/>
    </row>
    <row r="396" spans="3:14" x14ac:dyDescent="0.35">
      <c r="C396" s="110"/>
      <c r="D396" s="1163" t="s">
        <v>639</v>
      </c>
      <c r="E396" s="1163"/>
      <c r="F396" s="286" t="s">
        <v>549</v>
      </c>
      <c r="G396" s="287" t="s">
        <v>1014</v>
      </c>
      <c r="H396" s="90">
        <v>142.9072314</v>
      </c>
      <c r="I396" s="609">
        <v>126.62397</v>
      </c>
      <c r="J396" s="513" t="s">
        <v>1016</v>
      </c>
      <c r="N396" s="185"/>
    </row>
    <row r="397" spans="3:14" x14ac:dyDescent="0.35">
      <c r="C397" s="110"/>
      <c r="D397" s="286" t="s">
        <v>531</v>
      </c>
      <c r="E397" s="286"/>
      <c r="F397" s="286" t="s">
        <v>1150</v>
      </c>
      <c r="G397" s="287" t="s">
        <v>1149</v>
      </c>
      <c r="H397" s="90" t="s">
        <v>174</v>
      </c>
      <c r="I397" s="609">
        <v>29.970638978429999</v>
      </c>
      <c r="J397" s="513" t="s">
        <v>1026</v>
      </c>
      <c r="L397" s="36"/>
    </row>
    <row r="398" spans="3:14" x14ac:dyDescent="0.35">
      <c r="C398" s="110"/>
      <c r="D398" s="286" t="s">
        <v>1231</v>
      </c>
      <c r="E398" s="286"/>
      <c r="F398" s="286" t="s">
        <v>1148</v>
      </c>
      <c r="G398" s="287" t="s">
        <v>1149</v>
      </c>
      <c r="H398" s="90" t="s">
        <v>174</v>
      </c>
      <c r="I398" s="609">
        <v>40.742949117000002</v>
      </c>
      <c r="J398" s="287" t="s">
        <v>1024</v>
      </c>
      <c r="L398" s="36"/>
    </row>
    <row r="399" spans="3:14" x14ac:dyDescent="0.35">
      <c r="C399" s="1063"/>
      <c r="D399" s="733" t="s">
        <v>1197</v>
      </c>
      <c r="E399" s="647"/>
      <c r="F399" s="647" t="s">
        <v>734</v>
      </c>
      <c r="G399" s="527" t="s">
        <v>1027</v>
      </c>
      <c r="H399" s="261" t="s">
        <v>174</v>
      </c>
      <c r="I399" s="637">
        <v>6.2520659715799995</v>
      </c>
      <c r="J399" s="513" t="s">
        <v>1045</v>
      </c>
      <c r="M399" s="36"/>
    </row>
    <row r="400" spans="3:14" ht="23" x14ac:dyDescent="0.35">
      <c r="C400" s="625" t="s">
        <v>1243</v>
      </c>
      <c r="D400" s="291" t="s">
        <v>639</v>
      </c>
      <c r="E400" s="291"/>
      <c r="F400" s="291" t="s">
        <v>549</v>
      </c>
      <c r="G400" s="521" t="s">
        <v>1014</v>
      </c>
      <c r="H400" s="262">
        <v>35.825927015763206</v>
      </c>
      <c r="I400" s="629">
        <v>33.577196217864703</v>
      </c>
      <c r="J400" s="513" t="s">
        <v>1016</v>
      </c>
      <c r="K400" s="1072">
        <f>'14-16'!I52</f>
        <v>35.825927015763206</v>
      </c>
      <c r="L400" s="36">
        <f>H400-K400</f>
        <v>0</v>
      </c>
    </row>
    <row r="401" spans="1:13" x14ac:dyDescent="0.35">
      <c r="C401" s="511"/>
      <c r="D401" s="647"/>
      <c r="E401" s="647"/>
      <c r="F401" s="647"/>
      <c r="G401" s="527"/>
      <c r="H401" s="261"/>
      <c r="I401" s="637"/>
      <c r="J401" s="419"/>
      <c r="M401" s="36"/>
    </row>
    <row r="402" spans="1:13" x14ac:dyDescent="0.35">
      <c r="C402" s="625" t="s">
        <v>1244</v>
      </c>
      <c r="D402" s="291" t="s">
        <v>639</v>
      </c>
      <c r="E402" s="291"/>
      <c r="F402" s="291" t="s">
        <v>549</v>
      </c>
      <c r="G402" s="521" t="s">
        <v>1014</v>
      </c>
      <c r="H402" s="262">
        <v>6.0697323272799411</v>
      </c>
      <c r="I402" s="629">
        <v>8.4656821302775427</v>
      </c>
      <c r="J402" s="513" t="s">
        <v>1016</v>
      </c>
      <c r="K402" s="36">
        <f>'14-16'!I63</f>
        <v>6.0697323272799411</v>
      </c>
      <c r="L402" s="36">
        <f>K402-H402</f>
        <v>0</v>
      </c>
    </row>
    <row r="403" spans="1:13" x14ac:dyDescent="0.35">
      <c r="C403" s="511"/>
      <c r="D403" s="647"/>
      <c r="E403" s="647"/>
      <c r="F403" s="647"/>
      <c r="G403" s="527"/>
      <c r="H403" s="261"/>
      <c r="I403" s="637"/>
      <c r="J403" s="513"/>
      <c r="K403" s="36"/>
    </row>
    <row r="404" spans="1:13" x14ac:dyDescent="0.35">
      <c r="C404" s="308" t="s">
        <v>509</v>
      </c>
      <c r="D404" s="291" t="s">
        <v>639</v>
      </c>
      <c r="E404" s="286"/>
      <c r="F404" s="291" t="s">
        <v>549</v>
      </c>
      <c r="G404" s="521" t="s">
        <v>1014</v>
      </c>
      <c r="H404" s="90">
        <v>239.3501198813893</v>
      </c>
      <c r="I404" s="609">
        <v>375.09718146349661</v>
      </c>
      <c r="J404" s="513" t="s">
        <v>1016</v>
      </c>
      <c r="K404" s="589">
        <f>'5-7'!D16</f>
        <v>239</v>
      </c>
      <c r="L404" s="1072">
        <f>H404-K404</f>
        <v>0.35011988138930406</v>
      </c>
    </row>
    <row r="405" spans="1:13" x14ac:dyDescent="0.35">
      <c r="D405" s="286"/>
      <c r="E405" s="286"/>
      <c r="F405" s="286"/>
      <c r="H405" s="90"/>
      <c r="I405" s="609"/>
      <c r="J405" s="513"/>
      <c r="K405" s="36"/>
    </row>
    <row r="406" spans="1:13" ht="23" x14ac:dyDescent="0.35">
      <c r="C406" s="625" t="s">
        <v>1245</v>
      </c>
      <c r="D406" s="650" t="s">
        <v>1086</v>
      </c>
      <c r="E406" s="650"/>
      <c r="F406" s="650" t="s">
        <v>1153</v>
      </c>
      <c r="G406" s="650" t="s">
        <v>1246</v>
      </c>
      <c r="H406" s="604" t="s">
        <v>174</v>
      </c>
      <c r="I406" s="604">
        <v>2352.3710047999998</v>
      </c>
      <c r="J406" s="753" t="s">
        <v>1087</v>
      </c>
      <c r="K406" s="36"/>
    </row>
    <row r="407" spans="1:13" x14ac:dyDescent="0.35">
      <c r="C407" s="511"/>
      <c r="D407" s="527"/>
      <c r="E407" s="527"/>
      <c r="F407" s="527"/>
      <c r="G407" s="527"/>
      <c r="H407" s="638"/>
      <c r="I407" s="638"/>
    </row>
    <row r="408" spans="1:13" x14ac:dyDescent="0.35">
      <c r="D408" s="286"/>
      <c r="E408" s="286"/>
      <c r="F408" s="286"/>
      <c r="H408" s="90"/>
      <c r="I408" s="90"/>
      <c r="J408" s="419"/>
    </row>
    <row r="409" spans="1:13" s="19" customFormat="1" x14ac:dyDescent="0.25">
      <c r="A409" s="19" t="str">
        <f>A312&amp;".1"</f>
        <v>30.1</v>
      </c>
      <c r="B409" s="1177" t="str">
        <f>"Note "&amp;A409&amp;":"&amp;" Terms and condition with Related Party"</f>
        <v>Note 30.1: Terms and condition with Related Party</v>
      </c>
      <c r="C409" s="1177"/>
      <c r="D409" s="1177"/>
      <c r="E409" s="1177"/>
      <c r="F409" s="1177"/>
      <c r="G409" s="1177"/>
      <c r="H409" s="1177"/>
      <c r="I409" s="1177"/>
    </row>
    <row r="410" spans="1:13" s="19" customFormat="1" ht="60" customHeight="1" x14ac:dyDescent="0.25">
      <c r="B410" s="1121" t="s">
        <v>1247</v>
      </c>
      <c r="C410" s="1121"/>
      <c r="D410" s="1121"/>
      <c r="E410" s="1121"/>
      <c r="F410" s="1121"/>
      <c r="G410" s="1121"/>
      <c r="H410" s="1121"/>
      <c r="I410" s="1121"/>
    </row>
    <row r="411" spans="1:13" hidden="1" x14ac:dyDescent="0.35">
      <c r="B411" s="34" t="s">
        <v>1248</v>
      </c>
      <c r="C411" s="1171" t="s">
        <v>1249</v>
      </c>
      <c r="D411" s="1171"/>
      <c r="E411" s="1171"/>
      <c r="F411" s="1171"/>
      <c r="G411" s="1171"/>
      <c r="H411" s="639"/>
      <c r="I411" s="639"/>
    </row>
    <row r="412" spans="1:13" hidden="1" x14ac:dyDescent="0.35"/>
    <row r="413" spans="1:13" hidden="1" x14ac:dyDescent="0.35">
      <c r="C413" s="422" t="s">
        <v>1250</v>
      </c>
      <c r="D413" s="601"/>
      <c r="E413" s="623">
        <v>45016</v>
      </c>
      <c r="F413" s="623"/>
      <c r="G413" s="623"/>
      <c r="H413" s="640">
        <v>44651</v>
      </c>
      <c r="I413" s="640"/>
    </row>
    <row r="414" spans="1:13" s="54" customFormat="1" ht="34.5" hidden="1" x14ac:dyDescent="0.35">
      <c r="C414" s="422"/>
      <c r="D414" s="601"/>
      <c r="E414" s="602" t="s">
        <v>1251</v>
      </c>
      <c r="F414" s="602"/>
      <c r="G414" s="603" t="s">
        <v>1252</v>
      </c>
      <c r="H414" s="641" t="s">
        <v>1253</v>
      </c>
      <c r="I414" s="641" t="s">
        <v>1254</v>
      </c>
    </row>
    <row r="415" spans="1:13" hidden="1" x14ac:dyDescent="0.35">
      <c r="C415" s="308" t="s">
        <v>629</v>
      </c>
      <c r="E415" s="185">
        <v>0</v>
      </c>
      <c r="F415" s="185"/>
      <c r="G415" s="185">
        <v>0</v>
      </c>
      <c r="H415" s="90">
        <v>0</v>
      </c>
      <c r="I415" s="90">
        <v>0</v>
      </c>
    </row>
    <row r="416" spans="1:13" ht="23" hidden="1" x14ac:dyDescent="0.35">
      <c r="C416" s="308" t="s">
        <v>1255</v>
      </c>
      <c r="E416" s="185">
        <v>0</v>
      </c>
      <c r="F416" s="185"/>
      <c r="G416" s="185">
        <v>0</v>
      </c>
      <c r="H416" s="90">
        <v>0</v>
      </c>
      <c r="I416" s="90">
        <v>0</v>
      </c>
    </row>
    <row r="417" spans="2:9" hidden="1" x14ac:dyDescent="0.35">
      <c r="C417" s="308" t="s">
        <v>631</v>
      </c>
      <c r="E417" s="185">
        <v>0</v>
      </c>
      <c r="F417" s="185"/>
      <c r="G417" s="185">
        <v>0</v>
      </c>
      <c r="H417" s="90">
        <v>0</v>
      </c>
      <c r="I417" s="90">
        <v>0</v>
      </c>
    </row>
    <row r="418" spans="2:9" hidden="1" x14ac:dyDescent="0.35">
      <c r="E418" s="185"/>
      <c r="F418" s="185"/>
      <c r="G418" s="185"/>
      <c r="H418" s="90"/>
      <c r="I418" s="90"/>
    </row>
    <row r="419" spans="2:9" s="34" customFormat="1" ht="69" hidden="1" x14ac:dyDescent="0.35">
      <c r="C419" s="353" t="s">
        <v>1256</v>
      </c>
      <c r="D419" s="353"/>
      <c r="E419" s="35"/>
      <c r="F419" s="35"/>
      <c r="G419" s="35"/>
      <c r="H419" s="91"/>
      <c r="I419" s="91"/>
    </row>
    <row r="420" spans="2:9" ht="23" hidden="1" x14ac:dyDescent="0.35">
      <c r="C420" s="308" t="s">
        <v>627</v>
      </c>
      <c r="E420" s="185">
        <v>0</v>
      </c>
      <c r="F420" s="185"/>
      <c r="G420" s="185">
        <v>0</v>
      </c>
      <c r="H420" s="90">
        <v>0</v>
      </c>
      <c r="I420" s="90">
        <v>0</v>
      </c>
    </row>
    <row r="421" spans="2:9" hidden="1" x14ac:dyDescent="0.35">
      <c r="C421" s="308" t="s">
        <v>628</v>
      </c>
      <c r="E421" s="185">
        <v>0</v>
      </c>
      <c r="F421" s="185"/>
      <c r="G421" s="185">
        <v>0</v>
      </c>
      <c r="H421" s="90">
        <v>0</v>
      </c>
      <c r="I421" s="90">
        <v>0</v>
      </c>
    </row>
    <row r="422" spans="2:9" hidden="1" x14ac:dyDescent="0.35"/>
    <row r="423" spans="2:9" ht="115" hidden="1" x14ac:dyDescent="0.35">
      <c r="C423" s="308" t="s">
        <v>1257</v>
      </c>
      <c r="D423" s="308"/>
      <c r="E423" s="308"/>
      <c r="F423" s="308"/>
      <c r="G423" s="308"/>
      <c r="H423" s="636"/>
      <c r="I423" s="636"/>
    </row>
    <row r="424" spans="2:9" hidden="1" x14ac:dyDescent="0.35"/>
    <row r="425" spans="2:9" hidden="1" x14ac:dyDescent="0.35"/>
    <row r="427" spans="2:9" x14ac:dyDescent="0.35">
      <c r="B427" s="622"/>
      <c r="C427" s="622"/>
      <c r="D427" s="622"/>
      <c r="E427" s="622" t="s">
        <v>601</v>
      </c>
      <c r="F427" s="622"/>
      <c r="G427" s="622"/>
      <c r="H427" s="642"/>
      <c r="I427" s="642"/>
    </row>
  </sheetData>
  <mergeCells count="252">
    <mergeCell ref="C210:C211"/>
    <mergeCell ref="C216:C217"/>
    <mergeCell ref="C199:C202"/>
    <mergeCell ref="D200:E200"/>
    <mergeCell ref="D381:E381"/>
    <mergeCell ref="D382:E382"/>
    <mergeCell ref="D383:E383"/>
    <mergeCell ref="D370:E370"/>
    <mergeCell ref="D380:E380"/>
    <mergeCell ref="D368:E368"/>
    <mergeCell ref="D369:E369"/>
    <mergeCell ref="D329:E329"/>
    <mergeCell ref="D321:E321"/>
    <mergeCell ref="D322:E322"/>
    <mergeCell ref="D323:E323"/>
    <mergeCell ref="D324:E324"/>
    <mergeCell ref="D325:E325"/>
    <mergeCell ref="D353:E353"/>
    <mergeCell ref="D367:E367"/>
    <mergeCell ref="D360:E360"/>
    <mergeCell ref="D361:E361"/>
    <mergeCell ref="D362:E362"/>
    <mergeCell ref="D363:E363"/>
    <mergeCell ref="D273:E273"/>
    <mergeCell ref="D320:E320"/>
    <mergeCell ref="D303:E303"/>
    <mergeCell ref="D305:E305"/>
    <mergeCell ref="D326:E326"/>
    <mergeCell ref="D327:E327"/>
    <mergeCell ref="D328:E328"/>
    <mergeCell ref="D315:E315"/>
    <mergeCell ref="D316:E316"/>
    <mergeCell ref="D318:E318"/>
    <mergeCell ref="D319:E319"/>
    <mergeCell ref="D396:E396"/>
    <mergeCell ref="D354:E354"/>
    <mergeCell ref="D330:E330"/>
    <mergeCell ref="D355:E355"/>
    <mergeCell ref="D356:E356"/>
    <mergeCell ref="D358:E358"/>
    <mergeCell ref="D359:E359"/>
    <mergeCell ref="D351:E351"/>
    <mergeCell ref="D345:E345"/>
    <mergeCell ref="D346:E346"/>
    <mergeCell ref="D347:E347"/>
    <mergeCell ref="D348:E348"/>
    <mergeCell ref="D384:E384"/>
    <mergeCell ref="D385:E385"/>
    <mergeCell ref="D395:E395"/>
    <mergeCell ref="D366:E366"/>
    <mergeCell ref="D379:E379"/>
    <mergeCell ref="D265:E265"/>
    <mergeCell ref="D314:E314"/>
    <mergeCell ref="D266:E266"/>
    <mergeCell ref="D267:E267"/>
    <mergeCell ref="D300:E300"/>
    <mergeCell ref="D301:E301"/>
    <mergeCell ref="D298:E298"/>
    <mergeCell ref="D299:E299"/>
    <mergeCell ref="D260:E260"/>
    <mergeCell ref="D261:E261"/>
    <mergeCell ref="D262:E262"/>
    <mergeCell ref="D263:E263"/>
    <mergeCell ref="D264:E264"/>
    <mergeCell ref="D293:E293"/>
    <mergeCell ref="D294:E294"/>
    <mergeCell ref="D295:E295"/>
    <mergeCell ref="D297:E297"/>
    <mergeCell ref="D268:E268"/>
    <mergeCell ref="D269:E269"/>
    <mergeCell ref="D270:E270"/>
    <mergeCell ref="D271:E271"/>
    <mergeCell ref="D272:E272"/>
    <mergeCell ref="D274:E274"/>
    <mergeCell ref="D275:E275"/>
    <mergeCell ref="D255:E255"/>
    <mergeCell ref="D256:E256"/>
    <mergeCell ref="D257:E257"/>
    <mergeCell ref="D258:E258"/>
    <mergeCell ref="D259:E259"/>
    <mergeCell ref="D250:E250"/>
    <mergeCell ref="D251:E251"/>
    <mergeCell ref="D253:E253"/>
    <mergeCell ref="D254:E254"/>
    <mergeCell ref="D245:E245"/>
    <mergeCell ref="D246:E246"/>
    <mergeCell ref="D247:E247"/>
    <mergeCell ref="D248:E248"/>
    <mergeCell ref="D249:E249"/>
    <mergeCell ref="D241:E241"/>
    <mergeCell ref="D214:E214"/>
    <mergeCell ref="C235:G235"/>
    <mergeCell ref="C237:C239"/>
    <mergeCell ref="D242:E242"/>
    <mergeCell ref="D243:E243"/>
    <mergeCell ref="D244:E244"/>
    <mergeCell ref="D236:E236"/>
    <mergeCell ref="D237:E237"/>
    <mergeCell ref="D238:E238"/>
    <mergeCell ref="D239:E239"/>
    <mergeCell ref="D240:E240"/>
    <mergeCell ref="C219:C220"/>
    <mergeCell ref="D203:E203"/>
    <mergeCell ref="D204:E204"/>
    <mergeCell ref="D196:E196"/>
    <mergeCell ref="D198:E198"/>
    <mergeCell ref="D201:E201"/>
    <mergeCell ref="D211:E211"/>
    <mergeCell ref="D212:E212"/>
    <mergeCell ref="D213:E213"/>
    <mergeCell ref="D206:E206"/>
    <mergeCell ref="D207:E207"/>
    <mergeCell ref="D208:E208"/>
    <mergeCell ref="D209:E209"/>
    <mergeCell ref="D192:E192"/>
    <mergeCell ref="D193:E193"/>
    <mergeCell ref="D164:E164"/>
    <mergeCell ref="D165:E165"/>
    <mergeCell ref="D166:E166"/>
    <mergeCell ref="D167:E167"/>
    <mergeCell ref="D168:E168"/>
    <mergeCell ref="D133:E133"/>
    <mergeCell ref="D157:E157"/>
    <mergeCell ref="D158:E158"/>
    <mergeCell ref="D159:E159"/>
    <mergeCell ref="D156:E156"/>
    <mergeCell ref="D188:E188"/>
    <mergeCell ref="D189:E189"/>
    <mergeCell ref="D187:E187"/>
    <mergeCell ref="D186:E186"/>
    <mergeCell ref="D174:E174"/>
    <mergeCell ref="D169:E169"/>
    <mergeCell ref="D170:E170"/>
    <mergeCell ref="D171:E171"/>
    <mergeCell ref="D172:E172"/>
    <mergeCell ref="D173:E173"/>
    <mergeCell ref="D125:E125"/>
    <mergeCell ref="D126:E126"/>
    <mergeCell ref="D127:E127"/>
    <mergeCell ref="D128:E128"/>
    <mergeCell ref="D132:E132"/>
    <mergeCell ref="D120:E120"/>
    <mergeCell ref="D121:E121"/>
    <mergeCell ref="D122:E122"/>
    <mergeCell ref="D123:E123"/>
    <mergeCell ref="D124:E124"/>
    <mergeCell ref="D115:E115"/>
    <mergeCell ref="D116:E116"/>
    <mergeCell ref="D117:E117"/>
    <mergeCell ref="D118:E118"/>
    <mergeCell ref="D119:E119"/>
    <mergeCell ref="D108:E108"/>
    <mergeCell ref="D109:E109"/>
    <mergeCell ref="D111:E111"/>
    <mergeCell ref="D112:E112"/>
    <mergeCell ref="D114:E114"/>
    <mergeCell ref="F77:I77"/>
    <mergeCell ref="F78:I78"/>
    <mergeCell ref="F79:I79"/>
    <mergeCell ref="F80:I80"/>
    <mergeCell ref="D103:E103"/>
    <mergeCell ref="D104:E104"/>
    <mergeCell ref="D105:E105"/>
    <mergeCell ref="D106:E106"/>
    <mergeCell ref="D107:E107"/>
    <mergeCell ref="D97:E97"/>
    <mergeCell ref="D98:E98"/>
    <mergeCell ref="D99:E99"/>
    <mergeCell ref="D101:E101"/>
    <mergeCell ref="D102:E102"/>
    <mergeCell ref="C411:G411"/>
    <mergeCell ref="B6:I8"/>
    <mergeCell ref="C193:C194"/>
    <mergeCell ref="D304:E304"/>
    <mergeCell ref="C81:I82"/>
    <mergeCell ref="C77:E78"/>
    <mergeCell ref="C74:E74"/>
    <mergeCell ref="C17:E17"/>
    <mergeCell ref="C157:C158"/>
    <mergeCell ref="C14:D14"/>
    <mergeCell ref="C13:D13"/>
    <mergeCell ref="B409:I409"/>
    <mergeCell ref="B410:I410"/>
    <mergeCell ref="F49:I49"/>
    <mergeCell ref="F50:I50"/>
    <mergeCell ref="F51:I51"/>
    <mergeCell ref="F52:I52"/>
    <mergeCell ref="F53:I53"/>
    <mergeCell ref="F54:I54"/>
    <mergeCell ref="F55:I55"/>
    <mergeCell ref="F56:I56"/>
    <mergeCell ref="F57:I57"/>
    <mergeCell ref="F58:I58"/>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35:I35"/>
    <mergeCell ref="F36:I36"/>
    <mergeCell ref="F37:I37"/>
    <mergeCell ref="F38:I38"/>
    <mergeCell ref="F39:I39"/>
    <mergeCell ref="F66:I66"/>
    <mergeCell ref="F59:I59"/>
    <mergeCell ref="F60:I60"/>
    <mergeCell ref="F61:I61"/>
    <mergeCell ref="F62:I62"/>
    <mergeCell ref="F63:I63"/>
    <mergeCell ref="F64:I64"/>
    <mergeCell ref="F65:I65"/>
    <mergeCell ref="D296:E296"/>
    <mergeCell ref="F72:I72"/>
    <mergeCell ref="F40:I40"/>
    <mergeCell ref="F41:I41"/>
    <mergeCell ref="F42:I42"/>
    <mergeCell ref="F43:I43"/>
    <mergeCell ref="F44:I44"/>
    <mergeCell ref="F45:I45"/>
    <mergeCell ref="F46:I46"/>
    <mergeCell ref="F47:I47"/>
    <mergeCell ref="F48:I48"/>
    <mergeCell ref="F67:I67"/>
    <mergeCell ref="F68:I68"/>
    <mergeCell ref="F69:I69"/>
    <mergeCell ref="F70:I70"/>
    <mergeCell ref="F71:I71"/>
    <mergeCell ref="D93:E93"/>
    <mergeCell ref="D94:E94"/>
    <mergeCell ref="D95:E95"/>
    <mergeCell ref="D96:E96"/>
    <mergeCell ref="F73:I73"/>
    <mergeCell ref="F74:I74"/>
    <mergeCell ref="F75:I75"/>
    <mergeCell ref="F76:I76"/>
  </mergeCells>
  <conditionalFormatting sqref="J93:J147">
    <cfRule type="duplicateValues" dxfId="55" priority="2"/>
    <cfRule type="duplicateValues" dxfId="54" priority="468"/>
  </conditionalFormatting>
  <conditionalFormatting sqref="J93:J148">
    <cfRule type="duplicateValues" dxfId="53" priority="462"/>
  </conditionalFormatting>
  <conditionalFormatting sqref="J157:J177">
    <cfRule type="duplicateValues" dxfId="52" priority="490"/>
  </conditionalFormatting>
  <conditionalFormatting sqref="J157:J184">
    <cfRule type="duplicateValues" dxfId="51" priority="1"/>
  </conditionalFormatting>
  <conditionalFormatting sqref="J157:J185">
    <cfRule type="duplicateValues" dxfId="50" priority="492"/>
  </conditionalFormatting>
  <pageMargins left="0.23622047244094491" right="0.23622047244094491" top="0.74803149606299213" bottom="0.74803149606299213" header="0.31496062992125984" footer="0.31496062992125984"/>
  <pageSetup paperSize="9" scale="72" orientation="portrait" r:id="rId1"/>
  <rowBreaks count="5" manualBreakCount="5">
    <brk id="82" min="1" max="8" man="1"/>
    <brk id="148" min="1" max="8" man="1"/>
    <brk id="226" min="1" max="8" man="1"/>
    <brk id="307" min="1" max="8" man="1"/>
    <brk id="372" min="1" max="8"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25AF5-2AB2-4112-9195-19318371A5E5}">
  <sheetPr>
    <tabColor rgb="FF7030A0"/>
  </sheetPr>
  <dimension ref="A1:P89"/>
  <sheetViews>
    <sheetView showGridLines="0" view="pageBreakPreview" zoomScale="90" zoomScaleNormal="100" zoomScaleSheetLayoutView="90" workbookViewId="0">
      <selection activeCell="F39" sqref="F39"/>
    </sheetView>
  </sheetViews>
  <sheetFormatPr defaultColWidth="9.1796875" defaultRowHeight="11.5" x14ac:dyDescent="0.25"/>
  <cols>
    <col min="1" max="1" width="2.81640625" style="446" customWidth="1"/>
    <col min="2" max="2" width="3.453125" style="444" customWidth="1"/>
    <col min="3" max="3" width="3.1796875" style="444" customWidth="1"/>
    <col min="4" max="4" width="24.1796875" style="444" customWidth="1"/>
    <col min="5" max="5" width="11" style="444" customWidth="1"/>
    <col min="6" max="6" width="12.453125" style="444" customWidth="1"/>
    <col min="7" max="10" width="16.54296875" style="444" customWidth="1"/>
    <col min="11" max="16384" width="9.1796875" style="446"/>
  </cols>
  <sheetData>
    <row r="1" spans="1:10" x14ac:dyDescent="0.25">
      <c r="A1" s="986"/>
      <c r="B1" s="285" t="str">
        <f>'Leases 29'!B1</f>
        <v>Paladion Networks Private Limited</v>
      </c>
      <c r="C1" s="979"/>
      <c r="D1" s="979"/>
      <c r="E1" s="979"/>
      <c r="F1" s="979"/>
      <c r="G1" s="979"/>
      <c r="H1" s="979"/>
      <c r="I1" s="979"/>
      <c r="J1" s="979"/>
    </row>
    <row r="2" spans="1:10" x14ac:dyDescent="0.25">
      <c r="A2" s="986"/>
      <c r="B2" s="285" t="str">
        <f>'Leases 29'!B2</f>
        <v>Summary of Material accounting policies and other explanatory information</v>
      </c>
      <c r="C2" s="979"/>
      <c r="D2" s="979"/>
      <c r="E2" s="979"/>
      <c r="F2" s="979"/>
      <c r="G2" s="979"/>
      <c r="H2" s="979"/>
      <c r="I2" s="979"/>
      <c r="J2" s="979"/>
    </row>
    <row r="3" spans="1:10" ht="12" x14ac:dyDescent="0.25">
      <c r="A3" s="986"/>
      <c r="B3" s="383" t="str">
        <f>'Leases 29'!B3</f>
        <v>(Amounts are stated in ₹ lakhs, except share and per share data, unless ottherwise stated)</v>
      </c>
      <c r="C3" s="979"/>
      <c r="D3" s="979"/>
      <c r="E3" s="979"/>
      <c r="F3" s="979"/>
      <c r="G3" s="979"/>
      <c r="H3" s="979"/>
      <c r="I3" s="979"/>
      <c r="J3" s="979"/>
    </row>
    <row r="4" spans="1:10" x14ac:dyDescent="0.25">
      <c r="A4" s="986"/>
      <c r="B4" s="113"/>
      <c r="C4" s="979"/>
      <c r="D4" s="979"/>
      <c r="E4" s="979"/>
      <c r="F4" s="979"/>
      <c r="G4" s="979"/>
      <c r="H4" s="979"/>
      <c r="I4" s="979"/>
      <c r="J4" s="979"/>
    </row>
    <row r="5" spans="1:10" x14ac:dyDescent="0.25">
      <c r="A5" s="986">
        <f>'30 RPT'!A5+1</f>
        <v>31</v>
      </c>
      <c r="B5" s="384" t="str">
        <f>"Note "&amp;A5&amp;": Financial instruments : Classifications and Fair value measurements"</f>
        <v>Note 31: Financial instruments : Classifications and Fair value measurements</v>
      </c>
      <c r="C5" s="979"/>
      <c r="D5" s="979"/>
      <c r="E5" s="979"/>
      <c r="F5" s="979"/>
      <c r="G5" s="979"/>
      <c r="H5" s="979"/>
      <c r="I5" s="979"/>
      <c r="J5" s="979"/>
    </row>
    <row r="6" spans="1:10" hidden="1" x14ac:dyDescent="0.25">
      <c r="A6" s="986"/>
      <c r="B6" s="113"/>
      <c r="C6" s="979"/>
      <c r="D6" s="979"/>
      <c r="E6" s="979"/>
      <c r="F6" s="979"/>
      <c r="G6" s="979"/>
      <c r="H6" s="979"/>
      <c r="I6" s="979"/>
      <c r="J6" s="979"/>
    </row>
    <row r="7" spans="1:10" x14ac:dyDescent="0.25">
      <c r="A7" s="986"/>
      <c r="B7" s="979"/>
      <c r="C7" s="385" t="s">
        <v>354</v>
      </c>
      <c r="D7" s="253" t="s">
        <v>1258</v>
      </c>
      <c r="E7" s="253"/>
      <c r="F7" s="979"/>
      <c r="G7" s="979"/>
      <c r="H7" s="979"/>
      <c r="I7" s="979"/>
      <c r="J7" s="979"/>
    </row>
    <row r="8" spans="1:10" hidden="1" x14ac:dyDescent="0.25">
      <c r="A8" s="986" t="s">
        <v>188</v>
      </c>
      <c r="B8" s="979"/>
      <c r="C8" s="979"/>
      <c r="D8" s="253"/>
      <c r="E8" s="253"/>
      <c r="F8" s="979"/>
      <c r="G8" s="979"/>
      <c r="H8" s="979"/>
      <c r="I8" s="979"/>
      <c r="J8" s="979"/>
    </row>
    <row r="9" spans="1:10" ht="11.9" customHeight="1" x14ac:dyDescent="0.25">
      <c r="A9" s="986"/>
      <c r="B9" s="979"/>
      <c r="C9" s="979"/>
      <c r="D9" s="979"/>
      <c r="E9" s="533"/>
      <c r="F9" s="533"/>
      <c r="G9" s="533"/>
      <c r="H9" s="533"/>
      <c r="I9" s="533"/>
      <c r="J9" s="533"/>
    </row>
    <row r="10" spans="1:10" x14ac:dyDescent="0.25">
      <c r="A10" s="986"/>
      <c r="B10" s="979"/>
      <c r="C10" s="385" t="s">
        <v>908</v>
      </c>
      <c r="D10" s="1192" t="s">
        <v>1259</v>
      </c>
      <c r="E10" s="1192"/>
      <c r="F10" s="1192"/>
      <c r="G10" s="1191" t="s">
        <v>1260</v>
      </c>
      <c r="H10" s="1191"/>
      <c r="I10" s="1190" t="s">
        <v>1261</v>
      </c>
      <c r="J10" s="1190"/>
    </row>
    <row r="11" spans="1:10" ht="23" x14ac:dyDescent="0.25">
      <c r="A11" s="986"/>
      <c r="B11" s="979"/>
      <c r="C11" s="979"/>
      <c r="D11" s="979"/>
      <c r="E11" s="979"/>
      <c r="F11" s="387"/>
      <c r="G11" s="769" t="s">
        <v>7</v>
      </c>
      <c r="H11" s="769" t="s">
        <v>8</v>
      </c>
      <c r="I11" s="769" t="s">
        <v>7</v>
      </c>
      <c r="J11" s="769" t="s">
        <v>8</v>
      </c>
    </row>
    <row r="12" spans="1:10" x14ac:dyDescent="0.25">
      <c r="A12" s="986"/>
      <c r="B12" s="979"/>
      <c r="C12" s="979"/>
      <c r="D12" s="253"/>
      <c r="E12" s="253"/>
      <c r="F12" s="979"/>
      <c r="G12" s="979"/>
      <c r="H12" s="979"/>
      <c r="I12" s="979"/>
      <c r="J12" s="979"/>
    </row>
    <row r="13" spans="1:10" x14ac:dyDescent="0.25">
      <c r="A13" s="986"/>
      <c r="B13" s="979"/>
      <c r="C13" s="979"/>
      <c r="D13" s="979" t="s">
        <v>1262</v>
      </c>
      <c r="E13" s="979"/>
      <c r="F13" s="979"/>
      <c r="G13" s="979">
        <f>'5-7'!D65</f>
        <v>0</v>
      </c>
      <c r="H13" s="979">
        <f>'5-7'!E65</f>
        <v>0</v>
      </c>
      <c r="I13" s="979">
        <f>G13</f>
        <v>0</v>
      </c>
      <c r="J13" s="979">
        <f>H13</f>
        <v>0</v>
      </c>
    </row>
    <row r="15" spans="1:10" ht="12" thickBot="1" x14ac:dyDescent="0.3">
      <c r="A15" s="986"/>
      <c r="B15" s="979"/>
      <c r="C15" s="979"/>
      <c r="D15" s="253" t="s">
        <v>100</v>
      </c>
      <c r="E15" s="253"/>
      <c r="F15" s="253"/>
      <c r="G15" s="506">
        <f>SUM(G13:G14)</f>
        <v>0</v>
      </c>
      <c r="H15" s="506">
        <f>SUM(H13:H14)</f>
        <v>0</v>
      </c>
      <c r="I15" s="506">
        <f>SUM(I13:I14)</f>
        <v>0</v>
      </c>
      <c r="J15" s="506">
        <f>SUM(J13:J14)</f>
        <v>0</v>
      </c>
    </row>
    <row r="16" spans="1:10" ht="12" thickTop="1" x14ac:dyDescent="0.25">
      <c r="A16" s="986"/>
      <c r="B16" s="979"/>
      <c r="C16" s="979"/>
      <c r="D16" s="253"/>
      <c r="E16" s="253"/>
      <c r="F16" s="979"/>
      <c r="G16" s="979"/>
      <c r="H16" s="979"/>
      <c r="I16" s="979"/>
      <c r="J16" s="979"/>
    </row>
    <row r="17" spans="3:16" hidden="1" x14ac:dyDescent="0.25">
      <c r="C17" s="979"/>
      <c r="D17" s="253"/>
      <c r="E17" s="253"/>
      <c r="F17" s="253"/>
      <c r="G17" s="253"/>
      <c r="H17" s="253"/>
      <c r="I17" s="253"/>
      <c r="J17" s="253"/>
      <c r="K17" s="986"/>
      <c r="L17" s="986"/>
      <c r="M17" s="986"/>
      <c r="N17" s="986"/>
      <c r="O17" s="986"/>
      <c r="P17" s="986"/>
    </row>
    <row r="18" spans="3:16" ht="15" customHeight="1" x14ac:dyDescent="0.25">
      <c r="C18" s="385" t="s">
        <v>613</v>
      </c>
      <c r="D18" s="248" t="s">
        <v>1263</v>
      </c>
      <c r="E18" s="386"/>
      <c r="F18" s="253"/>
      <c r="G18" s="1190" t="s">
        <v>1260</v>
      </c>
      <c r="H18" s="1190"/>
      <c r="I18" s="1190" t="s">
        <v>1261</v>
      </c>
      <c r="J18" s="1190"/>
      <c r="K18" s="986"/>
      <c r="L18" s="986"/>
      <c r="M18" s="986"/>
      <c r="N18" s="986"/>
      <c r="O18" s="986"/>
      <c r="P18" s="986"/>
    </row>
    <row r="19" spans="3:16" ht="23" x14ac:dyDescent="0.25">
      <c r="C19" s="979"/>
      <c r="D19" s="979"/>
      <c r="E19" s="979"/>
      <c r="F19" s="387"/>
      <c r="G19" s="769" t="str">
        <f>G11</f>
        <v>As at 
31 March 2025</v>
      </c>
      <c r="H19" s="769" t="str">
        <f>H11</f>
        <v>As at 
31 March 2024</v>
      </c>
      <c r="I19" s="769" t="str">
        <f>I11</f>
        <v>As at 
31 March 2025</v>
      </c>
      <c r="J19" s="769" t="str">
        <f>J11</f>
        <v>As at 
31 March 2024</v>
      </c>
      <c r="K19" s="986"/>
      <c r="L19" s="986"/>
      <c r="M19" s="986"/>
      <c r="N19" s="986"/>
      <c r="O19" s="986"/>
      <c r="P19" s="986"/>
    </row>
    <row r="20" spans="3:16" hidden="1" x14ac:dyDescent="0.25">
      <c r="C20" s="979"/>
      <c r="D20" s="253"/>
      <c r="E20" s="253"/>
      <c r="F20" s="979"/>
      <c r="G20" s="979"/>
      <c r="H20" s="253"/>
      <c r="I20" s="253"/>
      <c r="J20" s="979"/>
      <c r="K20" s="986"/>
      <c r="L20" s="986"/>
      <c r="M20" s="986"/>
      <c r="N20" s="986"/>
      <c r="O20" s="986"/>
      <c r="P20" s="986"/>
    </row>
    <row r="21" spans="3:16" x14ac:dyDescent="0.25">
      <c r="C21" s="979"/>
      <c r="D21" s="253" t="s">
        <v>1264</v>
      </c>
      <c r="E21" s="253"/>
      <c r="F21" s="979"/>
      <c r="G21" s="979"/>
      <c r="H21" s="253"/>
      <c r="I21" s="253"/>
      <c r="J21" s="979"/>
      <c r="K21" s="986"/>
      <c r="L21" s="986"/>
      <c r="M21" s="986"/>
      <c r="N21" s="986"/>
      <c r="O21" s="986"/>
      <c r="P21" s="986"/>
    </row>
    <row r="22" spans="3:16" x14ac:dyDescent="0.25">
      <c r="C22" s="979"/>
      <c r="D22" s="979" t="s">
        <v>17</v>
      </c>
      <c r="E22" s="979"/>
      <c r="F22" s="979"/>
      <c r="G22" s="979">
        <f>BS!E16</f>
        <v>443.52744414685117</v>
      </c>
      <c r="H22" s="979">
        <v>773</v>
      </c>
      <c r="I22" s="979">
        <f>G22</f>
        <v>443.52744414685117</v>
      </c>
      <c r="J22" s="979">
        <f>H22</f>
        <v>773</v>
      </c>
      <c r="K22" s="986"/>
      <c r="L22" s="986"/>
      <c r="M22" s="986"/>
      <c r="N22" s="986"/>
      <c r="O22" s="986"/>
      <c r="P22" s="986"/>
    </row>
    <row r="23" spans="3:16" x14ac:dyDescent="0.25">
      <c r="C23" s="979"/>
      <c r="D23" s="253" t="s">
        <v>1265</v>
      </c>
      <c r="E23" s="253"/>
      <c r="F23" s="979"/>
      <c r="G23" s="979"/>
      <c r="H23" s="979"/>
      <c r="I23" s="979"/>
      <c r="J23" s="979"/>
      <c r="K23" s="986"/>
      <c r="L23" s="986"/>
      <c r="M23" s="986"/>
      <c r="N23" s="986"/>
      <c r="O23" s="986"/>
      <c r="P23" s="986"/>
    </row>
    <row r="24" spans="3:16" x14ac:dyDescent="0.25">
      <c r="C24" s="979"/>
      <c r="D24" s="979" t="s">
        <v>1266</v>
      </c>
      <c r="E24" s="979"/>
      <c r="F24" s="979"/>
      <c r="G24" s="979">
        <f>BS!E24</f>
        <v>9350.3619247300776</v>
      </c>
      <c r="H24" s="979">
        <v>11738.929787266687</v>
      </c>
      <c r="I24" s="979">
        <f t="shared" ref="I24:I27" si="0">G24</f>
        <v>9350.3619247300776</v>
      </c>
      <c r="J24" s="979">
        <f>H24</f>
        <v>11738.929787266687</v>
      </c>
      <c r="K24" s="986"/>
      <c r="L24" s="986"/>
      <c r="M24" s="986"/>
      <c r="N24" s="986"/>
      <c r="O24" s="986"/>
      <c r="P24" s="986"/>
    </row>
    <row r="25" spans="3:16" x14ac:dyDescent="0.25">
      <c r="C25" s="979"/>
      <c r="D25" s="979" t="s">
        <v>24</v>
      </c>
      <c r="E25" s="979"/>
      <c r="F25" s="979"/>
      <c r="G25" s="979">
        <f>BS!E25</f>
        <v>5497.6527884155275</v>
      </c>
      <c r="H25" s="979">
        <v>3886.7735793040001</v>
      </c>
      <c r="I25" s="979">
        <f t="shared" si="0"/>
        <v>5497.6527884155275</v>
      </c>
      <c r="J25" s="979">
        <f>H25</f>
        <v>3886.7735793040001</v>
      </c>
      <c r="K25" s="986"/>
      <c r="L25" s="986"/>
      <c r="M25" s="986"/>
      <c r="N25" s="986"/>
      <c r="O25" s="986"/>
      <c r="P25" s="986"/>
    </row>
    <row r="26" spans="3:16" x14ac:dyDescent="0.25">
      <c r="C26" s="979"/>
      <c r="D26" s="979" t="s">
        <v>599</v>
      </c>
      <c r="E26" s="979"/>
      <c r="F26" s="979"/>
      <c r="G26" s="979">
        <f>BS!E26</f>
        <v>2.4020559999999964</v>
      </c>
      <c r="H26" s="979">
        <v>2247.8617684000001</v>
      </c>
      <c r="I26" s="979">
        <f t="shared" si="0"/>
        <v>2.4020559999999964</v>
      </c>
      <c r="J26" s="979">
        <f>H26</f>
        <v>2247.8617684000001</v>
      </c>
      <c r="K26" s="986"/>
      <c r="L26" s="986"/>
      <c r="M26" s="986"/>
      <c r="N26" s="986"/>
      <c r="O26" s="986"/>
      <c r="P26" s="986"/>
    </row>
    <row r="27" spans="3:16" x14ac:dyDescent="0.25">
      <c r="C27" s="979"/>
      <c r="D27" s="979" t="s">
        <v>17</v>
      </c>
      <c r="E27" s="979"/>
      <c r="F27" s="979"/>
      <c r="G27" s="979">
        <f>BS!E27</f>
        <v>204.39540894177503</v>
      </c>
      <c r="H27" s="979">
        <v>129</v>
      </c>
      <c r="I27" s="979">
        <f t="shared" si="0"/>
        <v>204.39540894177503</v>
      </c>
      <c r="J27" s="979">
        <f>H27</f>
        <v>129</v>
      </c>
      <c r="K27" s="986"/>
      <c r="L27" s="986"/>
      <c r="M27" s="986"/>
      <c r="N27" s="986"/>
      <c r="O27" s="986"/>
      <c r="P27" s="986"/>
    </row>
    <row r="28" spans="3:16" ht="12" thickBot="1" x14ac:dyDescent="0.3">
      <c r="C28" s="979"/>
      <c r="D28" s="253" t="s">
        <v>1267</v>
      </c>
      <c r="E28" s="253"/>
      <c r="F28" s="253"/>
      <c r="G28" s="506">
        <f>SUM(G21:G27)</f>
        <v>15498.339622234233</v>
      </c>
      <c r="H28" s="506">
        <f>SUM(H21:H27)</f>
        <v>18775.56513497069</v>
      </c>
      <c r="I28" s="506">
        <f>SUM(I21:I27)</f>
        <v>15498.339622234233</v>
      </c>
      <c r="J28" s="506">
        <f>SUM(J21:J27)</f>
        <v>18775.56513497069</v>
      </c>
      <c r="K28" s="986"/>
      <c r="L28" s="986"/>
      <c r="M28" s="986"/>
      <c r="N28" s="986"/>
      <c r="O28" s="986"/>
      <c r="P28" s="986"/>
    </row>
    <row r="29" spans="3:16" ht="7.4" customHeight="1" thickTop="1" x14ac:dyDescent="0.25">
      <c r="C29" s="979"/>
      <c r="D29" s="979"/>
      <c r="E29" s="979"/>
      <c r="F29" s="979"/>
      <c r="G29" s="979"/>
      <c r="H29" s="253"/>
      <c r="I29" s="253"/>
      <c r="J29" s="979"/>
      <c r="K29" s="986"/>
      <c r="L29" s="986"/>
      <c r="M29" s="986"/>
      <c r="N29" s="986"/>
      <c r="O29" s="986"/>
      <c r="P29" s="986"/>
    </row>
    <row r="30" spans="3:16" x14ac:dyDescent="0.25">
      <c r="C30" s="979"/>
      <c r="D30" s="253" t="s">
        <v>1268</v>
      </c>
      <c r="E30" s="253"/>
      <c r="F30" s="979"/>
      <c r="G30" s="979"/>
      <c r="H30" s="253"/>
      <c r="I30" s="253"/>
      <c r="J30" s="979"/>
      <c r="K30" s="986"/>
      <c r="L30" s="986"/>
      <c r="M30" s="986"/>
      <c r="N30" s="986"/>
      <c r="O30" s="986"/>
      <c r="P30" s="986"/>
    </row>
    <row r="31" spans="3:16" x14ac:dyDescent="0.25">
      <c r="C31" s="979"/>
      <c r="D31" s="979" t="s">
        <v>39</v>
      </c>
      <c r="E31" s="979"/>
      <c r="F31" s="979"/>
      <c r="G31" s="979">
        <f>BS!E46</f>
        <v>691.50412059067753</v>
      </c>
      <c r="H31" s="979">
        <f>BS!F46</f>
        <v>690.21247327302785</v>
      </c>
      <c r="I31" s="979">
        <f>G31</f>
        <v>691.50412059067753</v>
      </c>
      <c r="J31" s="979">
        <f>H31</f>
        <v>690.21247327302785</v>
      </c>
      <c r="K31" s="986"/>
      <c r="L31" s="986"/>
      <c r="M31" s="986"/>
      <c r="N31" s="986"/>
      <c r="O31" s="986"/>
      <c r="P31" s="986"/>
    </row>
    <row r="32" spans="3:16" x14ac:dyDescent="0.25">
      <c r="C32" s="979"/>
      <c r="D32" s="253" t="s">
        <v>1269</v>
      </c>
      <c r="E32" s="253"/>
      <c r="F32" s="979"/>
      <c r="G32" s="979"/>
      <c r="H32" s="979"/>
      <c r="I32" s="979"/>
      <c r="J32" s="979"/>
      <c r="K32" s="986"/>
      <c r="L32" s="986"/>
      <c r="M32" s="986"/>
      <c r="N32" s="986"/>
      <c r="O32" s="986"/>
      <c r="P32" s="986"/>
    </row>
    <row r="33" spans="2:10" x14ac:dyDescent="0.25">
      <c r="B33" s="979"/>
      <c r="C33" s="979"/>
      <c r="D33" s="979" t="s">
        <v>39</v>
      </c>
      <c r="E33" s="979"/>
      <c r="F33" s="979"/>
      <c r="G33" s="979">
        <f>BS!E52</f>
        <v>326.74237397969301</v>
      </c>
      <c r="H33" s="979">
        <f>BS!F52</f>
        <v>314.57407598330502</v>
      </c>
      <c r="I33" s="979">
        <f t="shared" ref="I33:I35" si="1">G33</f>
        <v>326.74237397969301</v>
      </c>
      <c r="J33" s="979">
        <f t="shared" ref="J33:J35" si="2">H33</f>
        <v>314.57407598330502</v>
      </c>
    </row>
    <row r="34" spans="2:10" x14ac:dyDescent="0.25">
      <c r="B34" s="979"/>
      <c r="C34" s="979"/>
      <c r="D34" s="979" t="s">
        <v>43</v>
      </c>
      <c r="E34" s="979"/>
      <c r="F34" s="979"/>
      <c r="G34" s="979">
        <f>BS!E54+BS!E55</f>
        <v>5145.4796539380141</v>
      </c>
      <c r="H34" s="979">
        <f>BS!F54+BS!F55</f>
        <v>8391.2827535761007</v>
      </c>
      <c r="I34" s="979">
        <f t="shared" si="1"/>
        <v>5145.4796539380141</v>
      </c>
      <c r="J34" s="979">
        <f t="shared" si="2"/>
        <v>8391.2827535761007</v>
      </c>
    </row>
    <row r="35" spans="2:10" x14ac:dyDescent="0.25">
      <c r="B35" s="979"/>
      <c r="C35" s="979"/>
      <c r="D35" s="979" t="s">
        <v>1270</v>
      </c>
      <c r="E35" s="979"/>
      <c r="F35" s="979"/>
      <c r="G35" s="979">
        <f>BS!E56</f>
        <v>4189.1737269748082</v>
      </c>
      <c r="H35" s="979">
        <f>BS!F56</f>
        <v>5272.3364514716541</v>
      </c>
      <c r="I35" s="979">
        <f t="shared" si="1"/>
        <v>4189.1737269748082</v>
      </c>
      <c r="J35" s="979">
        <f t="shared" si="2"/>
        <v>5272.3364514716541</v>
      </c>
    </row>
    <row r="36" spans="2:10" ht="12" thickBot="1" x14ac:dyDescent="0.3">
      <c r="B36" s="979"/>
      <c r="C36" s="979"/>
      <c r="D36" s="253" t="s">
        <v>1271</v>
      </c>
      <c r="E36" s="253"/>
      <c r="F36" s="253"/>
      <c r="G36" s="506">
        <f>SUM(G31:G35)</f>
        <v>10352.899875483192</v>
      </c>
      <c r="H36" s="506">
        <f>SUM(H31:H35)</f>
        <v>14668.405754304087</v>
      </c>
      <c r="I36" s="506">
        <f>SUM(I31:I35)</f>
        <v>10352.899875483192</v>
      </c>
      <c r="J36" s="506">
        <f>SUM(J31:J35)</f>
        <v>14668.405754304087</v>
      </c>
    </row>
    <row r="37" spans="2:10" ht="7.4" customHeight="1" thickTop="1" x14ac:dyDescent="0.25">
      <c r="B37" s="979"/>
      <c r="C37" s="979"/>
      <c r="D37" s="979"/>
      <c r="E37" s="979"/>
      <c r="F37" s="979"/>
      <c r="G37" s="979"/>
      <c r="H37" s="253"/>
      <c r="I37" s="253"/>
      <c r="J37" s="1040"/>
    </row>
    <row r="38" spans="2:10" x14ac:dyDescent="0.25">
      <c r="B38" s="979"/>
      <c r="C38" s="979"/>
      <c r="D38" s="253" t="s">
        <v>6</v>
      </c>
      <c r="E38" s="253"/>
      <c r="F38" s="979"/>
      <c r="G38" s="979"/>
      <c r="H38" s="979"/>
      <c r="I38" s="979"/>
      <c r="J38" s="979"/>
    </row>
    <row r="39" spans="2:10" x14ac:dyDescent="0.25">
      <c r="B39" s="979"/>
      <c r="C39" s="846">
        <v>1</v>
      </c>
      <c r="D39" s="1186" t="s">
        <v>1272</v>
      </c>
      <c r="E39" s="1186"/>
      <c r="F39" s="1186"/>
      <c r="G39" s="1186"/>
      <c r="H39" s="1186"/>
      <c r="I39" s="1186"/>
      <c r="J39" s="1186"/>
    </row>
    <row r="40" spans="2:10" x14ac:dyDescent="0.25">
      <c r="B40" s="979"/>
      <c r="C40" s="846"/>
      <c r="D40" s="1186"/>
      <c r="E40" s="1186"/>
      <c r="F40" s="1186"/>
      <c r="G40" s="1186"/>
      <c r="H40" s="1186"/>
      <c r="I40" s="1186"/>
      <c r="J40" s="1186"/>
    </row>
    <row r="41" spans="2:10" x14ac:dyDescent="0.25">
      <c r="B41" s="979"/>
      <c r="C41" s="846"/>
      <c r="D41" s="1186"/>
      <c r="E41" s="1186"/>
      <c r="F41" s="1186"/>
      <c r="G41" s="1186"/>
      <c r="H41" s="1186"/>
      <c r="I41" s="1186"/>
      <c r="J41" s="1186"/>
    </row>
    <row r="42" spans="2:10" x14ac:dyDescent="0.25">
      <c r="B42" s="979"/>
      <c r="C42" s="846"/>
      <c r="D42" s="1186"/>
      <c r="E42" s="1186"/>
      <c r="F42" s="1186"/>
      <c r="G42" s="1186"/>
      <c r="H42" s="1186"/>
      <c r="I42" s="1186"/>
      <c r="J42" s="1186"/>
    </row>
    <row r="43" spans="2:10" x14ac:dyDescent="0.25">
      <c r="B43" s="979"/>
      <c r="C43" s="846"/>
      <c r="D43" s="1186"/>
      <c r="E43" s="1186"/>
      <c r="F43" s="1186"/>
      <c r="G43" s="1186"/>
      <c r="H43" s="1186"/>
      <c r="I43" s="1186"/>
      <c r="J43" s="1186"/>
    </row>
    <row r="44" spans="2:10" ht="8.15" customHeight="1" x14ac:dyDescent="0.25">
      <c r="B44" s="979"/>
      <c r="C44" s="846"/>
      <c r="D44" s="979"/>
      <c r="E44" s="979"/>
      <c r="F44" s="979"/>
      <c r="G44" s="979"/>
      <c r="H44" s="385"/>
      <c r="I44" s="385"/>
      <c r="J44" s="385"/>
    </row>
    <row r="45" spans="2:10" ht="25.4" customHeight="1" x14ac:dyDescent="0.25">
      <c r="B45" s="979"/>
      <c r="C45" s="846">
        <v>2</v>
      </c>
      <c r="D45" s="1186" t="s">
        <v>1273</v>
      </c>
      <c r="E45" s="1186"/>
      <c r="F45" s="1186"/>
      <c r="G45" s="1186"/>
      <c r="H45" s="1186"/>
      <c r="I45" s="1186"/>
      <c r="J45" s="1186"/>
    </row>
    <row r="46" spans="2:10" ht="8.15" customHeight="1" x14ac:dyDescent="0.3">
      <c r="B46" s="1187"/>
      <c r="C46" s="1187"/>
      <c r="D46" s="1187"/>
      <c r="E46" s="1187"/>
      <c r="F46" s="1187"/>
      <c r="G46" s="1187"/>
      <c r="H46" s="1187"/>
      <c r="I46" s="1187"/>
      <c r="J46" s="1187"/>
    </row>
    <row r="47" spans="2:10" x14ac:dyDescent="0.25">
      <c r="B47" s="979"/>
      <c r="C47" s="385" t="s">
        <v>616</v>
      </c>
      <c r="D47" s="1189" t="s">
        <v>1274</v>
      </c>
      <c r="E47" s="1189"/>
      <c r="F47" s="1189"/>
      <c r="G47" s="1189"/>
      <c r="H47" s="1189"/>
      <c r="I47" s="1189"/>
      <c r="J47" s="1189"/>
    </row>
    <row r="48" spans="2:10" hidden="1" x14ac:dyDescent="0.25">
      <c r="B48" s="979"/>
      <c r="C48" s="979"/>
      <c r="D48" s="253"/>
      <c r="E48" s="253"/>
      <c r="F48" s="979"/>
      <c r="G48" s="979"/>
      <c r="H48" s="979"/>
      <c r="I48" s="979"/>
      <c r="J48" s="979"/>
    </row>
    <row r="49" spans="2:12" ht="25.4" customHeight="1" x14ac:dyDescent="0.25">
      <c r="B49" s="979"/>
      <c r="C49" s="979"/>
      <c r="D49" s="1188" t="s">
        <v>1275</v>
      </c>
      <c r="E49" s="1188"/>
      <c r="F49" s="1188"/>
      <c r="G49" s="1188"/>
      <c r="H49" s="1188"/>
      <c r="I49" s="1188"/>
      <c r="J49" s="1188"/>
      <c r="K49" s="1030"/>
      <c r="L49" s="1030"/>
    </row>
    <row r="50" spans="2:12" ht="8.15" customHeight="1" x14ac:dyDescent="0.25">
      <c r="B50" s="979"/>
      <c r="C50" s="979"/>
      <c r="D50" s="977"/>
      <c r="E50" s="977"/>
      <c r="F50" s="977"/>
      <c r="G50" s="977"/>
      <c r="H50" s="977"/>
      <c r="I50" s="977"/>
      <c r="J50" s="977"/>
      <c r="K50" s="1030"/>
      <c r="L50" s="1030"/>
    </row>
    <row r="51" spans="2:12" ht="25.4" customHeight="1" x14ac:dyDescent="0.25">
      <c r="B51" s="979"/>
      <c r="C51" s="979"/>
      <c r="D51" s="1188" t="s">
        <v>1276</v>
      </c>
      <c r="E51" s="1188"/>
      <c r="F51" s="1188"/>
      <c r="G51" s="1188"/>
      <c r="H51" s="1188"/>
      <c r="I51" s="1188"/>
      <c r="J51" s="1188"/>
      <c r="K51" s="1030"/>
      <c r="L51" s="1030"/>
    </row>
    <row r="52" spans="2:12" ht="8.15" customHeight="1" x14ac:dyDescent="0.25">
      <c r="B52" s="979"/>
      <c r="C52" s="979"/>
      <c r="D52" s="977"/>
      <c r="E52" s="977"/>
      <c r="F52" s="977"/>
      <c r="G52" s="977"/>
      <c r="H52" s="977"/>
      <c r="I52" s="977"/>
      <c r="J52" s="977"/>
      <c r="K52" s="1030"/>
      <c r="L52" s="1030"/>
    </row>
    <row r="53" spans="2:12" x14ac:dyDescent="0.25">
      <c r="B53" s="979"/>
      <c r="C53" s="979"/>
      <c r="D53" s="1188" t="s">
        <v>1277</v>
      </c>
      <c r="E53" s="1188"/>
      <c r="F53" s="1188"/>
      <c r="G53" s="1188"/>
      <c r="H53" s="1188"/>
      <c r="I53" s="1188"/>
      <c r="J53" s="1188"/>
      <c r="K53" s="986"/>
      <c r="L53" s="986"/>
    </row>
    <row r="54" spans="2:12" ht="25.4" customHeight="1" x14ac:dyDescent="0.25">
      <c r="B54" s="979"/>
      <c r="C54" s="979"/>
      <c r="D54" s="1188" t="s">
        <v>1278</v>
      </c>
      <c r="E54" s="1188"/>
      <c r="F54" s="1188"/>
      <c r="G54" s="1188"/>
      <c r="H54" s="1188"/>
      <c r="I54" s="1188"/>
      <c r="J54" s="1188"/>
      <c r="K54" s="978"/>
      <c r="L54" s="978"/>
    </row>
    <row r="55" spans="2:12" ht="25.4" customHeight="1" x14ac:dyDescent="0.25">
      <c r="B55" s="979"/>
      <c r="C55" s="979"/>
      <c r="D55" s="1188" t="s">
        <v>1279</v>
      </c>
      <c r="E55" s="1188"/>
      <c r="F55" s="1188"/>
      <c r="G55" s="1188"/>
      <c r="H55" s="1188"/>
      <c r="I55" s="1188"/>
      <c r="J55" s="1188"/>
      <c r="K55" s="986"/>
      <c r="L55" s="986"/>
    </row>
    <row r="56" spans="2:12" hidden="1" x14ac:dyDescent="0.25">
      <c r="B56" s="979"/>
      <c r="C56" s="979"/>
      <c r="D56" s="1185"/>
      <c r="E56" s="1185"/>
      <c r="F56" s="1185"/>
      <c r="G56" s="1185"/>
      <c r="H56" s="1185"/>
      <c r="I56" s="1185"/>
      <c r="J56" s="1185"/>
      <c r="K56" s="1030"/>
      <c r="L56" s="1030"/>
    </row>
    <row r="57" spans="2:12" x14ac:dyDescent="0.25">
      <c r="B57" s="979"/>
      <c r="C57" s="979"/>
      <c r="D57" s="388" t="s">
        <v>1280</v>
      </c>
      <c r="E57" s="388"/>
      <c r="F57" s="1050"/>
      <c r="G57" s="1050"/>
      <c r="H57" s="1050"/>
      <c r="I57" s="1050"/>
      <c r="J57" s="1050"/>
      <c r="K57" s="1030"/>
      <c r="L57" s="1030"/>
    </row>
    <row r="58" spans="2:12" ht="5.15" customHeight="1" x14ac:dyDescent="0.25">
      <c r="B58" s="979"/>
      <c r="C58" s="979"/>
      <c r="D58" s="252"/>
      <c r="E58" s="252"/>
      <c r="F58" s="1051"/>
      <c r="G58" s="1051"/>
      <c r="H58" s="1051"/>
      <c r="I58" s="1051"/>
      <c r="J58" s="1051"/>
      <c r="K58" s="1030"/>
      <c r="L58" s="1030"/>
    </row>
    <row r="59" spans="2:12" s="449" customFormat="1" ht="46" x14ac:dyDescent="0.35">
      <c r="B59" s="1041"/>
      <c r="C59" s="1041"/>
      <c r="D59" s="539" t="s">
        <v>5</v>
      </c>
      <c r="E59" s="1041"/>
      <c r="F59" s="1041"/>
      <c r="G59" s="389" t="s">
        <v>1281</v>
      </c>
      <c r="H59" s="389" t="s">
        <v>1282</v>
      </c>
      <c r="I59" s="389" t="s">
        <v>1283</v>
      </c>
      <c r="J59" s="389" t="s">
        <v>100</v>
      </c>
      <c r="K59" s="1039"/>
      <c r="L59" s="1039"/>
    </row>
    <row r="60" spans="2:12" x14ac:dyDescent="0.25">
      <c r="B60" s="979"/>
      <c r="C60" s="979"/>
      <c r="D60" s="253" t="s">
        <v>16</v>
      </c>
      <c r="E60" s="253"/>
      <c r="F60" s="979"/>
      <c r="G60" s="979"/>
      <c r="H60" s="979"/>
      <c r="I60" s="979"/>
      <c r="J60" s="253"/>
      <c r="K60" s="986"/>
      <c r="L60" s="986"/>
    </row>
    <row r="61" spans="2:12" x14ac:dyDescent="0.25">
      <c r="B61" s="979"/>
      <c r="C61" s="979"/>
      <c r="D61" s="979" t="s">
        <v>1262</v>
      </c>
      <c r="E61" s="979"/>
      <c r="F61" s="979"/>
      <c r="G61" s="979">
        <f>G13</f>
        <v>0</v>
      </c>
      <c r="H61" s="979">
        <v>0</v>
      </c>
      <c r="I61" s="979">
        <v>0</v>
      </c>
      <c r="J61" s="253">
        <f>SUM(G61:I61)</f>
        <v>0</v>
      </c>
      <c r="K61" s="986"/>
      <c r="L61" s="986"/>
    </row>
    <row r="62" spans="2:12" ht="7.4" customHeight="1" x14ac:dyDescent="0.25">
      <c r="B62" s="979"/>
      <c r="C62" s="979"/>
      <c r="D62" s="979"/>
      <c r="E62" s="979"/>
      <c r="F62" s="979"/>
      <c r="G62" s="979"/>
      <c r="H62" s="979"/>
      <c r="I62" s="253"/>
      <c r="J62" s="253"/>
      <c r="K62" s="986"/>
      <c r="L62" s="986"/>
    </row>
    <row r="63" spans="2:12" ht="12" thickBot="1" x14ac:dyDescent="0.3">
      <c r="B63" s="979"/>
      <c r="C63" s="979"/>
      <c r="D63" s="253" t="s">
        <v>1267</v>
      </c>
      <c r="E63" s="253"/>
      <c r="F63" s="979"/>
      <c r="G63" s="506">
        <f>SUM(G60:G61)</f>
        <v>0</v>
      </c>
      <c r="H63" s="506">
        <f>SUM(H60:H61)</f>
        <v>0</v>
      </c>
      <c r="I63" s="506">
        <f>SUM(I60:I61)</f>
        <v>0</v>
      </c>
      <c r="J63" s="506">
        <f>SUM(J60:J61)</f>
        <v>0</v>
      </c>
      <c r="K63" s="986"/>
      <c r="L63" s="986"/>
    </row>
    <row r="64" spans="2:12" ht="12" thickTop="1" x14ac:dyDescent="0.25">
      <c r="B64" s="979"/>
      <c r="C64" s="979"/>
      <c r="D64" s="979"/>
      <c r="E64" s="979"/>
      <c r="F64" s="979"/>
      <c r="G64" s="979"/>
      <c r="H64" s="253"/>
      <c r="I64" s="253"/>
      <c r="J64" s="979"/>
      <c r="K64" s="986"/>
      <c r="L64" s="986"/>
    </row>
    <row r="65" spans="2:12" hidden="1" x14ac:dyDescent="0.25">
      <c r="B65" s="196" t="s">
        <v>0</v>
      </c>
      <c r="C65" s="979"/>
      <c r="D65" s="979"/>
      <c r="E65" s="979"/>
      <c r="F65" s="979"/>
      <c r="G65" s="979"/>
      <c r="H65" s="253"/>
      <c r="I65" s="253"/>
      <c r="J65" s="979"/>
      <c r="K65" s="986"/>
      <c r="L65" s="986"/>
    </row>
    <row r="66" spans="2:12" hidden="1" x14ac:dyDescent="0.25">
      <c r="B66" s="196" t="s">
        <v>653</v>
      </c>
      <c r="C66" s="979"/>
      <c r="D66" s="979"/>
      <c r="E66" s="979"/>
      <c r="F66" s="979"/>
      <c r="G66" s="979"/>
      <c r="H66" s="253"/>
      <c r="I66" s="253"/>
      <c r="J66" s="979"/>
      <c r="K66" s="986"/>
      <c r="L66" s="986"/>
    </row>
    <row r="67" spans="2:12" hidden="1" x14ac:dyDescent="0.25">
      <c r="B67" s="196" t="s">
        <v>654</v>
      </c>
      <c r="C67" s="979"/>
      <c r="D67" s="979"/>
      <c r="E67" s="979"/>
      <c r="F67" s="979"/>
      <c r="G67" s="979"/>
      <c r="H67" s="253"/>
      <c r="I67" s="253"/>
      <c r="J67" s="979"/>
      <c r="K67" s="986"/>
      <c r="L67" s="986"/>
    </row>
    <row r="68" spans="2:12" hidden="1" x14ac:dyDescent="0.25">
      <c r="B68" s="196"/>
      <c r="C68" s="979"/>
      <c r="D68" s="979"/>
      <c r="E68" s="979"/>
      <c r="F68" s="979"/>
      <c r="G68" s="979"/>
      <c r="H68" s="253"/>
      <c r="I68" s="253"/>
      <c r="J68" s="979"/>
      <c r="K68" s="986"/>
      <c r="L68" s="986"/>
    </row>
    <row r="69" spans="2:12" x14ac:dyDescent="0.25">
      <c r="B69" s="979"/>
      <c r="C69" s="979"/>
      <c r="D69" s="252" t="s">
        <v>1284</v>
      </c>
      <c r="E69" s="252"/>
      <c r="F69" s="1051"/>
      <c r="G69" s="1051"/>
      <c r="H69" s="1051"/>
      <c r="I69" s="1051"/>
      <c r="J69" s="1051"/>
      <c r="K69" s="1030"/>
      <c r="L69" s="1030"/>
    </row>
    <row r="70" spans="2:12" ht="5.15" customHeight="1" x14ac:dyDescent="0.25">
      <c r="B70" s="979"/>
      <c r="C70" s="979"/>
      <c r="D70" s="252"/>
      <c r="E70" s="252"/>
      <c r="F70" s="1051"/>
      <c r="G70" s="1051"/>
      <c r="H70" s="1051"/>
      <c r="I70" s="1051"/>
      <c r="J70" s="1051"/>
      <c r="K70" s="1030"/>
      <c r="L70" s="1030"/>
    </row>
    <row r="71" spans="2:12" s="449" customFormat="1" ht="46" x14ac:dyDescent="0.35">
      <c r="B71" s="1041"/>
      <c r="C71" s="1041"/>
      <c r="D71" s="539" t="s">
        <v>5</v>
      </c>
      <c r="E71" s="1041"/>
      <c r="F71" s="1041"/>
      <c r="G71" s="389" t="s">
        <v>1281</v>
      </c>
      <c r="H71" s="389" t="s">
        <v>1282</v>
      </c>
      <c r="I71" s="389" t="s">
        <v>1283</v>
      </c>
      <c r="J71" s="389" t="s">
        <v>100</v>
      </c>
      <c r="K71" s="1039"/>
      <c r="L71" s="1039"/>
    </row>
    <row r="72" spans="2:12" x14ac:dyDescent="0.25">
      <c r="B72" s="979"/>
      <c r="C72" s="979"/>
      <c r="D72" s="253" t="s">
        <v>16</v>
      </c>
      <c r="E72" s="253"/>
      <c r="F72" s="979"/>
      <c r="G72" s="979"/>
      <c r="H72" s="979"/>
      <c r="I72" s="979"/>
      <c r="J72" s="253"/>
      <c r="K72" s="986"/>
      <c r="L72" s="986"/>
    </row>
    <row r="73" spans="2:12" x14ac:dyDescent="0.25">
      <c r="B73" s="979"/>
      <c r="C73" s="979"/>
      <c r="D73" s="979" t="s">
        <v>1262</v>
      </c>
      <c r="E73" s="979"/>
      <c r="F73" s="979"/>
      <c r="G73" s="979">
        <f>H13</f>
        <v>0</v>
      </c>
      <c r="H73" s="979">
        <v>0</v>
      </c>
      <c r="I73" s="979">
        <v>0</v>
      </c>
      <c r="J73" s="253">
        <f>SUM(G73:I73)</f>
        <v>0</v>
      </c>
      <c r="K73" s="986"/>
      <c r="L73" s="986"/>
    </row>
    <row r="74" spans="2:12" ht="7.4" customHeight="1" x14ac:dyDescent="0.25">
      <c r="B74" s="979"/>
      <c r="C74" s="979"/>
      <c r="D74" s="979"/>
      <c r="E74" s="979"/>
      <c r="F74" s="979"/>
      <c r="G74" s="979"/>
      <c r="H74" s="979"/>
      <c r="I74" s="253"/>
      <c r="J74" s="253"/>
      <c r="K74" s="986"/>
      <c r="L74" s="986"/>
    </row>
    <row r="75" spans="2:12" ht="12" thickBot="1" x14ac:dyDescent="0.3">
      <c r="B75" s="979"/>
      <c r="C75" s="979"/>
      <c r="D75" s="253" t="s">
        <v>1267</v>
      </c>
      <c r="E75" s="253"/>
      <c r="F75" s="979"/>
      <c r="G75" s="506">
        <f>SUM(G73:G74)</f>
        <v>0</v>
      </c>
      <c r="H75" s="506">
        <f t="shared" ref="H75:J75" si="3">SUM(H73:H74)</f>
        <v>0</v>
      </c>
      <c r="I75" s="506">
        <f t="shared" si="3"/>
        <v>0</v>
      </c>
      <c r="J75" s="506">
        <f t="shared" si="3"/>
        <v>0</v>
      </c>
      <c r="K75" s="986"/>
      <c r="L75" s="986"/>
    </row>
    <row r="76" spans="2:12" ht="6" customHeight="1" thickTop="1" x14ac:dyDescent="0.25">
      <c r="B76" s="979"/>
      <c r="C76" s="979"/>
      <c r="D76" s="253"/>
      <c r="E76" s="253"/>
      <c r="F76" s="253"/>
      <c r="G76" s="253"/>
      <c r="H76" s="253"/>
      <c r="I76" s="253"/>
      <c r="J76" s="253"/>
      <c r="K76" s="986"/>
      <c r="L76" s="986"/>
    </row>
    <row r="77" spans="2:12" x14ac:dyDescent="0.25">
      <c r="B77" s="979"/>
      <c r="C77" s="836" t="s">
        <v>1285</v>
      </c>
      <c r="D77" s="979"/>
      <c r="E77" s="836"/>
      <c r="F77" s="979"/>
      <c r="G77" s="979"/>
      <c r="H77" s="979"/>
      <c r="I77" s="979"/>
      <c r="J77" s="979"/>
      <c r="K77" s="986"/>
      <c r="L77" s="986"/>
    </row>
    <row r="79" spans="2:12" s="19" customFormat="1" x14ac:dyDescent="0.25">
      <c r="B79" s="17"/>
      <c r="C79" s="17"/>
      <c r="D79" s="17"/>
      <c r="E79" s="17"/>
      <c r="F79" s="17"/>
      <c r="G79" s="17"/>
      <c r="H79" s="17"/>
      <c r="I79" s="17"/>
      <c r="J79" s="17"/>
    </row>
    <row r="80" spans="2:12" s="19" customFormat="1" x14ac:dyDescent="0.25">
      <c r="B80" s="17"/>
      <c r="C80" s="17"/>
      <c r="D80" s="17"/>
      <c r="E80" s="17"/>
      <c r="F80" s="17"/>
      <c r="G80" s="17"/>
      <c r="H80" s="17"/>
      <c r="I80" s="17"/>
      <c r="J80" s="17"/>
    </row>
    <row r="81" spans="2:10" s="19" customFormat="1" x14ac:dyDescent="0.25">
      <c r="B81" s="17"/>
      <c r="C81" s="17"/>
      <c r="D81" s="17"/>
      <c r="E81" s="17"/>
      <c r="F81" s="17"/>
      <c r="G81" s="17"/>
      <c r="H81" s="17"/>
      <c r="I81" s="17"/>
      <c r="J81" s="17"/>
    </row>
    <row r="82" spans="2:10" s="19" customFormat="1" x14ac:dyDescent="0.25">
      <c r="B82" s="17"/>
      <c r="C82" s="17"/>
      <c r="D82" s="17"/>
      <c r="E82" s="17"/>
      <c r="F82" s="17"/>
      <c r="G82" s="17"/>
      <c r="H82" s="17"/>
      <c r="I82" s="17"/>
      <c r="J82" s="17"/>
    </row>
    <row r="83" spans="2:10" s="19" customFormat="1" x14ac:dyDescent="0.25">
      <c r="B83" s="17"/>
      <c r="C83" s="17"/>
      <c r="D83" s="17"/>
      <c r="E83" s="17"/>
      <c r="F83" s="17"/>
      <c r="G83" s="17"/>
      <c r="H83" s="17"/>
      <c r="I83" s="17"/>
      <c r="J83" s="17"/>
    </row>
    <row r="84" spans="2:10" s="19" customFormat="1" x14ac:dyDescent="0.25">
      <c r="B84" s="17"/>
      <c r="C84" s="17"/>
      <c r="D84" s="17"/>
      <c r="E84" s="17"/>
      <c r="F84" s="17"/>
      <c r="G84" s="17"/>
      <c r="H84" s="17"/>
      <c r="I84" s="17"/>
      <c r="J84" s="17"/>
    </row>
    <row r="85" spans="2:10" s="19" customFormat="1" x14ac:dyDescent="0.25">
      <c r="B85" s="17"/>
      <c r="C85" s="17"/>
      <c r="D85" s="17"/>
      <c r="E85" s="17"/>
      <c r="F85" s="17"/>
      <c r="G85" s="17"/>
      <c r="H85" s="17"/>
      <c r="I85" s="17"/>
      <c r="J85" s="17"/>
    </row>
    <row r="86" spans="2:10" s="19" customFormat="1" x14ac:dyDescent="0.25">
      <c r="B86" s="17"/>
      <c r="C86" s="17"/>
      <c r="D86" s="17"/>
      <c r="E86" s="17"/>
      <c r="F86" s="17"/>
      <c r="G86" s="17"/>
      <c r="H86" s="17"/>
      <c r="I86" s="17"/>
      <c r="J86" s="17"/>
    </row>
    <row r="87" spans="2:10" s="19" customFormat="1" x14ac:dyDescent="0.25">
      <c r="B87" s="17"/>
      <c r="C87" s="17"/>
      <c r="D87" s="17"/>
      <c r="E87" s="17"/>
      <c r="F87" s="17"/>
      <c r="G87" s="17"/>
      <c r="H87" s="17"/>
      <c r="I87" s="17"/>
      <c r="J87" s="17"/>
    </row>
    <row r="88" spans="2:10" s="19" customFormat="1" x14ac:dyDescent="0.25">
      <c r="B88" s="17"/>
      <c r="C88" s="17"/>
      <c r="D88" s="17"/>
      <c r="E88" s="17"/>
      <c r="F88" s="17"/>
      <c r="G88" s="17"/>
      <c r="H88" s="17"/>
      <c r="I88" s="17"/>
      <c r="J88" s="17"/>
    </row>
    <row r="89" spans="2:10" s="19" customFormat="1" x14ac:dyDescent="0.25">
      <c r="B89" s="17"/>
      <c r="C89" s="17"/>
      <c r="D89" s="17"/>
      <c r="E89" s="17"/>
      <c r="F89" s="17"/>
      <c r="G89" s="17"/>
      <c r="H89" s="17"/>
      <c r="I89" s="17"/>
      <c r="J89" s="17"/>
    </row>
  </sheetData>
  <mergeCells count="15">
    <mergeCell ref="D39:J43"/>
    <mergeCell ref="I10:J10"/>
    <mergeCell ref="G10:H10"/>
    <mergeCell ref="I18:J18"/>
    <mergeCell ref="G18:H18"/>
    <mergeCell ref="D10:F10"/>
    <mergeCell ref="D56:J56"/>
    <mergeCell ref="D45:J45"/>
    <mergeCell ref="B46:J46"/>
    <mergeCell ref="D49:J49"/>
    <mergeCell ref="D51:J51"/>
    <mergeCell ref="D54:J54"/>
    <mergeCell ref="D55:J55"/>
    <mergeCell ref="D53:J53"/>
    <mergeCell ref="D47:J47"/>
  </mergeCells>
  <pageMargins left="0.23622047244094491" right="0.23622047244094491" top="0.74803149606299213" bottom="0.74803149606299213" header="0.31496062992125984" footer="0.31496062992125984"/>
  <pageSetup paperSize="9" scale="8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352E8-D6FC-4BA0-9018-C9E2A9445E86}">
  <sheetPr>
    <tabColor rgb="FF7030A0"/>
  </sheetPr>
  <dimension ref="A1:P134"/>
  <sheetViews>
    <sheetView showGridLines="0" view="pageBreakPreview" zoomScale="90" zoomScaleNormal="80" zoomScaleSheetLayoutView="90" workbookViewId="0">
      <selection activeCell="F39" sqref="F39"/>
    </sheetView>
  </sheetViews>
  <sheetFormatPr defaultColWidth="9.1796875" defaultRowHeight="11.5" x14ac:dyDescent="0.35"/>
  <cols>
    <col min="1" max="1" width="2.81640625" style="110" customWidth="1"/>
    <col min="2" max="2" width="2.81640625" style="471" customWidth="1"/>
    <col min="3" max="4" width="20.54296875" style="110" customWidth="1"/>
    <col min="5" max="8" width="19.54296875" style="110" customWidth="1"/>
    <col min="9" max="9" width="14.54296875" style="110" bestFit="1" customWidth="1"/>
    <col min="10" max="10" width="15.81640625" style="110" bestFit="1" customWidth="1"/>
    <col min="11" max="11" width="13.81640625" style="110" bestFit="1" customWidth="1"/>
    <col min="12" max="16384" width="9.1796875" style="110"/>
  </cols>
  <sheetData>
    <row r="1" spans="1:8" s="19" customFormat="1" x14ac:dyDescent="0.25">
      <c r="B1" s="113" t="str">
        <f>'31 FVM'!B1</f>
        <v>Paladion Networks Private Limited</v>
      </c>
      <c r="C1" s="17"/>
      <c r="D1" s="17"/>
      <c r="E1" s="17"/>
      <c r="F1" s="17"/>
      <c r="G1" s="17"/>
      <c r="H1" s="17"/>
    </row>
    <row r="2" spans="1:8" s="19" customFormat="1" x14ac:dyDescent="0.25">
      <c r="B2" s="113" t="str">
        <f>'31 FVM'!B2</f>
        <v>Summary of Material accounting policies and other explanatory information</v>
      </c>
      <c r="C2" s="17"/>
      <c r="D2" s="17"/>
      <c r="E2" s="17"/>
      <c r="F2" s="17"/>
      <c r="G2" s="17"/>
      <c r="H2" s="17"/>
    </row>
    <row r="3" spans="1:8" s="19" customFormat="1" ht="12" x14ac:dyDescent="0.25">
      <c r="B3" s="534" t="str">
        <f>'31 FVM'!B3</f>
        <v>(Amounts are stated in ₹ lakhs, except share and per share data, unless ottherwise stated)</v>
      </c>
      <c r="C3" s="17"/>
      <c r="D3" s="17"/>
      <c r="E3" s="17"/>
      <c r="F3" s="17"/>
      <c r="G3" s="17"/>
      <c r="H3" s="17"/>
    </row>
    <row r="4" spans="1:8" s="19" customFormat="1" x14ac:dyDescent="0.25">
      <c r="B4" s="113"/>
      <c r="C4" s="17"/>
      <c r="D4" s="17"/>
      <c r="E4" s="17"/>
      <c r="F4" s="17"/>
      <c r="G4" s="17"/>
      <c r="H4" s="17"/>
    </row>
    <row r="5" spans="1:8" x14ac:dyDescent="0.35">
      <c r="A5" s="110">
        <f>'31 FVM'!A5+1</f>
        <v>32</v>
      </c>
      <c r="B5" s="40" t="str">
        <f>"Note "&amp;A5&amp;": Financial risk management"</f>
        <v>Note 32: Financial risk management</v>
      </c>
      <c r="C5" s="34"/>
    </row>
    <row r="6" spans="1:8" ht="60" customHeight="1" x14ac:dyDescent="0.35">
      <c r="C6" s="1101" t="s">
        <v>1286</v>
      </c>
      <c r="D6" s="1101"/>
      <c r="E6" s="1101"/>
      <c r="F6" s="1101"/>
      <c r="G6" s="1101"/>
      <c r="H6" s="1101"/>
    </row>
    <row r="7" spans="1:8" x14ac:dyDescent="0.35">
      <c r="C7" s="1198"/>
      <c r="D7" s="1198"/>
      <c r="E7" s="1198"/>
    </row>
    <row r="8" spans="1:8" x14ac:dyDescent="0.35">
      <c r="B8" s="88" t="s">
        <v>253</v>
      </c>
      <c r="C8" s="34" t="s">
        <v>1287</v>
      </c>
    </row>
    <row r="9" spans="1:8" ht="36" customHeight="1" x14ac:dyDescent="0.35">
      <c r="B9" s="88"/>
      <c r="C9" s="1101" t="s">
        <v>1288</v>
      </c>
      <c r="D9" s="1101"/>
      <c r="E9" s="1101"/>
      <c r="F9" s="1101"/>
      <c r="G9" s="1101"/>
      <c r="H9" s="1101"/>
    </row>
    <row r="10" spans="1:8" hidden="1" x14ac:dyDescent="0.35">
      <c r="B10" s="88"/>
      <c r="C10" s="310"/>
      <c r="D10" s="310"/>
      <c r="E10" s="310"/>
      <c r="F10" s="310"/>
      <c r="G10" s="310"/>
      <c r="H10" s="310"/>
    </row>
    <row r="11" spans="1:8" x14ac:dyDescent="0.35">
      <c r="B11" s="88" t="s">
        <v>285</v>
      </c>
      <c r="C11" s="34" t="s">
        <v>1289</v>
      </c>
    </row>
    <row r="12" spans="1:8" ht="14.15" customHeight="1" x14ac:dyDescent="0.35">
      <c r="C12" s="1112" t="s">
        <v>1290</v>
      </c>
      <c r="D12" s="1112"/>
      <c r="E12" s="1112"/>
      <c r="F12" s="1112"/>
      <c r="G12" s="1112"/>
      <c r="H12" s="1112"/>
    </row>
    <row r="13" spans="1:8" hidden="1" x14ac:dyDescent="0.35">
      <c r="C13" s="1198"/>
      <c r="D13" s="1198"/>
      <c r="E13" s="1198"/>
    </row>
    <row r="14" spans="1:8" ht="23.15" customHeight="1" x14ac:dyDescent="0.35">
      <c r="C14" s="1101" t="s">
        <v>1291</v>
      </c>
      <c r="D14" s="1101"/>
      <c r="E14" s="1101"/>
      <c r="F14" s="1101"/>
      <c r="G14" s="1101"/>
      <c r="H14" s="1101"/>
    </row>
    <row r="15" spans="1:8" x14ac:dyDescent="0.35">
      <c r="C15" s="1195" t="s">
        <v>5</v>
      </c>
      <c r="D15" s="1195" t="s">
        <v>1292</v>
      </c>
      <c r="E15" s="1197" t="s">
        <v>469</v>
      </c>
      <c r="F15" s="1195"/>
      <c r="G15" s="1197" t="s">
        <v>466</v>
      </c>
      <c r="H15" s="1195"/>
    </row>
    <row r="16" spans="1:8" x14ac:dyDescent="0.35">
      <c r="C16" s="1196"/>
      <c r="D16" s="1196"/>
      <c r="E16" s="739" t="s">
        <v>1293</v>
      </c>
      <c r="F16" s="739" t="s">
        <v>1294</v>
      </c>
      <c r="G16" s="535" t="s">
        <v>402</v>
      </c>
      <c r="H16" s="535" t="s">
        <v>1294</v>
      </c>
    </row>
    <row r="17" spans="3:12" ht="11.15" customHeight="1" x14ac:dyDescent="0.35">
      <c r="C17" s="536" t="s">
        <v>1295</v>
      </c>
      <c r="D17" s="536" t="s">
        <v>1296</v>
      </c>
      <c r="E17" s="36"/>
      <c r="F17" s="36"/>
      <c r="G17" s="566">
        <v>51.1974928684227</v>
      </c>
      <c r="H17" s="566">
        <v>4266.08296644448</v>
      </c>
      <c r="I17" s="36"/>
      <c r="J17" s="36"/>
    </row>
    <row r="18" spans="3:12" ht="11.15" customHeight="1" x14ac:dyDescent="0.35">
      <c r="C18" s="310"/>
      <c r="D18" s="310" t="s">
        <v>1297</v>
      </c>
      <c r="E18" s="36"/>
      <c r="F18" s="36"/>
      <c r="G18" s="567">
        <v>29.795269900000001</v>
      </c>
      <c r="H18" s="567">
        <v>676.03381734207005</v>
      </c>
      <c r="I18" s="421"/>
      <c r="J18" s="36"/>
    </row>
    <row r="19" spans="3:12" ht="11.15" customHeight="1" x14ac:dyDescent="0.35">
      <c r="C19" s="310"/>
      <c r="D19" s="310" t="s">
        <v>1298</v>
      </c>
      <c r="E19" s="36"/>
      <c r="F19" s="36"/>
      <c r="G19" s="567">
        <v>38.796131800000005</v>
      </c>
      <c r="H19" s="567">
        <v>3489.4384700506698</v>
      </c>
      <c r="I19" s="36"/>
      <c r="J19" s="36"/>
    </row>
    <row r="20" spans="3:12" ht="11.15" customHeight="1" x14ac:dyDescent="0.35">
      <c r="C20" s="310"/>
      <c r="D20" s="310" t="s">
        <v>1299</v>
      </c>
      <c r="E20" s="36"/>
      <c r="F20" s="36"/>
      <c r="G20" s="567">
        <v>5.1979999999999998E-2</v>
      </c>
      <c r="H20" s="567">
        <v>14.049882120000001</v>
      </c>
      <c r="I20" s="36"/>
      <c r="J20" s="36"/>
    </row>
    <row r="21" spans="3:12" ht="11.15" customHeight="1" x14ac:dyDescent="0.35">
      <c r="C21" s="310"/>
      <c r="D21" s="310" t="s">
        <v>1300</v>
      </c>
      <c r="E21" s="36"/>
      <c r="F21" s="36"/>
      <c r="G21" s="567">
        <v>0</v>
      </c>
      <c r="H21" s="567">
        <v>0</v>
      </c>
      <c r="I21" s="36"/>
      <c r="J21" s="36"/>
    </row>
    <row r="22" spans="3:12" ht="11.15" customHeight="1" x14ac:dyDescent="0.35">
      <c r="C22" s="310"/>
      <c r="D22" s="310" t="s">
        <v>1301</v>
      </c>
      <c r="E22" s="36"/>
      <c r="F22" s="36"/>
      <c r="G22" s="567">
        <v>2.8165599999999999E-2</v>
      </c>
      <c r="H22" s="567">
        <v>2.6013466504</v>
      </c>
      <c r="I22" s="421"/>
      <c r="J22" s="421"/>
      <c r="L22" s="421"/>
    </row>
    <row r="23" spans="3:12" ht="11.15" customHeight="1" x14ac:dyDescent="0.35">
      <c r="C23" s="310"/>
      <c r="D23" s="310" t="s">
        <v>1302</v>
      </c>
      <c r="E23" s="36"/>
      <c r="F23" s="36"/>
      <c r="G23" s="567">
        <v>0</v>
      </c>
      <c r="H23" s="567">
        <v>0</v>
      </c>
      <c r="I23" s="36"/>
      <c r="J23" s="36"/>
    </row>
    <row r="24" spans="3:12" ht="11.15" customHeight="1" x14ac:dyDescent="0.35">
      <c r="C24" s="310"/>
      <c r="D24" s="310" t="s">
        <v>1303</v>
      </c>
      <c r="E24" s="36"/>
      <c r="F24" s="36"/>
      <c r="G24" s="567">
        <v>7.9764210999999996</v>
      </c>
      <c r="H24" s="567">
        <v>182.19748271421298</v>
      </c>
      <c r="I24" s="36"/>
      <c r="J24" s="36"/>
    </row>
    <row r="25" spans="3:12" ht="12" customHeight="1" x14ac:dyDescent="0.35">
      <c r="C25" s="310"/>
      <c r="D25" s="310" t="s">
        <v>1304</v>
      </c>
      <c r="E25" s="36"/>
      <c r="F25" s="36"/>
      <c r="G25" s="568">
        <v>0.68144530000000003</v>
      </c>
      <c r="H25" s="568">
        <v>0.419409138791</v>
      </c>
      <c r="I25" s="36"/>
      <c r="J25" s="36"/>
    </row>
    <row r="26" spans="3:12" ht="12" customHeight="1" x14ac:dyDescent="0.35">
      <c r="C26" s="310"/>
      <c r="D26" s="310" t="s">
        <v>1305</v>
      </c>
      <c r="E26" s="36"/>
      <c r="F26" s="36"/>
      <c r="G26" s="568">
        <v>6.0619999999999999E-4</v>
      </c>
      <c r="H26" s="568">
        <v>3.7295060739999997E-2</v>
      </c>
      <c r="I26" s="36"/>
      <c r="J26" s="36"/>
    </row>
    <row r="27" spans="3:12" ht="11.15" customHeight="1" x14ac:dyDescent="0.35">
      <c r="C27" s="310"/>
      <c r="D27" s="310" t="s">
        <v>1306</v>
      </c>
      <c r="E27" s="36"/>
      <c r="F27" s="36"/>
      <c r="G27" s="568">
        <v>0</v>
      </c>
      <c r="H27" s="568">
        <v>0</v>
      </c>
      <c r="I27" s="36"/>
      <c r="J27" s="36"/>
    </row>
    <row r="28" spans="3:12" ht="11.15" customHeight="1" x14ac:dyDescent="0.35">
      <c r="C28" s="537"/>
      <c r="D28" s="537" t="s">
        <v>1307</v>
      </c>
      <c r="E28" s="408"/>
      <c r="F28" s="408"/>
      <c r="G28" s="569">
        <v>3.5776000000000002E-2</v>
      </c>
      <c r="H28" s="569">
        <v>0.7941628032000001</v>
      </c>
      <c r="I28" s="36"/>
      <c r="J28" s="36"/>
    </row>
    <row r="29" spans="3:12" ht="11.15" customHeight="1" x14ac:dyDescent="0.25">
      <c r="C29" s="110" t="s">
        <v>96</v>
      </c>
      <c r="D29" s="310" t="s">
        <v>1308</v>
      </c>
      <c r="E29" s="1020"/>
      <c r="F29" s="1020"/>
      <c r="G29" s="567">
        <v>21.935148299999994</v>
      </c>
      <c r="H29" s="567">
        <v>1833.2321373655095</v>
      </c>
    </row>
    <row r="30" spans="3:12" ht="11.15" customHeight="1" x14ac:dyDescent="0.25">
      <c r="D30" s="310" t="s">
        <v>1298</v>
      </c>
      <c r="E30" s="1020"/>
      <c r="F30" s="1020"/>
      <c r="G30" s="567">
        <v>11.234542599999997</v>
      </c>
      <c r="H30" s="567">
        <v>1012.3895095999998</v>
      </c>
    </row>
    <row r="31" spans="3:12" ht="11.15" customHeight="1" x14ac:dyDescent="0.35">
      <c r="D31" s="310" t="s">
        <v>1300</v>
      </c>
      <c r="E31" s="1052"/>
      <c r="F31" s="1052"/>
      <c r="G31" s="582" t="s">
        <v>174</v>
      </c>
      <c r="H31" s="582">
        <v>0</v>
      </c>
      <c r="K31"/>
    </row>
    <row r="32" spans="3:12" ht="11.15" customHeight="1" x14ac:dyDescent="0.35">
      <c r="D32" s="310" t="s">
        <v>1303</v>
      </c>
      <c r="E32" s="1052"/>
      <c r="F32" s="1052"/>
      <c r="G32" s="582" t="s">
        <v>174</v>
      </c>
      <c r="H32" s="582">
        <v>0</v>
      </c>
      <c r="K32"/>
    </row>
    <row r="33" spans="3:12" ht="11.15" customHeight="1" x14ac:dyDescent="0.35">
      <c r="D33" s="537" t="s">
        <v>1297</v>
      </c>
      <c r="E33" s="1053"/>
      <c r="F33" s="1053"/>
      <c r="G33" s="567">
        <v>13.282072400000004</v>
      </c>
      <c r="H33" s="567">
        <v>321.16322246502006</v>
      </c>
      <c r="K33"/>
    </row>
    <row r="34" spans="3:12" ht="11.15" customHeight="1" x14ac:dyDescent="0.35">
      <c r="C34" s="536" t="s">
        <v>1309</v>
      </c>
      <c r="D34" s="310" t="s">
        <v>1308</v>
      </c>
      <c r="E34" s="36"/>
      <c r="F34" s="36"/>
      <c r="G34" s="570">
        <v>17.3204107</v>
      </c>
      <c r="H34" s="570">
        <v>1443.4960113309698</v>
      </c>
      <c r="I34" s="36"/>
      <c r="K34"/>
    </row>
    <row r="35" spans="3:12" ht="11.15" customHeight="1" x14ac:dyDescent="0.35">
      <c r="C35" s="310"/>
      <c r="D35" s="310" t="s">
        <v>1298</v>
      </c>
      <c r="E35" s="36"/>
      <c r="F35" s="36"/>
      <c r="G35" s="572">
        <v>0.39967620000000004</v>
      </c>
      <c r="H35" s="572">
        <v>35.948076500482095</v>
      </c>
      <c r="I35" s="36"/>
      <c r="K35"/>
    </row>
    <row r="36" spans="3:12" ht="11.15" customHeight="1" x14ac:dyDescent="0.35">
      <c r="C36" s="537"/>
      <c r="D36" s="537" t="s">
        <v>1297</v>
      </c>
      <c r="E36" s="408"/>
      <c r="F36" s="408"/>
      <c r="G36" s="571">
        <v>22.390378199999997</v>
      </c>
      <c r="H36" s="571">
        <v>508.02200809326001</v>
      </c>
      <c r="I36" s="36"/>
      <c r="K36"/>
    </row>
    <row r="37" spans="3:12" ht="11.15" customHeight="1" x14ac:dyDescent="0.35">
      <c r="C37" s="536" t="s">
        <v>1310</v>
      </c>
      <c r="D37" s="536" t="s">
        <v>1308</v>
      </c>
      <c r="E37" s="36"/>
      <c r="F37" s="36"/>
      <c r="G37" s="570">
        <v>18.846175507040002</v>
      </c>
      <c r="H37" s="570">
        <v>1570.5991006189299</v>
      </c>
      <c r="I37" s="36"/>
      <c r="K37"/>
    </row>
    <row r="38" spans="3:12" ht="11.15" customHeight="1" x14ac:dyDescent="0.35">
      <c r="C38" s="310"/>
      <c r="D38" s="310" t="s">
        <v>1297</v>
      </c>
      <c r="E38" s="36"/>
      <c r="F38" s="36"/>
      <c r="G38" s="572">
        <v>21.635601099999999</v>
      </c>
      <c r="H38" s="572">
        <v>490.89664403823002</v>
      </c>
      <c r="I38" s="36"/>
      <c r="K38"/>
    </row>
    <row r="39" spans="3:12" ht="12" customHeight="1" x14ac:dyDescent="0.35">
      <c r="C39" s="310"/>
      <c r="D39" s="310" t="s">
        <v>1311</v>
      </c>
      <c r="E39" s="36"/>
      <c r="F39" s="36"/>
      <c r="G39" s="768">
        <v>8.575715200000001E-4</v>
      </c>
      <c r="H39" s="768">
        <v>1.7930000000000001E-2</v>
      </c>
      <c r="I39" s="36"/>
      <c r="K39"/>
    </row>
    <row r="40" spans="3:12" ht="11.15" customHeight="1" x14ac:dyDescent="0.35">
      <c r="C40" s="310"/>
      <c r="D40" s="310" t="s">
        <v>1300</v>
      </c>
      <c r="E40" s="36"/>
      <c r="F40" s="36"/>
      <c r="G40" s="768">
        <v>1.3028207460799999</v>
      </c>
      <c r="H40" s="768">
        <v>137.02983</v>
      </c>
      <c r="I40" s="36"/>
      <c r="K40"/>
    </row>
    <row r="41" spans="3:12" ht="11.15" customHeight="1" x14ac:dyDescent="0.35">
      <c r="C41" s="310"/>
      <c r="D41" s="310" t="s">
        <v>1299</v>
      </c>
      <c r="E41" s="36"/>
      <c r="F41" s="36"/>
      <c r="G41" s="572">
        <v>0</v>
      </c>
      <c r="H41" s="572">
        <v>0</v>
      </c>
      <c r="I41" s="36"/>
      <c r="K41"/>
    </row>
    <row r="42" spans="3:12" ht="11.15" customHeight="1" x14ac:dyDescent="0.35">
      <c r="C42" s="537"/>
      <c r="D42" s="537" t="s">
        <v>1298</v>
      </c>
      <c r="E42" s="408"/>
      <c r="F42" s="408"/>
      <c r="G42" s="571">
        <v>39.13210358832</v>
      </c>
      <c r="H42" s="571">
        <v>3519.6295218096002</v>
      </c>
      <c r="I42" s="36"/>
      <c r="J42" s="470"/>
      <c r="K42"/>
    </row>
    <row r="43" spans="3:12" ht="11.15" customHeight="1" x14ac:dyDescent="0.35">
      <c r="C43" s="536" t="s">
        <v>1312</v>
      </c>
      <c r="D43" s="536" t="s">
        <v>1308</v>
      </c>
      <c r="E43" s="1020"/>
      <c r="F43" s="1020"/>
      <c r="G43" s="570">
        <v>55.450160099999991</v>
      </c>
      <c r="H43" s="570">
        <v>4621.2773379101091</v>
      </c>
      <c r="I43" s="36"/>
      <c r="J43" s="36"/>
      <c r="K43"/>
      <c r="L43" s="36"/>
    </row>
    <row r="44" spans="3:12" ht="11.15" customHeight="1" x14ac:dyDescent="0.35">
      <c r="C44" s="310"/>
      <c r="D44" s="310" t="s">
        <v>1297</v>
      </c>
      <c r="E44" s="1020"/>
      <c r="F44" s="1020"/>
      <c r="G44" s="572">
        <v>61.4847605</v>
      </c>
      <c r="H44" s="572">
        <v>1395.0461764126499</v>
      </c>
      <c r="I44" s="36"/>
      <c r="J44" s="36"/>
      <c r="K44"/>
      <c r="L44" s="36"/>
    </row>
    <row r="45" spans="3:12" ht="11.15" customHeight="1" x14ac:dyDescent="0.35">
      <c r="C45" s="310"/>
      <c r="D45" s="310" t="s">
        <v>1300</v>
      </c>
      <c r="E45" s="1020"/>
      <c r="F45" s="1020"/>
      <c r="G45" s="572">
        <v>0.81225950000000002</v>
      </c>
      <c r="H45" s="572">
        <v>85.432920481027068</v>
      </c>
      <c r="I45" s="36"/>
      <c r="J45" s="36"/>
      <c r="K45"/>
      <c r="L45" s="36"/>
    </row>
    <row r="46" spans="3:12" ht="11.15" customHeight="1" x14ac:dyDescent="0.35">
      <c r="C46" s="537"/>
      <c r="D46" s="537" t="s">
        <v>1298</v>
      </c>
      <c r="E46" s="982"/>
      <c r="F46" s="982"/>
      <c r="G46" s="571">
        <v>8.7093351000000006</v>
      </c>
      <c r="H46" s="571">
        <v>783.3437268992999</v>
      </c>
      <c r="I46" s="36"/>
      <c r="J46" s="36"/>
      <c r="K46"/>
      <c r="L46" s="36"/>
    </row>
    <row r="47" spans="3:12" hidden="1" x14ac:dyDescent="0.35">
      <c r="C47" s="310"/>
      <c r="D47" s="310"/>
      <c r="E47" s="177"/>
      <c r="F47" s="177"/>
      <c r="G47" s="177"/>
      <c r="H47" s="177"/>
      <c r="I47" s="36"/>
      <c r="J47" s="470"/>
    </row>
    <row r="48" spans="3:12" x14ac:dyDescent="0.35">
      <c r="C48" s="310"/>
      <c r="D48" s="310"/>
      <c r="E48" s="177"/>
      <c r="F48" s="177"/>
      <c r="G48" s="177"/>
      <c r="H48" s="177"/>
      <c r="I48" s="36"/>
      <c r="J48" s="470"/>
    </row>
    <row r="49" spans="3:13" ht="56.15" customHeight="1" x14ac:dyDescent="0.35">
      <c r="C49" s="1101" t="s">
        <v>1313</v>
      </c>
      <c r="D49" s="1101"/>
      <c r="E49" s="1101"/>
      <c r="F49" s="1101"/>
      <c r="G49" s="1101"/>
      <c r="H49" s="1101"/>
      <c r="I49" s="36">
        <f>SUM(F17:F28)</f>
        <v>0</v>
      </c>
      <c r="J49" s="110">
        <v>3107</v>
      </c>
      <c r="K49" s="36">
        <f>SUM(I49:J49)</f>
        <v>3107</v>
      </c>
      <c r="L49" s="573">
        <f>BS!E24</f>
        <v>9350.3619247300776</v>
      </c>
      <c r="M49" s="36">
        <f>L49-K49</f>
        <v>6243.3619247300776</v>
      </c>
    </row>
    <row r="50" spans="3:13" x14ac:dyDescent="0.35">
      <c r="C50" s="306"/>
      <c r="D50" s="306"/>
      <c r="E50" s="306"/>
      <c r="F50" s="306"/>
      <c r="G50" s="306"/>
      <c r="H50" s="306"/>
      <c r="I50" s="36">
        <f>SUM(F29:F33)</f>
        <v>0</v>
      </c>
      <c r="J50" s="110">
        <v>327</v>
      </c>
      <c r="K50" s="36">
        <f>SUM(I50:J50)</f>
        <v>327</v>
      </c>
      <c r="L50" s="589">
        <f>SUM(BS!E27+BS!E28)+BS!E16</f>
        <v>2824.3499267265188</v>
      </c>
      <c r="M50" s="36">
        <f>L50-K50</f>
        <v>2497.3499267265188</v>
      </c>
    </row>
    <row r="51" spans="3:13" x14ac:dyDescent="0.35">
      <c r="C51" s="40" t="s">
        <v>1314</v>
      </c>
      <c r="D51" s="306"/>
      <c r="E51" s="306"/>
      <c r="F51" s="306"/>
      <c r="G51" s="306"/>
      <c r="H51" s="306"/>
      <c r="I51" s="573">
        <f>SUM(F34:F36)</f>
        <v>0</v>
      </c>
      <c r="J51" s="573">
        <v>735</v>
      </c>
      <c r="K51" s="573">
        <f>SUM(I51:J51)</f>
        <v>735</v>
      </c>
      <c r="L51" s="573">
        <f>'8-10'!I56</f>
        <v>4786.6035737155271</v>
      </c>
      <c r="M51" s="36">
        <f>L51-K51</f>
        <v>4051.6035737155271</v>
      </c>
    </row>
    <row r="52" spans="3:13" x14ac:dyDescent="0.25">
      <c r="C52" s="72" t="s">
        <v>5</v>
      </c>
      <c r="D52" s="306"/>
      <c r="E52" s="1194" t="str">
        <f>E15</f>
        <v>As at 31 March 2025</v>
      </c>
      <c r="F52" s="1194"/>
      <c r="G52" s="1194" t="str">
        <f>G15</f>
        <v>As at 31 March 2024</v>
      </c>
      <c r="H52" s="1194"/>
      <c r="I52" s="36">
        <f>SUM(F43:F46)</f>
        <v>0</v>
      </c>
      <c r="J52" s="110">
        <v>170</v>
      </c>
      <c r="K52" s="36">
        <f t="shared" ref="K52" si="0">SUM(I52:J52)</f>
        <v>170</v>
      </c>
      <c r="L52" s="110">
        <f>BS!E56+BS!E58+BS!E57</f>
        <v>6411.550613917615</v>
      </c>
      <c r="M52" s="36">
        <f>L52-K52</f>
        <v>6241.550613917615</v>
      </c>
    </row>
    <row r="53" spans="3:13" x14ac:dyDescent="0.35">
      <c r="C53" s="306"/>
      <c r="E53" s="223" t="s">
        <v>1315</v>
      </c>
      <c r="F53" s="223" t="s">
        <v>1316</v>
      </c>
      <c r="G53" s="223" t="s">
        <v>1315</v>
      </c>
      <c r="H53" s="223" t="s">
        <v>1316</v>
      </c>
    </row>
    <row r="54" spans="3:13" x14ac:dyDescent="0.25">
      <c r="C54" s="110" t="s">
        <v>1308</v>
      </c>
      <c r="E54" s="17">
        <f>SUM(F17+F29+F34-F37-F43)*5%</f>
        <v>0</v>
      </c>
      <c r="F54" s="60">
        <f>-E54</f>
        <v>0</v>
      </c>
      <c r="G54" s="17">
        <v>52.933787483001758</v>
      </c>
      <c r="H54" s="17">
        <v>-52.933787483001758</v>
      </c>
    </row>
    <row r="55" spans="3:13" x14ac:dyDescent="0.25">
      <c r="C55" s="110" t="s">
        <v>1298</v>
      </c>
      <c r="E55" s="17">
        <f>SUM(F19+F30+F35-F42-F46)*5%</f>
        <v>0</v>
      </c>
      <c r="F55" s="60">
        <f t="shared" ref="F55:F66" si="1">-E55</f>
        <v>0</v>
      </c>
      <c r="G55" s="17">
        <v>73.727852138222488</v>
      </c>
      <c r="H55" s="17">
        <v>-73.727852138222488</v>
      </c>
      <c r="K55" s="414"/>
    </row>
    <row r="56" spans="3:13" x14ac:dyDescent="0.25">
      <c r="C56" s="110" t="s">
        <v>1297</v>
      </c>
      <c r="E56" s="17">
        <f>SUM(F18+F33+F36-F38-F44)*5%</f>
        <v>0</v>
      </c>
      <c r="F56" s="60">
        <f t="shared" si="1"/>
        <v>0</v>
      </c>
      <c r="G56" s="17">
        <v>6.337358469776035</v>
      </c>
      <c r="H56" s="17">
        <v>-6.337358469776035</v>
      </c>
    </row>
    <row r="57" spans="3:13" x14ac:dyDescent="0.25">
      <c r="C57" s="110" t="s">
        <v>1300</v>
      </c>
      <c r="E57" s="594">
        <f>SUM(F21+F31-F40-F45)*5%</f>
        <v>0</v>
      </c>
      <c r="F57" s="60">
        <f>-E57</f>
        <v>0</v>
      </c>
      <c r="G57" s="78" t="s">
        <v>174</v>
      </c>
      <c r="H57" s="78" t="s">
        <v>174</v>
      </c>
    </row>
    <row r="58" spans="3:13" x14ac:dyDescent="0.25">
      <c r="C58" s="310" t="s">
        <v>1302</v>
      </c>
      <c r="E58" s="78" t="s">
        <v>174</v>
      </c>
      <c r="F58" s="85" t="s">
        <v>174</v>
      </c>
      <c r="G58" s="78">
        <v>4.1628876946800002E-2</v>
      </c>
      <c r="H58" s="17">
        <v>-4.1628876946800002E-2</v>
      </c>
    </row>
    <row r="59" spans="3:13" x14ac:dyDescent="0.25">
      <c r="C59" s="110" t="s">
        <v>1303</v>
      </c>
      <c r="E59" s="17">
        <f>SUM(F24+F32)*5%</f>
        <v>0</v>
      </c>
      <c r="F59" s="60">
        <f t="shared" si="1"/>
        <v>0</v>
      </c>
      <c r="G59" s="78">
        <v>8.7536666978055013</v>
      </c>
      <c r="H59" s="78">
        <v>-8.7536666978055013</v>
      </c>
      <c r="K59" s="564"/>
    </row>
    <row r="60" spans="3:13" ht="13.5" x14ac:dyDescent="0.25">
      <c r="C60" s="306" t="s">
        <v>1317</v>
      </c>
      <c r="E60" s="17">
        <f>SUM(F25)*5%</f>
        <v>0</v>
      </c>
      <c r="F60" s="60">
        <f t="shared" si="1"/>
        <v>0</v>
      </c>
      <c r="G60" s="78">
        <v>1.4411247619200001E-2</v>
      </c>
      <c r="H60" s="78">
        <v>-1.4411247619200001E-2</v>
      </c>
    </row>
    <row r="61" spans="3:13" x14ac:dyDescent="0.25">
      <c r="C61" s="110" t="s">
        <v>1306</v>
      </c>
      <c r="E61" s="17">
        <v>0</v>
      </c>
      <c r="F61" s="60">
        <f t="shared" si="1"/>
        <v>0</v>
      </c>
      <c r="G61" s="78">
        <v>0.55345556475000002</v>
      </c>
      <c r="H61" s="78">
        <v>-0.55345556475000002</v>
      </c>
    </row>
    <row r="62" spans="3:13" x14ac:dyDescent="0.25">
      <c r="C62" s="306" t="s">
        <v>1299</v>
      </c>
      <c r="E62" s="17">
        <f>SUM(F20-F41)*5%</f>
        <v>0</v>
      </c>
      <c r="F62" s="60">
        <f t="shared" si="1"/>
        <v>0</v>
      </c>
      <c r="G62" s="78">
        <v>-0.71181720731171372</v>
      </c>
      <c r="H62" s="78">
        <v>0.71181720731171372</v>
      </c>
    </row>
    <row r="63" spans="3:13" ht="13.5" x14ac:dyDescent="0.25">
      <c r="C63" s="306" t="s">
        <v>1318</v>
      </c>
      <c r="E63" s="17">
        <f>SUM(F22)*5%</f>
        <v>0</v>
      </c>
      <c r="F63" s="60">
        <f t="shared" si="1"/>
        <v>0</v>
      </c>
      <c r="G63" s="78" t="s">
        <v>174</v>
      </c>
      <c r="H63" s="78" t="s">
        <v>174</v>
      </c>
    </row>
    <row r="64" spans="3:13" ht="13.5" x14ac:dyDescent="0.25">
      <c r="C64" s="306" t="s">
        <v>1319</v>
      </c>
      <c r="E64" s="17">
        <f>SUM(F26)*5%</f>
        <v>0</v>
      </c>
      <c r="F64" s="60">
        <f t="shared" si="1"/>
        <v>0</v>
      </c>
      <c r="G64" s="78" t="s">
        <v>174</v>
      </c>
      <c r="H64" s="78" t="s">
        <v>174</v>
      </c>
    </row>
    <row r="65" spans="1:8" ht="13.5" x14ac:dyDescent="0.25">
      <c r="C65" s="306" t="s">
        <v>1320</v>
      </c>
      <c r="E65" s="17">
        <f>-SUM(F39)*5%</f>
        <v>0</v>
      </c>
      <c r="F65" s="60">
        <f t="shared" si="1"/>
        <v>0</v>
      </c>
      <c r="G65" s="78" t="s">
        <v>174</v>
      </c>
      <c r="H65" s="78" t="s">
        <v>174</v>
      </c>
    </row>
    <row r="66" spans="1:8" ht="13.5" x14ac:dyDescent="0.25">
      <c r="C66" s="306" t="s">
        <v>1321</v>
      </c>
      <c r="E66" s="17">
        <f>SUM(F28)*5%</f>
        <v>0</v>
      </c>
      <c r="F66" s="60">
        <f t="shared" si="1"/>
        <v>0</v>
      </c>
      <c r="G66" s="78">
        <v>8.3768945530631522E-2</v>
      </c>
      <c r="H66" s="78">
        <v>-8.3768945530631522E-2</v>
      </c>
    </row>
    <row r="67" spans="1:8" ht="12" thickBot="1" x14ac:dyDescent="0.3">
      <c r="C67" s="306"/>
      <c r="E67" s="232">
        <f>SUM(E54:E66)</f>
        <v>0</v>
      </c>
      <c r="F67" s="232">
        <f>SUM(F54:F66)</f>
        <v>0</v>
      </c>
      <c r="G67" s="232">
        <f>SUM(G54:G66)</f>
        <v>141.73411221634069</v>
      </c>
      <c r="H67" s="232">
        <f>SUM(H54:H66)</f>
        <v>-141.73411221634069</v>
      </c>
    </row>
    <row r="68" spans="1:8" ht="15" thickTop="1" x14ac:dyDescent="0.35">
      <c r="C68" s="117" t="s">
        <v>802</v>
      </c>
      <c r="D68"/>
      <c r="E68" s="3"/>
      <c r="F68" s="3"/>
      <c r="G68" s="3"/>
      <c r="H68" s="3"/>
    </row>
    <row r="69" spans="1:8" x14ac:dyDescent="0.25">
      <c r="C69" s="306"/>
      <c r="E69" s="3"/>
      <c r="F69" s="3"/>
      <c r="G69" s="3"/>
      <c r="H69" s="3"/>
    </row>
    <row r="70" spans="1:8" x14ac:dyDescent="0.35">
      <c r="C70" s="40" t="s">
        <v>1322</v>
      </c>
    </row>
    <row r="71" spans="1:8" ht="25" customHeight="1" x14ac:dyDescent="0.35">
      <c r="C71" s="1101" t="s">
        <v>1323</v>
      </c>
      <c r="D71" s="1101"/>
      <c r="E71" s="1101"/>
      <c r="F71" s="1101"/>
      <c r="G71" s="1101"/>
      <c r="H71" s="1101"/>
    </row>
    <row r="72" spans="1:8" x14ac:dyDescent="0.35">
      <c r="B72" s="113" t="str">
        <f>B1</f>
        <v>Paladion Networks Private Limited</v>
      </c>
    </row>
    <row r="73" spans="1:8" x14ac:dyDescent="0.35">
      <c r="B73" s="113" t="str">
        <f>B2</f>
        <v>Summary of Material accounting policies and other explanatory information</v>
      </c>
      <c r="C73" s="34"/>
    </row>
    <row r="74" spans="1:8" ht="12" x14ac:dyDescent="0.35">
      <c r="B74" s="534" t="str">
        <f>B3</f>
        <v>(Amounts are stated in ₹ lakhs, except share and per share data, unless ottherwise stated)</v>
      </c>
      <c r="C74" s="34"/>
    </row>
    <row r="75" spans="1:8" x14ac:dyDescent="0.35">
      <c r="B75" s="40"/>
      <c r="C75" s="34"/>
    </row>
    <row r="76" spans="1:8" x14ac:dyDescent="0.35">
      <c r="A76" s="110">
        <f>A5</f>
        <v>32</v>
      </c>
      <c r="B76" s="40" t="str">
        <f>"Note "&amp;A76&amp;": Financial risk management (Contd.)"</f>
        <v>Note 32: Financial risk management (Contd.)</v>
      </c>
      <c r="C76" s="34"/>
    </row>
    <row r="77" spans="1:8" x14ac:dyDescent="0.35">
      <c r="B77" s="88"/>
      <c r="C77" s="34"/>
      <c r="H77" s="217"/>
    </row>
    <row r="78" spans="1:8" x14ac:dyDescent="0.35">
      <c r="B78" s="88" t="s">
        <v>255</v>
      </c>
      <c r="C78" s="34" t="s">
        <v>1324</v>
      </c>
    </row>
    <row r="79" spans="1:8" ht="27.65" customHeight="1" x14ac:dyDescent="0.35">
      <c r="C79" s="1101" t="s">
        <v>1325</v>
      </c>
      <c r="D79" s="1101"/>
      <c r="E79" s="1101"/>
      <c r="F79" s="1101"/>
      <c r="G79" s="1101"/>
      <c r="H79" s="1101"/>
    </row>
    <row r="80" spans="1:8" ht="40.5" customHeight="1" x14ac:dyDescent="0.35">
      <c r="C80" s="1101" t="s">
        <v>1326</v>
      </c>
      <c r="D80" s="1101"/>
      <c r="E80" s="1101"/>
      <c r="F80" s="1101"/>
      <c r="G80" s="1101"/>
      <c r="H80" s="1101"/>
    </row>
    <row r="81" spans="2:16" x14ac:dyDescent="0.35">
      <c r="C81" s="308"/>
      <c r="D81" s="308"/>
      <c r="E81" s="308"/>
      <c r="F81" s="308"/>
      <c r="G81" s="308"/>
      <c r="H81" s="308"/>
    </row>
    <row r="82" spans="2:16" x14ac:dyDescent="0.35">
      <c r="C82" s="34" t="s">
        <v>1327</v>
      </c>
      <c r="D82" s="308"/>
      <c r="E82" s="308"/>
      <c r="F82" s="308"/>
      <c r="G82" s="308"/>
      <c r="H82" s="308"/>
      <c r="K82" s="1101"/>
      <c r="L82" s="1101"/>
      <c r="M82" s="1101"/>
      <c r="N82" s="1101"/>
      <c r="O82" s="1101"/>
      <c r="P82" s="1101"/>
    </row>
    <row r="83" spans="2:16" ht="30.75" customHeight="1" x14ac:dyDescent="0.35">
      <c r="C83" s="1101" t="s">
        <v>1328</v>
      </c>
      <c r="D83" s="1101"/>
      <c r="E83" s="1101"/>
      <c r="F83" s="1101"/>
      <c r="G83" s="1101"/>
      <c r="H83" s="1101"/>
    </row>
    <row r="84" spans="2:16" s="54" customFormat="1" x14ac:dyDescent="0.35">
      <c r="B84" s="236"/>
      <c r="C84" s="598" t="s">
        <v>5</v>
      </c>
      <c r="D84" s="60"/>
      <c r="G84" s="600" t="str">
        <f>E15</f>
        <v>As at 31 March 2025</v>
      </c>
      <c r="H84" s="600" t="str">
        <f>G15</f>
        <v>As at 31 March 2024</v>
      </c>
      <c r="K84" s="1101"/>
      <c r="L84" s="1101"/>
      <c r="M84" s="1101"/>
      <c r="N84" s="1101"/>
      <c r="O84" s="1101"/>
      <c r="P84" s="1101"/>
    </row>
    <row r="85" spans="2:16" x14ac:dyDescent="0.35">
      <c r="C85" s="110" t="s">
        <v>23</v>
      </c>
      <c r="D85" s="36"/>
      <c r="G85" s="409"/>
      <c r="H85" s="409"/>
    </row>
    <row r="86" spans="2:16" x14ac:dyDescent="0.35">
      <c r="C86" s="460" t="s">
        <v>1329</v>
      </c>
      <c r="D86" s="36"/>
      <c r="G86" s="36">
        <f>'8-10'!I9</f>
        <v>5197.8105100000002</v>
      </c>
      <c r="H86" s="36">
        <f>'8-10'!J9</f>
        <v>8621.0490300000001</v>
      </c>
    </row>
    <row r="87" spans="2:16" x14ac:dyDescent="0.35">
      <c r="C87" s="540" t="s">
        <v>310</v>
      </c>
      <c r="D87" s="308"/>
      <c r="E87" s="308"/>
      <c r="F87" s="308"/>
      <c r="G87" s="177">
        <f>'8-10'!$I$10</f>
        <v>785.99306730294109</v>
      </c>
      <c r="H87" s="177">
        <f>'8-10'!J10</f>
        <v>1239.7168015006769</v>
      </c>
    </row>
    <row r="88" spans="2:16" x14ac:dyDescent="0.35">
      <c r="C88" s="110" t="s">
        <v>560</v>
      </c>
      <c r="D88" s="36"/>
      <c r="G88" s="410"/>
      <c r="H88" s="410"/>
    </row>
    <row r="89" spans="2:16" x14ac:dyDescent="0.35">
      <c r="C89" s="460" t="s">
        <v>1329</v>
      </c>
      <c r="D89" s="36"/>
      <c r="G89" s="36">
        <f>'8-10'!I14</f>
        <v>3035.9980449973805</v>
      </c>
      <c r="H89" s="36">
        <f>'8-10'!J14</f>
        <v>1532.66326</v>
      </c>
    </row>
    <row r="90" spans="2:16" x14ac:dyDescent="0.35">
      <c r="C90" s="460" t="s">
        <v>310</v>
      </c>
      <c r="D90" s="36"/>
      <c r="G90" s="36">
        <f>'8-10'!I15</f>
        <v>330.56030242975532</v>
      </c>
      <c r="H90" s="36">
        <f>'8-10'!J15</f>
        <v>345.50069576600998</v>
      </c>
    </row>
    <row r="91" spans="2:16" s="34" customFormat="1" ht="12" thickBot="1" x14ac:dyDescent="0.4">
      <c r="B91" s="88"/>
      <c r="C91" s="353" t="s">
        <v>100</v>
      </c>
      <c r="D91" s="353"/>
      <c r="E91" s="353"/>
      <c r="F91" s="353"/>
      <c r="G91" s="541">
        <f>SUM(G86:G90)</f>
        <v>9350.3619247300776</v>
      </c>
      <c r="H91" s="541">
        <f>SUM(H86:H90)</f>
        <v>11738.929787266687</v>
      </c>
    </row>
    <row r="92" spans="2:16" ht="12" thickTop="1" x14ac:dyDescent="0.35">
      <c r="C92" s="310"/>
      <c r="D92" s="308"/>
      <c r="E92" s="308"/>
      <c r="F92" s="308"/>
      <c r="G92" s="308"/>
      <c r="H92" s="308"/>
    </row>
    <row r="93" spans="2:16" x14ac:dyDescent="0.35">
      <c r="B93" s="88" t="s">
        <v>257</v>
      </c>
      <c r="C93" s="184" t="s">
        <v>1330</v>
      </c>
    </row>
    <row r="94" spans="2:16" ht="60" customHeight="1" x14ac:dyDescent="0.35">
      <c r="C94" s="1101" t="s">
        <v>1331</v>
      </c>
      <c r="D94" s="1101"/>
      <c r="E94" s="1101"/>
      <c r="F94" s="1101"/>
      <c r="G94" s="1101"/>
      <c r="H94" s="1101"/>
    </row>
    <row r="95" spans="2:16" x14ac:dyDescent="0.35">
      <c r="C95" s="306"/>
      <c r="D95" s="306"/>
      <c r="E95" s="306"/>
      <c r="F95" s="306"/>
      <c r="G95" s="306"/>
      <c r="H95" s="306"/>
    </row>
    <row r="96" spans="2:16" s="210" customFormat="1" x14ac:dyDescent="0.35">
      <c r="C96" s="40" t="s">
        <v>5</v>
      </c>
      <c r="D96" s="472" t="s">
        <v>1332</v>
      </c>
      <c r="E96" s="472" t="s">
        <v>484</v>
      </c>
      <c r="F96" s="472" t="s">
        <v>1333</v>
      </c>
      <c r="G96" s="411" t="s">
        <v>1334</v>
      </c>
      <c r="H96" s="412" t="s">
        <v>100</v>
      </c>
    </row>
    <row r="97" spans="1:8" x14ac:dyDescent="0.35">
      <c r="C97" s="34" t="s">
        <v>1335</v>
      </c>
      <c r="D97" s="34"/>
      <c r="E97" s="34"/>
      <c r="F97" s="34"/>
      <c r="G97" s="413"/>
      <c r="H97" s="413"/>
    </row>
    <row r="98" spans="1:8" x14ac:dyDescent="0.35">
      <c r="C98" s="542" t="s">
        <v>43</v>
      </c>
      <c r="D98" s="473">
        <v>0</v>
      </c>
      <c r="E98" s="469">
        <f>'14-16'!E26</f>
        <v>2941.8862457770788</v>
      </c>
      <c r="F98" s="469">
        <f>SUM('14-16'!F26:I26)</f>
        <v>735.20273622439925</v>
      </c>
      <c r="G98" s="469">
        <v>0</v>
      </c>
      <c r="H98" s="474">
        <f>SUM(D98:G98)</f>
        <v>3677.0889820014781</v>
      </c>
    </row>
    <row r="99" spans="1:8" x14ac:dyDescent="0.35">
      <c r="C99" s="543" t="s">
        <v>46</v>
      </c>
      <c r="D99" s="473">
        <v>0</v>
      </c>
      <c r="E99" s="469">
        <f>BS!E52</f>
        <v>326.74237397969301</v>
      </c>
      <c r="F99" s="469">
        <f>BS!E46</f>
        <v>691.50412059067753</v>
      </c>
      <c r="G99" s="475">
        <v>0</v>
      </c>
      <c r="H99" s="474">
        <f>SUM(D99:G99)</f>
        <v>1018.2464945703705</v>
      </c>
    </row>
    <row r="100" spans="1:8" s="34" customFormat="1" x14ac:dyDescent="0.35">
      <c r="B100" s="88"/>
      <c r="C100" s="544" t="s">
        <v>66</v>
      </c>
      <c r="D100" s="632">
        <f>SUM(D98:D99)</f>
        <v>0</v>
      </c>
      <c r="E100" s="632">
        <f>SUM(E98:E99)</f>
        <v>3268.628619756772</v>
      </c>
      <c r="F100" s="632">
        <f>SUM(F98:F99)</f>
        <v>1426.7068568150767</v>
      </c>
      <c r="G100" s="632">
        <f>SUM(G98:G99)</f>
        <v>0</v>
      </c>
      <c r="H100" s="632">
        <f>SUM(H98:H99)</f>
        <v>4695.3354765718486</v>
      </c>
    </row>
    <row r="101" spans="1:8" x14ac:dyDescent="0.35">
      <c r="C101" s="306"/>
      <c r="D101" s="306"/>
      <c r="E101" s="306"/>
      <c r="F101" s="306"/>
      <c r="G101" s="306"/>
      <c r="H101" s="306"/>
    </row>
    <row r="102" spans="1:8" x14ac:dyDescent="0.35">
      <c r="C102" s="34" t="s">
        <v>1336</v>
      </c>
      <c r="D102" s="34"/>
      <c r="E102" s="34"/>
      <c r="F102" s="34"/>
      <c r="G102" s="413"/>
      <c r="H102" s="413"/>
    </row>
    <row r="103" spans="1:8" x14ac:dyDescent="0.35">
      <c r="C103" s="542" t="s">
        <v>43</v>
      </c>
      <c r="D103" s="476">
        <v>0</v>
      </c>
      <c r="E103" s="36">
        <v>3564.8765228607899</v>
      </c>
      <c r="F103" s="469">
        <v>1541.2564033675494</v>
      </c>
      <c r="G103" s="469">
        <v>0</v>
      </c>
      <c r="H103" s="153">
        <f>SUM(D103:G103)</f>
        <v>5106.1329262283398</v>
      </c>
    </row>
    <row r="104" spans="1:8" x14ac:dyDescent="0.35">
      <c r="C104" s="543" t="s">
        <v>46</v>
      </c>
      <c r="D104" s="476">
        <v>0</v>
      </c>
      <c r="E104" s="476">
        <v>163.286687625393</v>
      </c>
      <c r="F104" s="476">
        <v>114.71793233939727</v>
      </c>
      <c r="G104" s="469">
        <v>0</v>
      </c>
      <c r="H104" s="153">
        <f>SUM(D104:G104)</f>
        <v>278.00461996479027</v>
      </c>
    </row>
    <row r="105" spans="1:8" s="34" customFormat="1" x14ac:dyDescent="0.35">
      <c r="B105" s="88"/>
      <c r="C105" s="544" t="s">
        <v>100</v>
      </c>
      <c r="D105" s="630">
        <f>SUM(D103:D104)</f>
        <v>0</v>
      </c>
      <c r="E105" s="630">
        <f>SUM(E103:E104)</f>
        <v>3728.1632104861828</v>
      </c>
      <c r="F105" s="630">
        <f>SUM(F103:F104)</f>
        <v>1655.9743357069467</v>
      </c>
      <c r="G105" s="631">
        <f>SUM(G103:G104)</f>
        <v>0</v>
      </c>
      <c r="H105" s="630">
        <f>SUM(H103:H104)</f>
        <v>5384.1375461931302</v>
      </c>
    </row>
    <row r="106" spans="1:8" s="34" customFormat="1" x14ac:dyDescent="0.35">
      <c r="B106" s="88"/>
      <c r="C106" s="544"/>
      <c r="D106" s="477"/>
      <c r="E106" s="477"/>
      <c r="F106" s="477"/>
      <c r="G106" s="477"/>
      <c r="H106" s="477"/>
    </row>
    <row r="109" spans="1:8" s="391" customFormat="1" ht="15" customHeight="1" x14ac:dyDescent="0.25">
      <c r="A109" s="391">
        <f>A5+1</f>
        <v>33</v>
      </c>
      <c r="B109" s="41" t="str">
        <f>"Note "&amp;A109&amp;": Contingent liabilities and capital commitments"</f>
        <v>Note 33: Contingent liabilities and capital commitments</v>
      </c>
      <c r="C109" s="400"/>
      <c r="D109" s="400"/>
      <c r="E109" s="478"/>
      <c r="F109" s="478"/>
    </row>
    <row r="110" spans="1:8" s="391" customFormat="1" x14ac:dyDescent="0.25">
      <c r="B110" s="48"/>
      <c r="C110" s="405"/>
      <c r="G110" s="599" t="str">
        <f>E15</f>
        <v>As at 31 March 2025</v>
      </c>
      <c r="H110" s="599" t="str">
        <f>G15</f>
        <v>As at 31 March 2024</v>
      </c>
    </row>
    <row r="111" spans="1:8" s="391" customFormat="1" x14ac:dyDescent="0.25">
      <c r="B111" s="479" t="s">
        <v>1337</v>
      </c>
      <c r="C111" s="48" t="s">
        <v>415</v>
      </c>
      <c r="G111" s="48"/>
      <c r="H111" s="480"/>
    </row>
    <row r="112" spans="1:8" s="50" customFormat="1" x14ac:dyDescent="0.35">
      <c r="B112" s="481"/>
      <c r="C112" s="1193" t="s">
        <v>1338</v>
      </c>
      <c r="D112" s="1193"/>
      <c r="E112" s="1193"/>
      <c r="G112" s="64"/>
      <c r="H112" s="64"/>
    </row>
    <row r="113" spans="2:8" s="391" customFormat="1" x14ac:dyDescent="0.25">
      <c r="B113" s="481"/>
      <c r="C113" s="1199" t="s">
        <v>1339</v>
      </c>
      <c r="D113" s="1200"/>
      <c r="E113" s="1200"/>
      <c r="G113" s="60">
        <v>168.22611000000001</v>
      </c>
      <c r="H113" s="60">
        <v>168.22611000000001</v>
      </c>
    </row>
    <row r="114" spans="2:8" s="391" customFormat="1" x14ac:dyDescent="0.25">
      <c r="B114" s="48"/>
      <c r="C114" s="462" t="s">
        <v>1340</v>
      </c>
      <c r="G114" s="60">
        <f>2906175/10^5</f>
        <v>29.06175</v>
      </c>
      <c r="H114" s="60">
        <v>29.06175</v>
      </c>
    </row>
    <row r="115" spans="2:8" s="391" customFormat="1" x14ac:dyDescent="0.25">
      <c r="B115" s="48"/>
      <c r="C115" s="462"/>
      <c r="G115" s="60"/>
      <c r="H115" s="60"/>
    </row>
    <row r="116" spans="2:8" s="391" customFormat="1" ht="23" x14ac:dyDescent="0.25">
      <c r="B116" s="48"/>
      <c r="C116" s="405" t="s">
        <v>1341</v>
      </c>
      <c r="G116" s="633" t="s">
        <v>1342</v>
      </c>
      <c r="H116" s="633" t="s">
        <v>1342</v>
      </c>
    </row>
    <row r="117" spans="2:8" s="391" customFormat="1" ht="12" hidden="1" thickBot="1" x14ac:dyDescent="0.3">
      <c r="B117" s="48"/>
      <c r="C117" s="48"/>
      <c r="G117" s="482">
        <f>SUM(G112:G116)</f>
        <v>197.28785999999999</v>
      </c>
      <c r="H117" s="482">
        <f>SUM(H112:H116)</f>
        <v>197.28785999999999</v>
      </c>
    </row>
    <row r="118" spans="2:8" s="391" customFormat="1" ht="37.4" customHeight="1" x14ac:dyDescent="0.25">
      <c r="B118" s="48"/>
      <c r="C118" s="1201" t="s">
        <v>1343</v>
      </c>
      <c r="D118" s="1201"/>
      <c r="E118" s="1201"/>
      <c r="F118" s="1201"/>
      <c r="G118" s="1201"/>
      <c r="H118" s="1201"/>
    </row>
    <row r="119" spans="2:8" s="391" customFormat="1" x14ac:dyDescent="0.25">
      <c r="B119" s="48"/>
      <c r="C119" s="461"/>
      <c r="G119" s="461"/>
      <c r="H119" s="461"/>
    </row>
    <row r="120" spans="2:8" ht="160.4" customHeight="1" x14ac:dyDescent="0.35">
      <c r="B120" s="88"/>
      <c r="C120" s="1204" t="s">
        <v>1344</v>
      </c>
      <c r="D120" s="1204"/>
      <c r="E120" s="1204"/>
      <c r="F120" s="1204"/>
      <c r="G120" s="1204"/>
      <c r="H120" s="1204"/>
    </row>
    <row r="121" spans="2:8" x14ac:dyDescent="0.35">
      <c r="B121" s="1109" t="s">
        <v>601</v>
      </c>
      <c r="C121" s="1109"/>
      <c r="D121" s="1109"/>
      <c r="E121" s="1109"/>
      <c r="F121" s="1109"/>
      <c r="G121" s="1109"/>
      <c r="H121" s="1109"/>
    </row>
    <row r="122" spans="2:8" ht="160.4" customHeight="1" x14ac:dyDescent="0.35">
      <c r="B122" s="88"/>
      <c r="C122" s="306"/>
      <c r="D122" s="306"/>
      <c r="E122" s="306"/>
      <c r="F122" s="306"/>
      <c r="G122" s="306"/>
      <c r="H122" s="306"/>
    </row>
    <row r="123" spans="2:8" x14ac:dyDescent="0.35">
      <c r="B123" s="88"/>
      <c r="C123" s="306"/>
      <c r="D123" s="306"/>
      <c r="E123" s="306"/>
      <c r="F123" s="306"/>
      <c r="G123" s="306"/>
      <c r="H123" s="306"/>
    </row>
    <row r="124" spans="2:8" s="391" customFormat="1" hidden="1" x14ac:dyDescent="0.25">
      <c r="B124" s="479" t="s">
        <v>1345</v>
      </c>
      <c r="C124" s="48" t="s">
        <v>1346</v>
      </c>
      <c r="G124" s="483"/>
      <c r="H124" s="60"/>
    </row>
    <row r="125" spans="2:8" s="50" customFormat="1" ht="45" hidden="1" customHeight="1" x14ac:dyDescent="0.35">
      <c r="B125" s="484"/>
      <c r="C125" s="1202" t="s">
        <v>1347</v>
      </c>
      <c r="D125" s="1202"/>
      <c r="E125" s="1202"/>
      <c r="G125" s="64">
        <v>0</v>
      </c>
      <c r="H125" s="64">
        <v>0</v>
      </c>
    </row>
    <row r="126" spans="2:8" s="50" customFormat="1" ht="25.4" hidden="1" customHeight="1" x14ac:dyDescent="0.35">
      <c r="B126" s="484"/>
      <c r="C126" s="1203" t="s">
        <v>1348</v>
      </c>
      <c r="D126" s="1203"/>
      <c r="E126" s="1203"/>
      <c r="F126" s="1203"/>
      <c r="G126" s="64">
        <v>0</v>
      </c>
      <c r="H126" s="60">
        <v>0</v>
      </c>
    </row>
    <row r="127" spans="2:8" s="391" customFormat="1" hidden="1" x14ac:dyDescent="0.25">
      <c r="B127" s="481"/>
      <c r="C127" s="485"/>
      <c r="G127" s="486"/>
      <c r="H127" s="361"/>
    </row>
    <row r="128" spans="2:8" s="391" customFormat="1" ht="12" hidden="1" thickBot="1" x14ac:dyDescent="0.3">
      <c r="B128" s="481"/>
      <c r="C128" s="485"/>
      <c r="G128" s="482">
        <f>SUM(G125:G126)</f>
        <v>0</v>
      </c>
      <c r="H128" s="482">
        <f>SUM(H125:H126)</f>
        <v>0</v>
      </c>
    </row>
    <row r="129" spans="2:8" s="391" customFormat="1" x14ac:dyDescent="0.25">
      <c r="B129" s="481"/>
      <c r="C129" s="485"/>
      <c r="D129" s="360"/>
      <c r="E129" s="360"/>
      <c r="F129" s="360"/>
    </row>
    <row r="134" spans="2:8" x14ac:dyDescent="0.35">
      <c r="B134" s="1109" t="s">
        <v>601</v>
      </c>
      <c r="C134" s="1109"/>
      <c r="D134" s="1109"/>
      <c r="E134" s="1109"/>
      <c r="F134" s="1109"/>
      <c r="G134" s="1109"/>
      <c r="H134" s="1109"/>
    </row>
  </sheetData>
  <mergeCells count="28">
    <mergeCell ref="C113:E113"/>
    <mergeCell ref="C118:H118"/>
    <mergeCell ref="C125:E125"/>
    <mergeCell ref="B134:H134"/>
    <mergeCell ref="C126:F126"/>
    <mergeCell ref="C120:H120"/>
    <mergeCell ref="B121:H121"/>
    <mergeCell ref="C6:H6"/>
    <mergeCell ref="C7:E7"/>
    <mergeCell ref="C9:H9"/>
    <mergeCell ref="C12:H12"/>
    <mergeCell ref="C13:E13"/>
    <mergeCell ref="C14:H14"/>
    <mergeCell ref="C15:C16"/>
    <mergeCell ref="D15:D16"/>
    <mergeCell ref="E15:F15"/>
    <mergeCell ref="G15:H15"/>
    <mergeCell ref="C112:E112"/>
    <mergeCell ref="C79:H79"/>
    <mergeCell ref="G52:H52"/>
    <mergeCell ref="E52:F52"/>
    <mergeCell ref="C80:H80"/>
    <mergeCell ref="C83:H83"/>
    <mergeCell ref="K82:P82"/>
    <mergeCell ref="K84:P84"/>
    <mergeCell ref="C94:H94"/>
    <mergeCell ref="C49:H49"/>
    <mergeCell ref="C71:H71"/>
  </mergeCells>
  <pageMargins left="0.23622047244094491" right="0.23622047244094491" top="0.74803149606299213" bottom="0.74803149606299213" header="0.31496062992125984" footer="0.31496062992125984"/>
  <pageSetup paperSize="9" scale="77" firstPageNumber="37" orientation="portrait" r:id="rId1"/>
  <rowBreaks count="1" manualBreakCount="1">
    <brk id="71" min="1" max="7"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EC6DE-E4C0-4E31-899A-2929E979A314}">
  <sheetPr>
    <tabColor rgb="FF7030A0"/>
  </sheetPr>
  <dimension ref="A1:Q170"/>
  <sheetViews>
    <sheetView showGridLines="0" view="pageBreakPreview" zoomScale="90" zoomScaleNormal="100" zoomScaleSheetLayoutView="90" workbookViewId="0">
      <selection activeCell="B1" sqref="B1"/>
    </sheetView>
  </sheetViews>
  <sheetFormatPr defaultColWidth="9.1796875" defaultRowHeight="11.5" x14ac:dyDescent="0.25"/>
  <cols>
    <col min="1" max="1" width="3.1796875" style="19" customWidth="1"/>
    <col min="2" max="2" width="15" style="19" customWidth="1"/>
    <col min="3" max="3" width="17.54296875" style="19" customWidth="1"/>
    <col min="4" max="5" width="22.1796875" style="19" customWidth="1"/>
    <col min="6" max="8" width="15.1796875" style="19" customWidth="1"/>
    <col min="9" max="11" width="9.1796875" style="19"/>
    <col min="12" max="12" width="10.453125" style="19" bestFit="1" customWidth="1"/>
    <col min="13" max="16384" width="9.1796875" style="19"/>
  </cols>
  <sheetData>
    <row r="1" spans="1:8" s="390" customFormat="1" x14ac:dyDescent="0.25">
      <c r="B1" s="364" t="str">
        <f>'3-4'!B1</f>
        <v>Paladion Networks Private Limited</v>
      </c>
      <c r="C1" s="391"/>
      <c r="D1" s="391"/>
      <c r="E1" s="391"/>
      <c r="F1" s="391"/>
      <c r="G1" s="391"/>
      <c r="H1" s="391"/>
    </row>
    <row r="2" spans="1:8" s="390" customFormat="1" x14ac:dyDescent="0.25">
      <c r="B2" s="364" t="str">
        <f>'3-4'!B2</f>
        <v>Summary of Material accounting policies and other explanatory information</v>
      </c>
      <c r="C2" s="391"/>
      <c r="D2" s="391"/>
      <c r="E2" s="391"/>
      <c r="F2" s="391"/>
      <c r="G2" s="391"/>
      <c r="H2" s="391"/>
    </row>
    <row r="3" spans="1:8" s="390" customFormat="1" ht="12" x14ac:dyDescent="0.3">
      <c r="B3" s="454" t="str">
        <f>'3-4'!B3</f>
        <v>(Amounts are stated in ₹ lakhs, except share and per share data, unless ottherwise stated)</v>
      </c>
      <c r="C3" s="391"/>
      <c r="D3" s="391"/>
      <c r="E3" s="391"/>
      <c r="F3" s="391"/>
      <c r="G3" s="361"/>
      <c r="H3" s="361"/>
    </row>
    <row r="4" spans="1:8" s="390" customFormat="1" x14ac:dyDescent="0.25">
      <c r="B4" s="391"/>
      <c r="C4" s="391"/>
      <c r="D4" s="391"/>
      <c r="E4" s="391"/>
      <c r="F4" s="391"/>
      <c r="G4" s="361"/>
      <c r="H4" s="361"/>
    </row>
    <row r="5" spans="1:8" s="390" customFormat="1" hidden="1" x14ac:dyDescent="0.25">
      <c r="B5" s="169" t="s">
        <v>1349</v>
      </c>
      <c r="C5" s="772"/>
      <c r="D5" s="772"/>
      <c r="E5" s="772"/>
      <c r="F5" s="772"/>
      <c r="G5" s="772"/>
      <c r="H5" s="772"/>
    </row>
    <row r="6" spans="1:8" s="390" customFormat="1" hidden="1" x14ac:dyDescent="0.25">
      <c r="B6" s="1213" t="s">
        <v>1350</v>
      </c>
      <c r="C6" s="1213"/>
      <c r="D6" s="1213"/>
      <c r="E6" s="1213"/>
      <c r="F6" s="1213"/>
      <c r="G6" s="1213"/>
      <c r="H6" s="1213"/>
    </row>
    <row r="7" spans="1:8" s="390" customFormat="1" hidden="1" x14ac:dyDescent="0.25">
      <c r="G7" s="43"/>
      <c r="H7" s="43"/>
    </row>
    <row r="8" spans="1:8" s="392" customFormat="1" hidden="1" x14ac:dyDescent="0.25">
      <c r="B8" s="392" t="s">
        <v>1351</v>
      </c>
      <c r="G8" s="166"/>
      <c r="H8" s="166"/>
    </row>
    <row r="9" spans="1:8" s="392" customFormat="1" hidden="1" x14ac:dyDescent="0.25">
      <c r="B9" s="1213" t="s">
        <v>1352</v>
      </c>
      <c r="C9" s="1213"/>
      <c r="D9" s="1213"/>
      <c r="E9" s="1213"/>
      <c r="F9" s="1213"/>
      <c r="G9" s="1213"/>
      <c r="H9" s="1213"/>
    </row>
    <row r="10" spans="1:8" s="390" customFormat="1" hidden="1" x14ac:dyDescent="0.25">
      <c r="A10" s="390" t="s">
        <v>188</v>
      </c>
      <c r="G10" s="43"/>
      <c r="H10" s="43"/>
    </row>
    <row r="11" spans="1:8" s="392" customFormat="1" hidden="1" x14ac:dyDescent="0.25">
      <c r="B11" s="392" t="s">
        <v>1353</v>
      </c>
      <c r="G11" s="166"/>
      <c r="H11" s="166"/>
    </row>
    <row r="12" spans="1:8" s="390" customFormat="1" hidden="1" x14ac:dyDescent="0.25">
      <c r="B12" s="170" t="s">
        <v>1354</v>
      </c>
      <c r="G12" s="43"/>
      <c r="H12" s="43"/>
    </row>
    <row r="13" spans="1:8" s="390" customFormat="1" hidden="1" x14ac:dyDescent="0.25">
      <c r="G13" s="43"/>
      <c r="H13" s="43"/>
    </row>
    <row r="14" spans="1:8" s="390" customFormat="1" hidden="1" x14ac:dyDescent="0.25">
      <c r="B14" s="1214" t="s">
        <v>1355</v>
      </c>
      <c r="C14" s="1214"/>
      <c r="D14" s="1214"/>
      <c r="E14" s="1214"/>
      <c r="F14" s="1214"/>
      <c r="G14" s="1214"/>
      <c r="H14" s="1214"/>
    </row>
    <row r="15" spans="1:8" s="390" customFormat="1" hidden="1" x14ac:dyDescent="0.25">
      <c r="B15" s="1215" t="s">
        <v>1356</v>
      </c>
      <c r="C15" s="1215"/>
      <c r="D15" s="1215"/>
      <c r="E15" s="1215"/>
      <c r="F15" s="1215"/>
      <c r="G15" s="1215"/>
      <c r="H15" s="1215"/>
    </row>
    <row r="16" spans="1:8" s="390" customFormat="1" hidden="1" x14ac:dyDescent="0.25">
      <c r="B16" s="772"/>
      <c r="C16" s="772"/>
      <c r="D16" s="772"/>
      <c r="E16" s="772"/>
      <c r="F16" s="772"/>
      <c r="G16" s="772"/>
      <c r="H16" s="772"/>
    </row>
    <row r="17" spans="1:8" s="390" customFormat="1" hidden="1" x14ac:dyDescent="0.25">
      <c r="B17" s="390" t="s">
        <v>1357</v>
      </c>
    </row>
    <row r="18" spans="1:8" s="390" customFormat="1" hidden="1" x14ac:dyDescent="0.25">
      <c r="B18" s="393"/>
      <c r="C18" s="393"/>
      <c r="D18" s="393"/>
      <c r="E18" s="394"/>
      <c r="F18" s="394"/>
      <c r="G18" s="394"/>
      <c r="H18" s="394"/>
    </row>
    <row r="19" spans="1:8" s="390" customFormat="1" hidden="1" x14ac:dyDescent="0.25">
      <c r="B19" s="393"/>
      <c r="C19" s="393"/>
      <c r="D19" s="393"/>
      <c r="E19" s="394"/>
      <c r="F19" s="394"/>
      <c r="G19" s="394"/>
      <c r="H19" s="394"/>
    </row>
    <row r="20" spans="1:8" s="395" customFormat="1" x14ac:dyDescent="0.25">
      <c r="A20" s="395">
        <f>'32-33 FRM'!A109+1</f>
        <v>34</v>
      </c>
      <c r="B20" s="39" t="str">
        <f>"Note "&amp;A20&amp;":"&amp;" "&amp;"Events after the reporting period"</f>
        <v>Note 34: Events after the reporting period</v>
      </c>
      <c r="C20" s="396"/>
      <c r="D20" s="396"/>
      <c r="E20" s="397"/>
      <c r="F20" s="397"/>
      <c r="G20" s="397"/>
      <c r="H20" s="397"/>
    </row>
    <row r="21" spans="1:8" s="395" customFormat="1" ht="30" customHeight="1" x14ac:dyDescent="0.25">
      <c r="B21" s="1121" t="s">
        <v>1358</v>
      </c>
      <c r="C21" s="1121"/>
      <c r="D21" s="1121"/>
      <c r="E21" s="1121"/>
      <c r="F21" s="1121"/>
      <c r="G21" s="1121"/>
      <c r="H21" s="1121"/>
    </row>
    <row r="22" spans="1:8" s="390" customFormat="1" x14ac:dyDescent="0.25">
      <c r="B22" s="393"/>
      <c r="C22" s="393"/>
      <c r="D22" s="393"/>
      <c r="E22" s="394"/>
      <c r="F22" s="394"/>
      <c r="G22" s="394"/>
      <c r="H22" s="394"/>
    </row>
    <row r="23" spans="1:8" x14ac:dyDescent="0.25">
      <c r="A23" s="19">
        <f>A20+1</f>
        <v>35</v>
      </c>
      <c r="B23" s="39" t="str">
        <f>"Note "&amp;A23&amp;":"&amp;" Previous year figures"</f>
        <v>Note 35: Previous year figures</v>
      </c>
      <c r="C23" s="396"/>
      <c r="D23" s="396"/>
      <c r="E23" s="397"/>
      <c r="F23" s="397"/>
      <c r="G23" s="397"/>
      <c r="H23" s="397"/>
    </row>
    <row r="24" spans="1:8" x14ac:dyDescent="0.25">
      <c r="B24" s="19" t="s">
        <v>1359</v>
      </c>
      <c r="C24" s="396"/>
      <c r="D24" s="396"/>
      <c r="E24" s="397"/>
      <c r="F24" s="397"/>
      <c r="G24" s="397"/>
      <c r="H24" s="397"/>
    </row>
    <row r="25" spans="1:8" x14ac:dyDescent="0.25">
      <c r="C25" s="396"/>
      <c r="D25" s="396"/>
      <c r="E25" s="397"/>
      <c r="F25" s="397"/>
      <c r="G25" s="397"/>
      <c r="H25" s="397"/>
    </row>
    <row r="26" spans="1:8" x14ac:dyDescent="0.25">
      <c r="A26" s="390">
        <f>A23+1</f>
        <v>36</v>
      </c>
      <c r="B26" s="364" t="str">
        <f>"Note "&amp;A26&amp;":"</f>
        <v>Note 36:</v>
      </c>
      <c r="C26" s="396"/>
      <c r="D26" s="396"/>
      <c r="E26" s="397"/>
      <c r="F26" s="397"/>
      <c r="G26" s="397"/>
      <c r="H26" s="397"/>
    </row>
    <row r="27" spans="1:8" ht="55.5" customHeight="1" x14ac:dyDescent="0.25">
      <c r="B27" s="1121" t="s">
        <v>1360</v>
      </c>
      <c r="C27" s="1121"/>
      <c r="D27" s="1121"/>
      <c r="E27" s="1121"/>
      <c r="F27" s="1121"/>
      <c r="G27" s="1121"/>
      <c r="H27" s="1121"/>
    </row>
    <row r="28" spans="1:8" ht="11.9" customHeight="1" x14ac:dyDescent="0.25">
      <c r="B28" s="518"/>
      <c r="C28" s="518"/>
      <c r="D28" s="518"/>
      <c r="E28" s="518"/>
      <c r="F28" s="518"/>
      <c r="G28" s="518"/>
      <c r="H28" s="518"/>
    </row>
    <row r="29" spans="1:8" s="390" customFormat="1" x14ac:dyDescent="0.25">
      <c r="A29" s="390">
        <f>A26+1</f>
        <v>37</v>
      </c>
      <c r="B29" s="364" t="str">
        <f>"Note "&amp;A29&amp;":"&amp;" Ratio analysis and its elements"</f>
        <v>Note 37: Ratio analysis and its elements</v>
      </c>
      <c r="C29" s="393"/>
      <c r="D29" s="393"/>
      <c r="E29" s="394"/>
      <c r="F29" s="394"/>
      <c r="G29" s="394"/>
      <c r="H29" s="394"/>
    </row>
    <row r="30" spans="1:8" s="390" customFormat="1" x14ac:dyDescent="0.25">
      <c r="B30" s="82" t="s">
        <v>1361</v>
      </c>
      <c r="C30" s="315"/>
      <c r="D30" s="315"/>
      <c r="E30" s="315"/>
      <c r="F30" s="315"/>
      <c r="G30" s="315"/>
      <c r="H30" s="315"/>
    </row>
    <row r="31" spans="1:8" s="390" customFormat="1" x14ac:dyDescent="0.25">
      <c r="B31" s="82"/>
      <c r="C31" s="315"/>
      <c r="D31" s="315"/>
      <c r="E31" s="19"/>
      <c r="F31" s="1216"/>
      <c r="G31" s="1216"/>
      <c r="H31" s="315"/>
    </row>
    <row r="32" spans="1:8" s="392" customFormat="1" ht="37" customHeight="1" x14ac:dyDescent="0.25">
      <c r="B32" s="820" t="s">
        <v>1362</v>
      </c>
      <c r="C32" s="820"/>
      <c r="D32" s="820" t="s">
        <v>1363</v>
      </c>
      <c r="E32" s="820" t="s">
        <v>1364</v>
      </c>
      <c r="F32" s="616" t="str">
        <f>F104</f>
        <v>As at 
31 March 2025</v>
      </c>
      <c r="G32" s="616" t="str">
        <f>G104</f>
        <v>As at 
31 March 2024</v>
      </c>
      <c r="H32" s="538" t="s">
        <v>1365</v>
      </c>
    </row>
    <row r="33" spans="2:8" s="170" customFormat="1" hidden="1" x14ac:dyDescent="0.35">
      <c r="B33" s="311"/>
      <c r="C33" s="311"/>
      <c r="D33" s="311"/>
      <c r="E33" s="311"/>
      <c r="F33" s="117"/>
      <c r="G33" s="117"/>
      <c r="H33" s="117"/>
    </row>
    <row r="34" spans="2:8" s="398" customFormat="1" ht="23.15" customHeight="1" x14ac:dyDescent="0.35">
      <c r="B34" s="1121" t="s">
        <v>1366</v>
      </c>
      <c r="C34" s="1121"/>
      <c r="D34" s="771" t="s">
        <v>1367</v>
      </c>
      <c r="E34" s="771" t="s">
        <v>42</v>
      </c>
      <c r="F34" s="163">
        <f>'Ratios Working'!D3/'Ratios Working'!D4</f>
        <v>1.4499805550860903</v>
      </c>
      <c r="G34" s="163">
        <v>1.3066369825748816</v>
      </c>
      <c r="H34" s="163">
        <f t="shared" ref="H34:H40" si="0">((G34-F34)/G34)*100</f>
        <v>-10.970420585274827</v>
      </c>
    </row>
    <row r="35" spans="2:8" s="398" customFormat="1" ht="23.15" customHeight="1" x14ac:dyDescent="0.35">
      <c r="B35" s="1121" t="s">
        <v>1368</v>
      </c>
      <c r="C35" s="1121"/>
      <c r="D35" s="771" t="s">
        <v>1369</v>
      </c>
      <c r="E35" s="771" t="s">
        <v>1370</v>
      </c>
      <c r="F35" s="163">
        <f>'Ratios Working'!D6/'Ratios Working'!D7</f>
        <v>8.8333289177373236E-2</v>
      </c>
      <c r="G35" s="163">
        <v>8.8016462891307767E-2</v>
      </c>
      <c r="H35" s="163">
        <f t="shared" si="0"/>
        <v>-0.35996252934717504</v>
      </c>
    </row>
    <row r="36" spans="2:8" s="398" customFormat="1" ht="46" x14ac:dyDescent="0.35">
      <c r="B36" s="1121" t="s">
        <v>1371</v>
      </c>
      <c r="C36" s="1121"/>
      <c r="D36" s="315" t="s">
        <v>1372</v>
      </c>
      <c r="E36" s="735" t="s">
        <v>1373</v>
      </c>
      <c r="F36" s="163">
        <f>'Ratios Working'!D9/'Ratios Working'!D10</f>
        <v>-7.5536383464357364</v>
      </c>
      <c r="G36" s="163">
        <v>-13.09951694999998</v>
      </c>
      <c r="H36" s="163">
        <f>((G36-F36)/G36)*100</f>
        <v>42.336512290739485</v>
      </c>
    </row>
    <row r="37" spans="2:8" s="398" customFormat="1" ht="23.15" customHeight="1" x14ac:dyDescent="0.35">
      <c r="B37" s="1121" t="s">
        <v>1374</v>
      </c>
      <c r="C37" s="1121"/>
      <c r="D37" s="771" t="s">
        <v>1375</v>
      </c>
      <c r="E37" s="771" t="s">
        <v>1376</v>
      </c>
      <c r="F37" s="163">
        <f>'Ratios Working'!D12/'Ratios Working'!D13</f>
        <v>-3.1809519649900344E-4</v>
      </c>
      <c r="G37" s="163">
        <v>-0.83076496602346184</v>
      </c>
      <c r="H37" s="163">
        <f>((G37-F37)/G37)*100</f>
        <v>99.961710566825928</v>
      </c>
    </row>
    <row r="38" spans="2:8" s="398" customFormat="1" ht="23.15" customHeight="1" x14ac:dyDescent="0.35">
      <c r="B38" s="1121" t="s">
        <v>1377</v>
      </c>
      <c r="C38" s="1121"/>
      <c r="D38" s="771" t="s">
        <v>148</v>
      </c>
      <c r="E38" s="771" t="s">
        <v>1378</v>
      </c>
      <c r="F38" s="163">
        <f>'Ratios Working'!D15/'Ratios Working'!D16</f>
        <v>2.2097745105074367</v>
      </c>
      <c r="G38" s="163">
        <v>2.7073971355001714</v>
      </c>
      <c r="H38" s="163">
        <f t="shared" si="0"/>
        <v>18.380111970562556</v>
      </c>
    </row>
    <row r="39" spans="2:8" s="398" customFormat="1" ht="25.5" customHeight="1" x14ac:dyDescent="0.35">
      <c r="B39" s="1121" t="s">
        <v>1379</v>
      </c>
      <c r="C39" s="1121"/>
      <c r="D39" s="771" t="s">
        <v>1380</v>
      </c>
      <c r="E39" s="771" t="s">
        <v>1381</v>
      </c>
      <c r="F39" s="163">
        <f>'Ratios Working'!D18/'Ratios Working'!D19</f>
        <v>1.3096967327452209</v>
      </c>
      <c r="G39" s="163">
        <v>1.5461409182524253</v>
      </c>
      <c r="H39" s="163">
        <f t="shared" si="0"/>
        <v>15.292537873873288</v>
      </c>
    </row>
    <row r="40" spans="2:8" s="398" customFormat="1" ht="23.15" customHeight="1" x14ac:dyDescent="0.35">
      <c r="B40" s="1121" t="s">
        <v>1382</v>
      </c>
      <c r="C40" s="1121"/>
      <c r="D40" s="771" t="s">
        <v>148</v>
      </c>
      <c r="E40" s="771" t="s">
        <v>1383</v>
      </c>
      <c r="F40" s="163">
        <f>'Ratios Working'!D21/'Ratios Working'!D22</f>
        <v>4.3574446246785685</v>
      </c>
      <c r="G40" s="163">
        <v>5.8098075537514875</v>
      </c>
      <c r="H40" s="163">
        <f t="shared" si="0"/>
        <v>24.998468807027947</v>
      </c>
    </row>
    <row r="41" spans="2:8" s="398" customFormat="1" ht="23.15" customHeight="1" x14ac:dyDescent="0.35">
      <c r="B41" s="1121" t="s">
        <v>1384</v>
      </c>
      <c r="C41" s="1121"/>
      <c r="D41" s="771" t="s">
        <v>1375</v>
      </c>
      <c r="E41" s="771" t="s">
        <v>148</v>
      </c>
      <c r="F41" s="163">
        <f>'Ratios Working'!D24/'Ratios Working'!D25</f>
        <v>-1.5591386257740247E-4</v>
      </c>
      <c r="G41" s="163">
        <v>-0.57426515770770614</v>
      </c>
      <c r="H41" s="163">
        <f>((G41-F41)/G41)*100</f>
        <v>99.972849848108538</v>
      </c>
    </row>
    <row r="42" spans="2:8" s="398" customFormat="1" ht="23.15" customHeight="1" x14ac:dyDescent="0.35">
      <c r="B42" s="1121" t="s">
        <v>1385</v>
      </c>
      <c r="C42" s="1121"/>
      <c r="D42" s="315" t="s">
        <v>1386</v>
      </c>
      <c r="E42" s="771" t="s">
        <v>1387</v>
      </c>
      <c r="F42" s="163">
        <f>'Ratios Working'!D27/'Ratios Working'!D28</f>
        <v>0.26755916685726244</v>
      </c>
      <c r="G42" s="163">
        <v>0.31084926923995521</v>
      </c>
      <c r="H42" s="163">
        <f>((G42-F42)/G42)*100</f>
        <v>13.926396702987148</v>
      </c>
    </row>
    <row r="43" spans="2:8" s="399" customFormat="1" x14ac:dyDescent="0.25">
      <c r="B43" s="315"/>
      <c r="C43" s="315"/>
      <c r="D43" s="315"/>
      <c r="E43" s="315"/>
      <c r="F43" s="315"/>
      <c r="G43" s="140"/>
      <c r="H43" s="315"/>
    </row>
    <row r="44" spans="2:8" s="399" customFormat="1" hidden="1" x14ac:dyDescent="0.25">
      <c r="B44" s="315"/>
      <c r="C44" s="315"/>
      <c r="D44" s="315"/>
      <c r="E44" s="315"/>
      <c r="F44" s="315"/>
      <c r="G44" s="140"/>
      <c r="H44" s="315"/>
    </row>
    <row r="45" spans="2:8" s="140" customFormat="1" ht="13.5" x14ac:dyDescent="0.25">
      <c r="B45" s="82" t="s">
        <v>1388</v>
      </c>
      <c r="C45" s="315"/>
      <c r="D45" s="315"/>
      <c r="E45" s="315"/>
      <c r="F45" s="315"/>
      <c r="H45" s="315"/>
    </row>
    <row r="46" spans="2:8" s="140" customFormat="1" hidden="1" x14ac:dyDescent="0.25">
      <c r="B46" s="315"/>
      <c r="C46" s="315"/>
      <c r="D46" s="315"/>
      <c r="E46" s="315"/>
      <c r="F46" s="315"/>
      <c r="H46" s="315"/>
    </row>
    <row r="47" spans="2:8" s="140" customFormat="1" ht="13.5" x14ac:dyDescent="0.25">
      <c r="B47" s="82" t="s">
        <v>1389</v>
      </c>
      <c r="C47" s="315"/>
      <c r="D47" s="315"/>
      <c r="E47" s="315"/>
      <c r="F47" s="315"/>
      <c r="H47" s="315"/>
    </row>
    <row r="48" spans="2:8" s="140" customFormat="1" ht="13.5" x14ac:dyDescent="0.25">
      <c r="B48" s="82" t="s">
        <v>1390</v>
      </c>
      <c r="C48" s="315"/>
      <c r="D48" s="315"/>
      <c r="E48" s="315"/>
      <c r="F48" s="315"/>
      <c r="H48" s="315"/>
    </row>
    <row r="49" spans="1:17" s="140" customFormat="1" ht="13.5" x14ac:dyDescent="0.25">
      <c r="B49" s="82" t="s">
        <v>1391</v>
      </c>
      <c r="C49" s="315"/>
      <c r="D49" s="315"/>
      <c r="E49" s="315"/>
      <c r="F49" s="315"/>
      <c r="H49" s="315"/>
    </row>
    <row r="50" spans="1:17" s="140" customFormat="1" ht="13.5" x14ac:dyDescent="0.25">
      <c r="B50" s="82" t="s">
        <v>1392</v>
      </c>
      <c r="C50" s="315"/>
      <c r="D50" s="315"/>
      <c r="E50" s="315"/>
      <c r="F50" s="315"/>
      <c r="H50" s="315"/>
    </row>
    <row r="51" spans="1:17" s="140" customFormat="1" ht="13.5" x14ac:dyDescent="0.25">
      <c r="B51" s="82" t="s">
        <v>1393</v>
      </c>
      <c r="C51" s="315"/>
      <c r="D51" s="315"/>
      <c r="E51" s="315"/>
      <c r="F51" s="315"/>
      <c r="H51" s="315"/>
    </row>
    <row r="52" spans="1:17" s="140" customFormat="1" ht="13.5" x14ac:dyDescent="0.25">
      <c r="B52" s="82" t="s">
        <v>1394</v>
      </c>
      <c r="C52" s="315"/>
      <c r="D52" s="315"/>
      <c r="E52" s="315"/>
      <c r="F52" s="315"/>
      <c r="H52" s="315"/>
    </row>
    <row r="53" spans="1:17" s="140" customFormat="1" ht="13.5" x14ac:dyDescent="0.25">
      <c r="B53" s="82" t="s">
        <v>1395</v>
      </c>
      <c r="C53" s="315"/>
      <c r="D53" s="315"/>
      <c r="E53" s="315"/>
      <c r="F53" s="315"/>
      <c r="H53" s="315"/>
    </row>
    <row r="54" spans="1:17" s="140" customFormat="1" x14ac:dyDescent="0.25">
      <c r="B54" s="82"/>
      <c r="C54" s="315"/>
      <c r="D54" s="315"/>
      <c r="E54" s="315"/>
      <c r="F54" s="315"/>
      <c r="H54" s="315"/>
    </row>
    <row r="55" spans="1:17" s="140" customFormat="1" hidden="1" x14ac:dyDescent="0.25">
      <c r="B55" s="61" t="s">
        <v>0</v>
      </c>
      <c r="C55" s="315"/>
      <c r="D55" s="315"/>
      <c r="E55" s="315"/>
      <c r="F55" s="315"/>
      <c r="H55" s="315"/>
    </row>
    <row r="56" spans="1:17" s="399" customFormat="1" hidden="1" x14ac:dyDescent="0.25">
      <c r="B56" s="61" t="s">
        <v>1396</v>
      </c>
      <c r="C56" s="315"/>
      <c r="D56" s="315"/>
      <c r="E56" s="315"/>
      <c r="F56" s="315"/>
      <c r="G56" s="140"/>
      <c r="H56" s="315"/>
    </row>
    <row r="57" spans="1:17" s="399" customFormat="1" ht="12" hidden="1" x14ac:dyDescent="0.25">
      <c r="B57" s="382" t="str">
        <f>B3</f>
        <v>(Amounts are stated in ₹ lakhs, except share and per share data, unless ottherwise stated)</v>
      </c>
      <c r="C57" s="315"/>
      <c r="D57" s="315"/>
      <c r="E57" s="315"/>
      <c r="F57" s="315"/>
      <c r="G57" s="140"/>
      <c r="H57" s="315"/>
    </row>
    <row r="58" spans="1:17" s="399" customFormat="1" ht="12" hidden="1" x14ac:dyDescent="0.25">
      <c r="B58" s="382"/>
      <c r="C58" s="315"/>
      <c r="D58" s="315"/>
      <c r="E58" s="315"/>
      <c r="F58" s="315"/>
      <c r="G58" s="140"/>
      <c r="H58" s="315"/>
    </row>
    <row r="59" spans="1:17" s="399" customFormat="1" x14ac:dyDescent="0.25">
      <c r="A59" s="390">
        <f>A29+1</f>
        <v>38</v>
      </c>
      <c r="B59" s="364" t="str">
        <f>"Note "&amp;A59&amp;":"&amp;" Audit Trial"</f>
        <v>Note 38: Audit Trial</v>
      </c>
      <c r="C59" s="315"/>
      <c r="D59" s="315"/>
      <c r="E59" s="315"/>
      <c r="F59" s="315"/>
      <c r="G59" s="140"/>
      <c r="H59" s="315"/>
    </row>
    <row r="60" spans="1:17" s="399" customFormat="1" ht="14.15" customHeight="1" x14ac:dyDescent="0.25">
      <c r="B60" s="1103" t="s">
        <v>1397</v>
      </c>
      <c r="C60" s="1103"/>
      <c r="D60" s="1103"/>
      <c r="E60" s="1103"/>
      <c r="F60" s="1103"/>
      <c r="G60" s="1103"/>
      <c r="H60" s="1103"/>
      <c r="I60" s="803"/>
      <c r="J60" s="803"/>
      <c r="K60" s="803"/>
      <c r="L60" s="803"/>
      <c r="M60" s="803"/>
      <c r="N60" s="803"/>
      <c r="O60" s="803"/>
      <c r="P60" s="803"/>
      <c r="Q60" s="803"/>
    </row>
    <row r="61" spans="1:17" s="399" customFormat="1" ht="14.15" customHeight="1" x14ac:dyDescent="0.25">
      <c r="B61" s="1103"/>
      <c r="C61" s="1103"/>
      <c r="D61" s="1103"/>
      <c r="E61" s="1103"/>
      <c r="F61" s="1103"/>
      <c r="G61" s="1103"/>
      <c r="H61" s="1103"/>
    </row>
    <row r="62" spans="1:17" s="399" customFormat="1" ht="14.15" customHeight="1" x14ac:dyDescent="0.25">
      <c r="B62" s="1103"/>
      <c r="C62" s="1103"/>
      <c r="D62" s="1103"/>
      <c r="E62" s="1103"/>
      <c r="F62" s="1103"/>
      <c r="G62" s="1103"/>
      <c r="H62" s="1103"/>
    </row>
    <row r="63" spans="1:17" s="399" customFormat="1" ht="14.15" customHeight="1" x14ac:dyDescent="0.25">
      <c r="B63" s="1103"/>
      <c r="C63" s="1103"/>
      <c r="D63" s="1103"/>
      <c r="E63" s="1103"/>
      <c r="F63" s="1103"/>
      <c r="G63" s="1103"/>
      <c r="H63" s="1103"/>
    </row>
    <row r="64" spans="1:17" s="399" customFormat="1" ht="14.15" customHeight="1" x14ac:dyDescent="0.25">
      <c r="B64" s="1103"/>
      <c r="C64" s="1103"/>
      <c r="D64" s="1103"/>
      <c r="E64" s="1103"/>
      <c r="F64" s="1103"/>
      <c r="G64" s="1103"/>
      <c r="H64" s="1103"/>
    </row>
    <row r="65" spans="1:17" s="399" customFormat="1" ht="14.15" customHeight="1" x14ac:dyDescent="0.25">
      <c r="B65" s="1103"/>
      <c r="C65" s="1103"/>
      <c r="D65" s="1103"/>
      <c r="E65" s="1103"/>
      <c r="F65" s="1103"/>
      <c r="G65" s="1103"/>
      <c r="H65" s="1103"/>
    </row>
    <row r="66" spans="1:17" s="399" customFormat="1" ht="14.15" customHeight="1" x14ac:dyDescent="0.25">
      <c r="B66" s="1103"/>
      <c r="C66" s="1103"/>
      <c r="D66" s="1103"/>
      <c r="E66" s="1103"/>
      <c r="F66" s="1103"/>
      <c r="G66" s="1103"/>
      <c r="H66" s="1103"/>
    </row>
    <row r="67" spans="1:17" s="399" customFormat="1" ht="14.15" customHeight="1" x14ac:dyDescent="0.25">
      <c r="B67" s="1103"/>
      <c r="C67" s="1103"/>
      <c r="D67" s="1103"/>
      <c r="E67" s="1103"/>
      <c r="F67" s="1103"/>
      <c r="G67" s="1103"/>
      <c r="H67" s="1103"/>
    </row>
    <row r="68" spans="1:17" s="399" customFormat="1" ht="14.15" customHeight="1" x14ac:dyDescent="0.25">
      <c r="B68" s="1103"/>
      <c r="C68" s="1103"/>
      <c r="D68" s="1103"/>
      <c r="E68" s="1103"/>
      <c r="F68" s="1103"/>
      <c r="G68" s="1103"/>
      <c r="H68" s="1103"/>
    </row>
    <row r="69" spans="1:17" s="399" customFormat="1" ht="14.15" customHeight="1" x14ac:dyDescent="0.25">
      <c r="B69" s="1103"/>
      <c r="C69" s="1103"/>
      <c r="D69" s="1103"/>
      <c r="E69" s="1103"/>
      <c r="F69" s="1103"/>
      <c r="G69" s="1103"/>
      <c r="H69" s="1103"/>
    </row>
    <row r="70" spans="1:17" s="399" customFormat="1" ht="21" customHeight="1" x14ac:dyDescent="0.25">
      <c r="B70" s="1103"/>
      <c r="C70" s="1103"/>
      <c r="D70" s="1103"/>
      <c r="E70" s="1103"/>
      <c r="F70" s="1103"/>
      <c r="G70" s="1103"/>
      <c r="H70" s="1103"/>
    </row>
    <row r="71" spans="1:17" s="399" customFormat="1" ht="21" customHeight="1" x14ac:dyDescent="0.25">
      <c r="B71" s="978"/>
      <c r="C71" s="978"/>
      <c r="D71" s="978"/>
      <c r="E71" s="978"/>
      <c r="F71" s="978"/>
      <c r="G71" s="978"/>
      <c r="H71" s="978"/>
    </row>
    <row r="72" spans="1:17" s="399" customFormat="1" x14ac:dyDescent="0.25">
      <c r="B72" s="233" t="str">
        <f>B1</f>
        <v>Paladion Networks Private Limited</v>
      </c>
      <c r="C72" s="978"/>
      <c r="D72" s="978"/>
      <c r="E72" s="978"/>
      <c r="F72" s="978"/>
      <c r="G72" s="978"/>
      <c r="H72" s="978"/>
    </row>
    <row r="73" spans="1:17" s="399" customFormat="1" x14ac:dyDescent="0.25">
      <c r="B73" s="233" t="str">
        <f>B2</f>
        <v>Summary of Material accounting policies and other explanatory information</v>
      </c>
      <c r="C73" s="978"/>
      <c r="D73" s="978"/>
      <c r="E73" s="978"/>
      <c r="F73" s="978"/>
      <c r="G73" s="978"/>
      <c r="H73" s="978"/>
    </row>
    <row r="74" spans="1:17" s="399" customFormat="1" ht="12" x14ac:dyDescent="0.25">
      <c r="B74" s="807" t="str">
        <f>B3</f>
        <v>(Amounts are stated in ₹ lakhs, except share and per share data, unless ottherwise stated)</v>
      </c>
      <c r="C74" s="978"/>
      <c r="D74" s="978"/>
      <c r="E74" s="978"/>
      <c r="F74" s="978"/>
      <c r="G74" s="978"/>
      <c r="H74" s="978"/>
    </row>
    <row r="75" spans="1:17" s="399" customFormat="1" x14ac:dyDescent="0.25">
      <c r="B75" s="978"/>
      <c r="C75" s="978"/>
      <c r="D75" s="978"/>
      <c r="E75" s="978"/>
      <c r="F75" s="978"/>
      <c r="G75" s="978"/>
      <c r="H75" s="978"/>
    </row>
    <row r="76" spans="1:17" s="399" customFormat="1" ht="12" customHeight="1" x14ac:dyDescent="0.25">
      <c r="A76" s="390">
        <f>A59+1</f>
        <v>39</v>
      </c>
      <c r="B76" s="364" t="str">
        <f>"Note "&amp;A76&amp;":"&amp;" Going concern evaluation"</f>
        <v>Note 39: Going concern evaluation</v>
      </c>
      <c r="C76" s="1030"/>
      <c r="D76" s="1030"/>
      <c r="E76" s="1030"/>
      <c r="F76" s="1030"/>
      <c r="G76" s="1030"/>
      <c r="H76" s="1030"/>
    </row>
    <row r="77" spans="1:17" s="399" customFormat="1" ht="14.15" customHeight="1" x14ac:dyDescent="0.25">
      <c r="B77" s="1103" t="s">
        <v>1398</v>
      </c>
      <c r="C77" s="1103"/>
      <c r="D77" s="1103"/>
      <c r="E77" s="1103"/>
      <c r="F77" s="1103"/>
      <c r="G77" s="1103"/>
      <c r="H77" s="1103"/>
      <c r="I77" s="803"/>
      <c r="J77" s="803"/>
      <c r="K77" s="803"/>
      <c r="L77" s="803"/>
      <c r="M77" s="803"/>
      <c r="N77" s="803"/>
      <c r="O77" s="803"/>
      <c r="P77" s="803"/>
      <c r="Q77" s="803"/>
    </row>
    <row r="78" spans="1:17" s="399" customFormat="1" ht="14.15" customHeight="1" x14ac:dyDescent="0.25">
      <c r="B78" s="1103"/>
      <c r="C78" s="1103"/>
      <c r="D78" s="1103"/>
      <c r="E78" s="1103"/>
      <c r="F78" s="1103"/>
      <c r="G78" s="1103"/>
      <c r="H78" s="1103"/>
    </row>
    <row r="79" spans="1:17" s="399" customFormat="1" ht="14.15" customHeight="1" x14ac:dyDescent="0.25">
      <c r="B79" s="1103"/>
      <c r="C79" s="1103"/>
      <c r="D79" s="1103"/>
      <c r="E79" s="1103"/>
      <c r="F79" s="1103"/>
      <c r="G79" s="1103"/>
      <c r="H79" s="1103"/>
    </row>
    <row r="80" spans="1:17" s="399" customFormat="1" ht="14.15" customHeight="1" x14ac:dyDescent="0.25">
      <c r="B80" s="1103"/>
      <c r="C80" s="1103"/>
      <c r="D80" s="1103"/>
      <c r="E80" s="1103"/>
      <c r="F80" s="1103"/>
      <c r="G80" s="1103"/>
      <c r="H80" s="1103"/>
    </row>
    <row r="81" spans="1:17" s="399" customFormat="1" ht="23.25" customHeight="1" x14ac:dyDescent="0.25">
      <c r="B81" s="1103"/>
      <c r="C81" s="1103"/>
      <c r="D81" s="1103"/>
      <c r="E81" s="1103"/>
      <c r="F81" s="1103"/>
      <c r="G81" s="1103"/>
      <c r="H81" s="1103"/>
    </row>
    <row r="82" spans="1:17" s="399" customFormat="1" ht="14.15" customHeight="1" x14ac:dyDescent="0.25">
      <c r="B82" s="1103"/>
      <c r="C82" s="1103"/>
      <c r="D82" s="1103"/>
      <c r="E82" s="1103"/>
      <c r="F82" s="1103"/>
      <c r="G82" s="1103"/>
      <c r="H82" s="1103"/>
    </row>
    <row r="83" spans="1:17" s="399" customFormat="1" ht="14.15" customHeight="1" x14ac:dyDescent="0.25">
      <c r="B83" s="1103"/>
      <c r="C83" s="1103"/>
      <c r="D83" s="1103"/>
      <c r="E83" s="1103"/>
      <c r="F83" s="1103"/>
      <c r="G83" s="1103"/>
      <c r="H83" s="1103"/>
    </row>
    <row r="84" spans="1:17" s="399" customFormat="1" ht="14.15" customHeight="1" x14ac:dyDescent="0.25">
      <c r="B84" s="1103"/>
      <c r="C84" s="1103"/>
      <c r="D84" s="1103"/>
      <c r="E84" s="1103"/>
      <c r="F84" s="1103"/>
      <c r="G84" s="1103"/>
      <c r="H84" s="1103"/>
    </row>
    <row r="85" spans="1:17" s="399" customFormat="1" ht="14.15" customHeight="1" x14ac:dyDescent="0.25">
      <c r="B85" s="1103"/>
      <c r="C85" s="1103"/>
      <c r="D85" s="1103"/>
      <c r="E85" s="1103"/>
      <c r="F85" s="1103"/>
      <c r="G85" s="1103"/>
      <c r="H85" s="1103"/>
    </row>
    <row r="86" spans="1:17" s="399" customFormat="1" ht="14.15" customHeight="1" x14ac:dyDescent="0.25">
      <c r="B86" s="1103"/>
      <c r="C86" s="1103"/>
      <c r="D86" s="1103"/>
      <c r="E86" s="1103"/>
      <c r="F86" s="1103"/>
      <c r="G86" s="1103"/>
      <c r="H86" s="1103"/>
    </row>
    <row r="87" spans="1:17" s="399" customFormat="1" ht="14.15" customHeight="1" x14ac:dyDescent="0.25">
      <c r="B87" s="1103"/>
      <c r="C87" s="1103"/>
      <c r="D87" s="1103"/>
      <c r="E87" s="1103"/>
      <c r="F87" s="1103"/>
      <c r="G87" s="1103"/>
      <c r="H87" s="1103"/>
    </row>
    <row r="88" spans="1:17" s="399" customFormat="1" ht="14.15" customHeight="1" x14ac:dyDescent="0.25">
      <c r="B88" s="1103"/>
      <c r="C88" s="1103"/>
      <c r="D88" s="1103"/>
      <c r="E88" s="1103"/>
      <c r="F88" s="1103"/>
      <c r="G88" s="1103"/>
      <c r="H88" s="1103"/>
    </row>
    <row r="89" spans="1:17" s="399" customFormat="1" x14ac:dyDescent="0.25">
      <c r="A89" s="390">
        <f>A76+1</f>
        <v>40</v>
      </c>
      <c r="B89" s="364" t="str">
        <f>"Note "&amp;A89&amp;":"&amp;" Segment Reporting"</f>
        <v>Note 40: Segment Reporting</v>
      </c>
      <c r="C89" s="315"/>
      <c r="D89" s="315"/>
      <c r="E89" s="315"/>
      <c r="F89" s="315"/>
      <c r="G89" s="140"/>
      <c r="H89" s="315"/>
    </row>
    <row r="90" spans="1:17" s="399" customFormat="1" ht="15" customHeight="1" x14ac:dyDescent="0.25">
      <c r="B90" s="1098" t="s">
        <v>1399</v>
      </c>
      <c r="C90" s="1098"/>
      <c r="D90" s="1098"/>
      <c r="E90" s="1098"/>
      <c r="F90" s="1098"/>
      <c r="G90" s="1098"/>
      <c r="H90" s="1098"/>
      <c r="I90" s="1030"/>
      <c r="J90" s="1030"/>
      <c r="K90" s="1030"/>
      <c r="L90" s="1030"/>
      <c r="M90" s="1030"/>
      <c r="N90" s="1030"/>
      <c r="O90" s="1030"/>
      <c r="P90" s="1030"/>
      <c r="Q90" s="1030"/>
    </row>
    <row r="91" spans="1:17" s="399" customFormat="1" ht="15" customHeight="1" x14ac:dyDescent="0.25">
      <c r="B91" s="1098"/>
      <c r="C91" s="1098"/>
      <c r="D91" s="1098"/>
      <c r="E91" s="1098"/>
      <c r="F91" s="1098"/>
      <c r="G91" s="1098"/>
      <c r="H91" s="1098"/>
    </row>
    <row r="92" spans="1:17" s="399" customFormat="1" ht="19.5" customHeight="1" x14ac:dyDescent="0.25">
      <c r="B92" s="1098"/>
      <c r="C92" s="1098"/>
      <c r="D92" s="1098"/>
      <c r="E92" s="1098"/>
      <c r="F92" s="1098"/>
      <c r="G92" s="1098"/>
      <c r="H92" s="1098"/>
    </row>
    <row r="93" spans="1:17" s="399" customFormat="1" ht="12" customHeight="1" x14ac:dyDescent="0.25">
      <c r="B93" s="1054"/>
      <c r="C93" s="1054"/>
      <c r="D93" s="1054"/>
      <c r="E93" s="1054"/>
      <c r="F93" s="1054"/>
      <c r="G93" s="1054"/>
      <c r="H93" s="1054"/>
    </row>
    <row r="94" spans="1:17" s="399" customFormat="1" ht="12" customHeight="1" x14ac:dyDescent="0.25">
      <c r="A94" s="390">
        <f>A89+1</f>
        <v>41</v>
      </c>
      <c r="B94" s="364" t="str">
        <f>"Note "&amp;A94&amp;":"&amp;" Capital Management"</f>
        <v>Note 41: Capital Management</v>
      </c>
      <c r="C94" s="1054"/>
      <c r="D94" s="1054"/>
      <c r="E94" s="1054"/>
      <c r="F94" s="1054"/>
      <c r="G94" s="1054"/>
      <c r="H94" s="1054"/>
    </row>
    <row r="95" spans="1:17" s="399" customFormat="1" ht="23.15" customHeight="1" x14ac:dyDescent="0.25">
      <c r="B95" s="1103" t="s">
        <v>1400</v>
      </c>
      <c r="C95" s="1103"/>
      <c r="D95" s="1103"/>
      <c r="E95" s="1103"/>
      <c r="F95" s="1103"/>
      <c r="G95" s="1103"/>
      <c r="H95" s="1103"/>
      <c r="I95" s="803"/>
      <c r="J95" s="803"/>
      <c r="K95" s="803"/>
      <c r="L95" s="803"/>
      <c r="M95" s="803"/>
      <c r="N95" s="803"/>
      <c r="O95" s="803"/>
      <c r="P95" s="803"/>
      <c r="Q95" s="803"/>
    </row>
    <row r="96" spans="1:17" s="399" customFormat="1" ht="23.15" customHeight="1" x14ac:dyDescent="0.25">
      <c r="B96" s="1103"/>
      <c r="C96" s="1103"/>
      <c r="D96" s="1103"/>
      <c r="E96" s="1103"/>
      <c r="F96" s="1103"/>
      <c r="G96" s="1103"/>
      <c r="H96" s="1103"/>
      <c r="I96" s="986"/>
      <c r="J96" s="986"/>
      <c r="K96" s="986"/>
      <c r="L96" s="986"/>
      <c r="M96" s="986"/>
      <c r="N96" s="986"/>
      <c r="O96" s="986"/>
      <c r="P96" s="986"/>
      <c r="Q96" s="986"/>
    </row>
    <row r="97" spans="2:17" s="399" customFormat="1" ht="23.15" customHeight="1" x14ac:dyDescent="0.25">
      <c r="B97" s="1103"/>
      <c r="C97" s="1103"/>
      <c r="D97" s="1103"/>
      <c r="E97" s="1103"/>
      <c r="F97" s="1103"/>
      <c r="G97" s="1103"/>
      <c r="H97" s="1103"/>
      <c r="I97" s="986"/>
      <c r="J97" s="986"/>
      <c r="K97" s="986"/>
      <c r="L97" s="986"/>
      <c r="M97" s="986"/>
      <c r="N97" s="986"/>
      <c r="O97" s="986"/>
      <c r="P97" s="986"/>
      <c r="Q97" s="986"/>
    </row>
    <row r="98" spans="2:17" s="399" customFormat="1" ht="23.15" customHeight="1" x14ac:dyDescent="0.25">
      <c r="B98" s="1103"/>
      <c r="C98" s="1103"/>
      <c r="D98" s="1103"/>
      <c r="E98" s="1103"/>
      <c r="F98" s="1103"/>
      <c r="G98" s="1103"/>
      <c r="H98" s="1103"/>
      <c r="I98" s="986"/>
      <c r="J98" s="986"/>
      <c r="K98" s="986"/>
      <c r="L98" s="986"/>
      <c r="M98" s="986"/>
      <c r="N98" s="986"/>
      <c r="O98" s="986"/>
      <c r="P98" s="986"/>
      <c r="Q98" s="986"/>
    </row>
    <row r="99" spans="2:17" s="399" customFormat="1" ht="23.15" customHeight="1" x14ac:dyDescent="0.25">
      <c r="B99" s="1103"/>
      <c r="C99" s="1103"/>
      <c r="D99" s="1103"/>
      <c r="E99" s="1103"/>
      <c r="F99" s="1103"/>
      <c r="G99" s="1103"/>
      <c r="H99" s="1103"/>
      <c r="I99" s="986"/>
      <c r="J99" s="986"/>
      <c r="K99" s="986"/>
      <c r="L99" s="986"/>
      <c r="M99" s="986"/>
      <c r="N99" s="986"/>
      <c r="O99" s="986"/>
      <c r="P99" s="986"/>
      <c r="Q99" s="986"/>
    </row>
    <row r="100" spans="2:17" s="399" customFormat="1" ht="23.15" customHeight="1" x14ac:dyDescent="0.25">
      <c r="B100" s="1103"/>
      <c r="C100" s="1103"/>
      <c r="D100" s="1103"/>
      <c r="E100" s="1103"/>
      <c r="F100" s="1103"/>
      <c r="G100" s="1103"/>
      <c r="H100" s="1103"/>
      <c r="I100" s="986"/>
      <c r="J100" s="986"/>
      <c r="K100" s="986"/>
      <c r="L100" s="986"/>
      <c r="M100" s="986"/>
      <c r="N100" s="986"/>
      <c r="O100" s="986"/>
      <c r="P100" s="986"/>
      <c r="Q100" s="986"/>
    </row>
    <row r="101" spans="2:17" s="399" customFormat="1" ht="39.75" customHeight="1" x14ac:dyDescent="0.25">
      <c r="B101" s="1103"/>
      <c r="C101" s="1103"/>
      <c r="D101" s="1103"/>
      <c r="E101" s="1103"/>
      <c r="F101" s="1103"/>
      <c r="G101" s="1103"/>
      <c r="H101" s="1103"/>
      <c r="I101" s="986"/>
      <c r="J101" s="986"/>
      <c r="K101" s="986"/>
      <c r="L101" s="986"/>
      <c r="M101" s="986"/>
      <c r="N101" s="986"/>
      <c r="O101" s="986"/>
      <c r="P101" s="986"/>
      <c r="Q101" s="986"/>
    </row>
    <row r="102" spans="2:17" s="399" customFormat="1" ht="11.5" customHeight="1" x14ac:dyDescent="0.25">
      <c r="B102" s="976"/>
      <c r="C102" s="976"/>
      <c r="D102" s="976"/>
      <c r="E102" s="976"/>
      <c r="F102" s="976"/>
      <c r="G102" s="976"/>
      <c r="H102" s="976"/>
      <c r="I102" s="986"/>
      <c r="J102" s="986"/>
      <c r="K102" s="986"/>
      <c r="L102" s="986"/>
      <c r="M102" s="986"/>
      <c r="N102" s="986"/>
      <c r="O102" s="986"/>
      <c r="P102" s="986"/>
      <c r="Q102" s="986"/>
    </row>
    <row r="103" spans="2:17" s="399" customFormat="1" x14ac:dyDescent="0.25">
      <c r="B103" s="986" t="s">
        <v>1401</v>
      </c>
      <c r="C103" s="986"/>
      <c r="D103" s="986"/>
      <c r="E103" s="986"/>
      <c r="F103" s="986"/>
      <c r="G103" s="986"/>
      <c r="H103" s="986"/>
      <c r="I103" s="986"/>
      <c r="J103" s="986"/>
      <c r="K103" s="986"/>
      <c r="L103" s="986"/>
      <c r="M103" s="986"/>
      <c r="N103" s="986"/>
      <c r="O103" s="986"/>
      <c r="P103" s="986"/>
      <c r="Q103" s="986"/>
    </row>
    <row r="104" spans="2:17" s="399" customFormat="1" ht="23" x14ac:dyDescent="0.25">
      <c r="B104" s="986"/>
      <c r="C104" s="986"/>
      <c r="D104" s="986"/>
      <c r="E104" s="140"/>
      <c r="F104" s="791" t="s">
        <v>7</v>
      </c>
      <c r="G104" s="1209" t="s">
        <v>8</v>
      </c>
      <c r="H104" s="1209"/>
      <c r="I104" s="986"/>
      <c r="J104" s="986"/>
      <c r="K104" s="986"/>
      <c r="L104" s="986"/>
      <c r="M104" s="986"/>
      <c r="N104" s="986"/>
      <c r="O104" s="986"/>
      <c r="P104" s="986"/>
      <c r="Q104" s="986"/>
    </row>
    <row r="105" spans="2:17" s="399" customFormat="1" x14ac:dyDescent="0.25">
      <c r="B105" s="986" t="s">
        <v>1402</v>
      </c>
      <c r="C105" s="986"/>
      <c r="D105" s="986"/>
      <c r="E105" s="140"/>
      <c r="F105" s="1020">
        <v>0</v>
      </c>
      <c r="G105" s="1205">
        <v>0</v>
      </c>
      <c r="H105" s="1205"/>
      <c r="I105" s="986"/>
      <c r="J105" s="986"/>
      <c r="K105" s="986"/>
      <c r="L105" s="986"/>
      <c r="M105" s="986"/>
      <c r="N105" s="986"/>
      <c r="O105" s="986"/>
      <c r="P105" s="986"/>
      <c r="Q105" s="986"/>
    </row>
    <row r="106" spans="2:17" s="399" customFormat="1" x14ac:dyDescent="0.25">
      <c r="B106" s="986" t="s">
        <v>1403</v>
      </c>
      <c r="C106" s="986"/>
      <c r="D106" s="986"/>
      <c r="E106" s="140"/>
      <c r="F106" s="1020">
        <f>-BS!E25</f>
        <v>-5497.6527884155275</v>
      </c>
      <c r="G106" s="1205">
        <f>-BS!F25</f>
        <v>-3886.7735793040001</v>
      </c>
      <c r="H106" s="1205"/>
      <c r="I106" s="986"/>
      <c r="J106" s="986"/>
      <c r="K106" s="986"/>
      <c r="L106" s="986"/>
      <c r="M106" s="986"/>
      <c r="N106" s="986"/>
      <c r="O106" s="986"/>
      <c r="P106" s="986"/>
      <c r="Q106" s="986"/>
    </row>
    <row r="107" spans="2:17" s="399" customFormat="1" x14ac:dyDescent="0.25">
      <c r="B107" s="5" t="s">
        <v>1404</v>
      </c>
      <c r="C107" s="986"/>
      <c r="D107" s="986"/>
      <c r="E107" s="140"/>
      <c r="F107" s="782">
        <f>SUM(F105:F106)</f>
        <v>-5497.6527884155275</v>
      </c>
      <c r="G107" s="1206">
        <f>SUM(G105:G106)</f>
        <v>-3886.7735793040001</v>
      </c>
      <c r="H107" s="1206"/>
      <c r="I107" s="986"/>
      <c r="J107" s="986"/>
      <c r="K107" s="986"/>
      <c r="L107" s="986"/>
      <c r="M107" s="986"/>
      <c r="N107" s="986"/>
      <c r="O107" s="986"/>
      <c r="P107" s="986"/>
      <c r="Q107" s="986"/>
    </row>
    <row r="108" spans="2:17" s="399" customFormat="1" x14ac:dyDescent="0.25">
      <c r="B108" s="986"/>
      <c r="C108" s="986"/>
      <c r="D108" s="986"/>
      <c r="E108" s="140"/>
      <c r="F108" s="1020"/>
      <c r="G108" s="1205"/>
      <c r="H108" s="1205"/>
      <c r="I108" s="986"/>
      <c r="J108" s="986"/>
      <c r="K108" s="986"/>
      <c r="L108" s="986"/>
      <c r="M108" s="986"/>
      <c r="N108" s="986"/>
      <c r="O108" s="986"/>
      <c r="P108" s="986"/>
      <c r="Q108" s="986"/>
    </row>
    <row r="109" spans="2:17" s="399" customFormat="1" x14ac:dyDescent="0.25">
      <c r="B109" s="986" t="s">
        <v>1405</v>
      </c>
      <c r="C109" s="986"/>
      <c r="D109" s="986"/>
      <c r="E109" s="140"/>
      <c r="F109" s="1020">
        <f>BS!E37</f>
        <v>50.618299999999998</v>
      </c>
      <c r="G109" s="1205">
        <f>BS!F37</f>
        <v>50.618299999999998</v>
      </c>
      <c r="H109" s="1205"/>
      <c r="I109" s="986"/>
      <c r="J109" s="986"/>
      <c r="K109" s="986"/>
      <c r="L109" s="986"/>
      <c r="M109" s="986"/>
      <c r="N109" s="986"/>
      <c r="O109" s="986"/>
      <c r="P109" s="986"/>
      <c r="Q109" s="986"/>
    </row>
    <row r="110" spans="2:17" s="399" customFormat="1" x14ac:dyDescent="0.25">
      <c r="B110" s="5" t="s">
        <v>32</v>
      </c>
      <c r="C110" s="986"/>
      <c r="D110" s="986"/>
      <c r="E110" s="140"/>
      <c r="F110" s="1020"/>
      <c r="G110" s="1205"/>
      <c r="H110" s="1205"/>
      <c r="I110" s="986"/>
      <c r="J110" s="986"/>
      <c r="K110" s="986"/>
      <c r="L110" s="986"/>
      <c r="M110" s="986"/>
      <c r="N110" s="986"/>
      <c r="O110" s="986"/>
      <c r="P110" s="986"/>
      <c r="Q110" s="986"/>
    </row>
    <row r="111" spans="2:17" s="399" customFormat="1" x14ac:dyDescent="0.25">
      <c r="B111" s="824" t="s">
        <v>1406</v>
      </c>
      <c r="C111" s="986"/>
      <c r="D111" s="986"/>
      <c r="E111" s="140"/>
      <c r="F111" s="1020"/>
      <c r="G111" s="1205"/>
      <c r="H111" s="1205"/>
      <c r="I111" s="986"/>
      <c r="J111" s="986"/>
      <c r="K111" s="986"/>
      <c r="L111" s="986"/>
      <c r="M111" s="986"/>
      <c r="N111" s="986"/>
      <c r="O111" s="986"/>
      <c r="P111" s="986"/>
      <c r="Q111" s="986"/>
    </row>
    <row r="112" spans="2:17" s="399" customFormat="1" x14ac:dyDescent="0.25">
      <c r="B112" s="824" t="s">
        <v>1407</v>
      </c>
      <c r="C112" s="986"/>
      <c r="D112" s="986"/>
      <c r="E112" s="140"/>
      <c r="F112" s="1020"/>
      <c r="G112" s="1205"/>
      <c r="H112" s="1205"/>
      <c r="I112" s="986"/>
      <c r="J112" s="986"/>
      <c r="K112" s="986"/>
      <c r="L112" s="986"/>
      <c r="M112" s="986"/>
      <c r="N112" s="986"/>
      <c r="O112" s="986"/>
      <c r="P112" s="986"/>
      <c r="Q112" s="986"/>
    </row>
    <row r="113" spans="1:17" s="399" customFormat="1" x14ac:dyDescent="0.25">
      <c r="B113" s="824" t="s">
        <v>196</v>
      </c>
      <c r="C113" s="986"/>
      <c r="D113" s="986"/>
      <c r="E113" s="140"/>
      <c r="F113" s="1020">
        <f>'SOCE '!E37</f>
        <v>41916.539839999998</v>
      </c>
      <c r="G113" s="1205">
        <f>F113</f>
        <v>41916.539839999998</v>
      </c>
      <c r="H113" s="1205"/>
      <c r="I113" s="986"/>
      <c r="J113" s="986"/>
      <c r="K113" s="986"/>
      <c r="L113" s="986"/>
      <c r="M113" s="986"/>
      <c r="N113" s="986"/>
      <c r="O113" s="986"/>
      <c r="P113" s="986"/>
      <c r="Q113" s="986"/>
    </row>
    <row r="114" spans="1:17" s="399" customFormat="1" x14ac:dyDescent="0.25">
      <c r="B114" s="824" t="s">
        <v>657</v>
      </c>
      <c r="C114" s="986"/>
      <c r="D114" s="986"/>
      <c r="E114" s="140"/>
      <c r="F114" s="1020"/>
      <c r="G114" s="1205"/>
      <c r="H114" s="1205"/>
      <c r="I114" s="986"/>
      <c r="J114" s="986"/>
      <c r="K114" s="986"/>
      <c r="L114" s="986"/>
      <c r="M114" s="986"/>
      <c r="N114" s="986"/>
      <c r="O114" s="986"/>
      <c r="P114" s="986"/>
      <c r="Q114" s="986"/>
    </row>
    <row r="115" spans="1:17" s="399" customFormat="1" x14ac:dyDescent="0.25">
      <c r="B115" s="986" t="s">
        <v>34</v>
      </c>
      <c r="C115" s="986"/>
      <c r="D115" s="986"/>
      <c r="E115" s="140"/>
      <c r="F115" s="1020">
        <f>SUM(F109:F114)</f>
        <v>41967.15814</v>
      </c>
      <c r="G115" s="1205">
        <f>SUM(G109:G114)</f>
        <v>41967.15814</v>
      </c>
      <c r="H115" s="1205"/>
      <c r="I115" s="986"/>
      <c r="J115" s="986"/>
      <c r="K115" s="986"/>
      <c r="L115" s="986"/>
      <c r="M115" s="986"/>
      <c r="N115" s="986"/>
      <c r="O115" s="986"/>
      <c r="P115" s="986"/>
      <c r="Q115" s="986"/>
    </row>
    <row r="116" spans="1:17" s="399" customFormat="1" x14ac:dyDescent="0.25">
      <c r="B116" s="986"/>
      <c r="C116" s="986"/>
      <c r="D116" s="986"/>
      <c r="E116" s="140"/>
      <c r="F116" s="1020"/>
      <c r="G116" s="1205"/>
      <c r="H116" s="1205"/>
      <c r="I116" s="986"/>
      <c r="J116" s="986"/>
      <c r="K116" s="986"/>
      <c r="L116" s="986"/>
      <c r="M116" s="986"/>
      <c r="N116" s="986"/>
      <c r="O116" s="986"/>
      <c r="P116" s="986"/>
      <c r="Q116" s="986"/>
    </row>
    <row r="117" spans="1:17" s="399" customFormat="1" x14ac:dyDescent="0.25">
      <c r="B117" s="5" t="s">
        <v>1408</v>
      </c>
      <c r="C117" s="986"/>
      <c r="D117" s="986"/>
      <c r="E117" s="140"/>
      <c r="F117" s="782">
        <f>F107+F115</f>
        <v>36469.50535158447</v>
      </c>
      <c r="G117" s="1206">
        <f>G107+G115</f>
        <v>38080.384560696002</v>
      </c>
      <c r="H117" s="1206"/>
      <c r="I117" s="986"/>
      <c r="J117" s="986"/>
      <c r="K117" s="986"/>
      <c r="L117" s="986"/>
      <c r="M117" s="986"/>
      <c r="N117" s="986"/>
      <c r="O117" s="986"/>
      <c r="P117" s="986"/>
      <c r="Q117" s="986"/>
    </row>
    <row r="118" spans="1:17" s="399" customFormat="1" x14ac:dyDescent="0.25">
      <c r="B118" s="5"/>
      <c r="C118" s="986"/>
      <c r="D118" s="986"/>
      <c r="E118" s="140"/>
      <c r="F118" s="986"/>
      <c r="G118" s="1207"/>
      <c r="H118" s="1207"/>
      <c r="I118" s="986"/>
      <c r="J118" s="986"/>
      <c r="K118" s="986"/>
      <c r="L118" s="986"/>
      <c r="M118" s="986"/>
      <c r="N118" s="986"/>
      <c r="O118" s="986"/>
      <c r="P118" s="986"/>
      <c r="Q118" s="986"/>
    </row>
    <row r="119" spans="1:17" s="399" customFormat="1" x14ac:dyDescent="0.25">
      <c r="B119" s="5" t="s">
        <v>1409</v>
      </c>
      <c r="C119" s="986"/>
      <c r="D119" s="986"/>
      <c r="E119" s="140"/>
      <c r="F119" s="1055">
        <f>F107/F117</f>
        <v>-0.15074656854858257</v>
      </c>
      <c r="G119" s="1208">
        <f>G107/G117</f>
        <v>-0.10206760315429338</v>
      </c>
      <c r="H119" s="1208"/>
      <c r="I119" s="986"/>
      <c r="J119" s="986"/>
      <c r="K119" s="986"/>
      <c r="L119" s="986"/>
      <c r="M119" s="986"/>
      <c r="N119" s="986"/>
      <c r="O119" s="986"/>
      <c r="P119" s="986"/>
      <c r="Q119" s="986"/>
    </row>
    <row r="120" spans="1:17" s="399" customFormat="1" ht="12" x14ac:dyDescent="0.25">
      <c r="B120" s="382"/>
      <c r="C120" s="315"/>
      <c r="D120" s="315"/>
      <c r="E120" s="315"/>
      <c r="F120" s="315"/>
      <c r="G120" s="140"/>
      <c r="H120" s="315"/>
    </row>
    <row r="121" spans="1:17" s="399" customFormat="1" ht="12" x14ac:dyDescent="0.25">
      <c r="B121" s="382"/>
      <c r="C121" s="315"/>
      <c r="D121" s="315"/>
      <c r="E121" s="315"/>
      <c r="F121" s="315"/>
      <c r="G121" s="140"/>
      <c r="H121" s="315"/>
    </row>
    <row r="122" spans="1:17" s="399" customFormat="1" x14ac:dyDescent="0.25">
      <c r="B122" s="61" t="str">
        <f>B72</f>
        <v>Paladion Networks Private Limited</v>
      </c>
      <c r="C122" s="315"/>
      <c r="D122" s="315"/>
      <c r="E122" s="315"/>
      <c r="F122" s="315"/>
      <c r="G122" s="140"/>
      <c r="H122" s="315"/>
    </row>
    <row r="123" spans="1:17" s="399" customFormat="1" x14ac:dyDescent="0.25">
      <c r="B123" s="61" t="str">
        <f>B73</f>
        <v>Summary of Material accounting policies and other explanatory information</v>
      </c>
      <c r="C123" s="315"/>
      <c r="D123" s="315"/>
      <c r="E123" s="315"/>
      <c r="F123" s="315"/>
      <c r="G123" s="140"/>
      <c r="H123" s="315"/>
    </row>
    <row r="124" spans="1:17" s="399" customFormat="1" ht="12" x14ac:dyDescent="0.25">
      <c r="B124" s="382" t="str">
        <f>B74</f>
        <v>(Amounts are stated in ₹ lakhs, except share and per share data, unless ottherwise stated)</v>
      </c>
      <c r="C124" s="315"/>
      <c r="D124" s="315"/>
      <c r="E124" s="315"/>
      <c r="F124" s="315"/>
      <c r="G124" s="140"/>
      <c r="H124" s="315"/>
    </row>
    <row r="125" spans="1:17" s="399" customFormat="1" ht="12" x14ac:dyDescent="0.25">
      <c r="B125" s="382"/>
      <c r="C125" s="315"/>
      <c r="D125" s="315"/>
      <c r="E125" s="315"/>
      <c r="F125" s="315"/>
      <c r="G125" s="140"/>
      <c r="H125" s="315"/>
    </row>
    <row r="126" spans="1:17" x14ac:dyDescent="0.25">
      <c r="A126" s="390">
        <f>A94+1</f>
        <v>42</v>
      </c>
      <c r="B126" s="39" t="str">
        <f>"Note "&amp;A126&amp;":"&amp;" Other Information"</f>
        <v>Note 42: Other Information</v>
      </c>
      <c r="C126" s="315"/>
      <c r="D126" s="315"/>
      <c r="E126" s="315"/>
      <c r="F126" s="315"/>
      <c r="G126" s="315"/>
      <c r="H126" s="315"/>
    </row>
    <row r="127" spans="1:17" ht="37.5" customHeight="1" x14ac:dyDescent="0.25">
      <c r="B127" s="1210" t="s">
        <v>1410</v>
      </c>
      <c r="C127" s="1210"/>
      <c r="D127" s="1210"/>
      <c r="E127" s="1210"/>
      <c r="F127" s="1210"/>
      <c r="G127" s="1210"/>
      <c r="H127" s="1210"/>
    </row>
    <row r="128" spans="1:17" ht="5.25" customHeight="1" x14ac:dyDescent="0.25">
      <c r="B128" s="518"/>
      <c r="C128" s="518"/>
      <c r="D128" s="518"/>
      <c r="E128" s="518"/>
      <c r="F128" s="518"/>
      <c r="G128" s="518"/>
      <c r="H128" s="518"/>
    </row>
    <row r="129" spans="2:12" ht="48.65" customHeight="1" x14ac:dyDescent="0.25">
      <c r="B129" s="1210" t="s">
        <v>1411</v>
      </c>
      <c r="C129" s="1210"/>
      <c r="D129" s="1210"/>
      <c r="E129" s="1210"/>
      <c r="F129" s="1210"/>
      <c r="G129" s="1210"/>
      <c r="H129" s="1210"/>
    </row>
    <row r="130" spans="2:12" ht="7.4" customHeight="1" x14ac:dyDescent="0.25">
      <c r="B130" s="518"/>
      <c r="C130" s="518"/>
      <c r="D130" s="518"/>
      <c r="E130" s="518"/>
      <c r="F130" s="518"/>
      <c r="G130" s="518"/>
      <c r="H130" s="518"/>
    </row>
    <row r="131" spans="2:12" ht="42" customHeight="1" x14ac:dyDescent="0.25">
      <c r="B131" s="1210" t="s">
        <v>1412</v>
      </c>
      <c r="C131" s="1210"/>
      <c r="D131" s="1210"/>
      <c r="E131" s="1210"/>
      <c r="F131" s="1210"/>
      <c r="G131" s="1210"/>
      <c r="H131" s="1210"/>
    </row>
    <row r="132" spans="2:12" x14ac:dyDescent="0.25">
      <c r="B132" s="518"/>
      <c r="C132" s="518"/>
      <c r="D132" s="518"/>
      <c r="E132" s="518"/>
      <c r="F132" s="518"/>
      <c r="G132" s="518"/>
      <c r="H132" s="518"/>
    </row>
    <row r="133" spans="2:12" ht="27.75" customHeight="1" x14ac:dyDescent="0.25">
      <c r="B133" s="1210" t="s">
        <v>1413</v>
      </c>
      <c r="C133" s="1210"/>
      <c r="D133" s="1210"/>
      <c r="E133" s="1210"/>
      <c r="F133" s="1210"/>
      <c r="G133" s="1210"/>
      <c r="H133" s="1210"/>
    </row>
    <row r="134" spans="2:12" ht="7.4" customHeight="1" x14ac:dyDescent="0.25">
      <c r="B134" s="518"/>
      <c r="C134" s="518"/>
      <c r="D134" s="518"/>
      <c r="E134" s="518"/>
      <c r="F134" s="518"/>
      <c r="G134" s="518"/>
      <c r="H134" s="518"/>
    </row>
    <row r="135" spans="2:12" ht="118" customHeight="1" x14ac:dyDescent="0.25">
      <c r="B135" s="1210" t="s">
        <v>1414</v>
      </c>
      <c r="C135" s="1210"/>
      <c r="D135" s="1210"/>
      <c r="E135" s="1210"/>
      <c r="F135" s="1210"/>
      <c r="G135" s="1210"/>
      <c r="H135" s="1210"/>
    </row>
    <row r="136" spans="2:12" ht="7.4" customHeight="1" x14ac:dyDescent="0.25">
      <c r="B136" s="518"/>
      <c r="C136" s="518"/>
      <c r="D136" s="518"/>
      <c r="E136" s="518"/>
      <c r="F136" s="518"/>
      <c r="G136" s="518"/>
      <c r="H136" s="518"/>
    </row>
    <row r="137" spans="2:12" ht="11.9" customHeight="1" x14ac:dyDescent="0.25">
      <c r="B137" s="1210" t="s">
        <v>1415</v>
      </c>
      <c r="C137" s="1210"/>
      <c r="D137" s="1210"/>
      <c r="E137" s="1210"/>
      <c r="F137" s="1210"/>
      <c r="G137" s="1210"/>
      <c r="H137" s="1210"/>
    </row>
    <row r="138" spans="2:12" ht="7.4" customHeight="1" x14ac:dyDescent="0.25">
      <c r="B138" s="518"/>
      <c r="C138" s="518"/>
      <c r="D138" s="518"/>
      <c r="E138" s="518"/>
      <c r="F138" s="518"/>
      <c r="G138" s="518"/>
      <c r="H138" s="518"/>
    </row>
    <row r="139" spans="2:12" ht="15.75" customHeight="1" x14ac:dyDescent="0.25">
      <c r="B139" s="1210" t="s">
        <v>1416</v>
      </c>
      <c r="C139" s="1210"/>
      <c r="D139" s="1210"/>
      <c r="E139" s="1210"/>
      <c r="F139" s="1210"/>
      <c r="G139" s="1210"/>
      <c r="H139" s="1210"/>
    </row>
    <row r="140" spans="2:12" ht="6" customHeight="1" x14ac:dyDescent="0.25">
      <c r="B140" s="518"/>
      <c r="C140" s="518"/>
      <c r="D140" s="518"/>
      <c r="E140" s="518"/>
      <c r="F140" s="518"/>
      <c r="G140" s="518"/>
      <c r="H140" s="518"/>
    </row>
    <row r="141" spans="2:12" ht="40.5" customHeight="1" x14ac:dyDescent="0.25">
      <c r="B141" s="1210" t="s">
        <v>1417</v>
      </c>
      <c r="C141" s="1210"/>
      <c r="D141" s="1210"/>
      <c r="E141" s="1210"/>
      <c r="F141" s="1210"/>
      <c r="G141" s="1210"/>
      <c r="H141" s="1210"/>
    </row>
    <row r="142" spans="2:12" x14ac:dyDescent="0.25">
      <c r="B142" s="1210" t="s">
        <v>1418</v>
      </c>
      <c r="C142" s="1210"/>
      <c r="D142" s="1210"/>
      <c r="E142" s="1210"/>
      <c r="F142" s="1210"/>
      <c r="G142" s="1210"/>
      <c r="H142" s="1210"/>
      <c r="K142" s="594"/>
    </row>
    <row r="143" spans="2:12" ht="6" customHeight="1" x14ac:dyDescent="0.25">
      <c r="B143" s="518"/>
      <c r="C143" s="518"/>
      <c r="D143" s="518"/>
      <c r="E143" s="518"/>
      <c r="F143" s="518"/>
      <c r="G143" s="518"/>
      <c r="H143" s="518"/>
      <c r="K143" s="594"/>
    </row>
    <row r="144" spans="2:12" x14ac:dyDescent="0.25">
      <c r="B144" s="1210" t="s">
        <v>1419</v>
      </c>
      <c r="C144" s="1210"/>
      <c r="D144" s="1210"/>
      <c r="E144" s="1210"/>
      <c r="F144" s="1210"/>
      <c r="G144" s="1210"/>
      <c r="H144" s="1210"/>
      <c r="K144" s="594"/>
      <c r="L144" s="17"/>
    </row>
    <row r="145" spans="2:12" ht="6.75" customHeight="1" x14ac:dyDescent="0.25">
      <c r="B145" s="518"/>
      <c r="C145" s="518"/>
      <c r="D145" s="518"/>
      <c r="E145" s="518"/>
      <c r="F145" s="518"/>
      <c r="G145" s="518"/>
      <c r="H145" s="518"/>
      <c r="K145" s="594"/>
      <c r="L145" s="17"/>
    </row>
    <row r="146" spans="2:12" x14ac:dyDescent="0.25">
      <c r="B146" s="1212" t="s">
        <v>1420</v>
      </c>
      <c r="C146" s="1212"/>
      <c r="D146" s="1212"/>
      <c r="E146" s="1212"/>
      <c r="F146" s="1212"/>
      <c r="G146" s="1212"/>
      <c r="H146" s="1212"/>
    </row>
    <row r="147" spans="2:12" x14ac:dyDescent="0.25">
      <c r="B147" s="1212"/>
      <c r="C147" s="1212"/>
      <c r="D147" s="1212"/>
      <c r="E147" s="1212"/>
      <c r="F147" s="1212"/>
      <c r="G147" s="1212"/>
      <c r="H147" s="1212"/>
    </row>
    <row r="148" spans="2:12" s="390" customFormat="1" x14ac:dyDescent="0.25">
      <c r="B148" s="306"/>
      <c r="C148" s="306"/>
      <c r="D148" s="306"/>
      <c r="E148" s="306"/>
      <c r="F148" s="306"/>
      <c r="G148" s="306"/>
      <c r="H148" s="306"/>
    </row>
    <row r="149" spans="2:12" s="465" customFormat="1" x14ac:dyDescent="0.35">
      <c r="B149" s="36"/>
      <c r="C149" s="401"/>
      <c r="D149" s="69"/>
      <c r="E149" s="306"/>
      <c r="F149" s="306"/>
      <c r="G149" s="402"/>
      <c r="H149" s="329"/>
    </row>
    <row r="150" spans="2:12" s="465" customFormat="1" x14ac:dyDescent="0.35">
      <c r="B150" s="400" t="s">
        <v>55</v>
      </c>
      <c r="C150" s="401"/>
      <c r="D150" s="69"/>
      <c r="E150" s="69"/>
      <c r="F150" s="69"/>
      <c r="G150" s="69"/>
      <c r="H150" s="329"/>
    </row>
    <row r="151" spans="2:12" s="465" customFormat="1" x14ac:dyDescent="0.35">
      <c r="B151" s="400" t="s">
        <v>57</v>
      </c>
      <c r="C151" s="401"/>
      <c r="D151" s="69"/>
      <c r="E151" s="69"/>
      <c r="F151" s="69"/>
      <c r="G151" s="69"/>
      <c r="H151" s="328"/>
    </row>
    <row r="152" spans="2:12" s="467" customFormat="1" x14ac:dyDescent="0.25">
      <c r="B152" s="400" t="s">
        <v>1421</v>
      </c>
      <c r="C152" s="329"/>
      <c r="D152" s="404"/>
      <c r="E152" s="403"/>
      <c r="F152" s="466"/>
      <c r="G152" s="360"/>
      <c r="H152" s="404"/>
    </row>
    <row r="153" spans="2:12" s="468" customFormat="1" x14ac:dyDescent="0.25">
      <c r="B153" s="404"/>
      <c r="C153" s="328"/>
      <c r="D153" s="401"/>
      <c r="E153" s="403"/>
      <c r="F153" s="466"/>
      <c r="G153" s="361"/>
      <c r="H153" s="401"/>
    </row>
    <row r="154" spans="2:12" s="468" customFormat="1" x14ac:dyDescent="0.25">
      <c r="B154" s="404"/>
      <c r="C154" s="328"/>
      <c r="D154" s="401"/>
      <c r="E154" s="403"/>
      <c r="F154" s="466"/>
      <c r="G154" s="361"/>
      <c r="H154" s="401"/>
    </row>
    <row r="155" spans="2:12" s="468" customFormat="1" x14ac:dyDescent="0.25">
      <c r="B155" s="404"/>
      <c r="C155" s="328"/>
      <c r="D155" s="401"/>
      <c r="E155" s="403"/>
      <c r="F155" s="466"/>
      <c r="G155" s="361"/>
      <c r="H155" s="401"/>
    </row>
    <row r="156" spans="2:12" s="36" customFormat="1" x14ac:dyDescent="0.25">
      <c r="B156" s="40" t="s">
        <v>60</v>
      </c>
      <c r="C156" s="39"/>
      <c r="D156" s="176"/>
      <c r="F156" s="234" t="s">
        <v>61</v>
      </c>
      <c r="H156" s="439" t="e">
        <f>BS!#REF!</f>
        <v>#REF!</v>
      </c>
      <c r="I156" s="17"/>
      <c r="J156" s="17"/>
      <c r="K156" s="19"/>
    </row>
    <row r="157" spans="2:12" s="36" customFormat="1" x14ac:dyDescent="0.25">
      <c r="B157" s="117" t="s">
        <v>62</v>
      </c>
      <c r="C157" s="19"/>
      <c r="D157" s="176"/>
      <c r="F157" s="122" t="s">
        <v>63</v>
      </c>
      <c r="H157" s="434" t="e">
        <f>BS!#REF!</f>
        <v>#REF!</v>
      </c>
      <c r="I157" s="17"/>
      <c r="J157" s="17"/>
      <c r="K157" s="19"/>
    </row>
    <row r="158" spans="2:12" s="36" customFormat="1" x14ac:dyDescent="0.25">
      <c r="B158" s="117" t="s">
        <v>1422</v>
      </c>
      <c r="C158" s="19"/>
      <c r="D158" s="176"/>
      <c r="F158" s="122" t="s">
        <v>64</v>
      </c>
      <c r="H158" s="434" t="e">
        <f>BS!#REF!</f>
        <v>#REF!</v>
      </c>
      <c r="I158" s="17"/>
      <c r="J158" s="17"/>
      <c r="K158" s="19"/>
    </row>
    <row r="159" spans="2:12" s="36" customFormat="1" x14ac:dyDescent="0.25">
      <c r="B159" s="117"/>
      <c r="C159" s="19"/>
      <c r="D159" s="176"/>
      <c r="F159" s="122"/>
      <c r="H159" s="122"/>
      <c r="I159" s="17"/>
      <c r="J159" s="17"/>
      <c r="K159" s="19"/>
    </row>
    <row r="160" spans="2:12" s="176" customFormat="1" x14ac:dyDescent="0.25">
      <c r="C160" s="19"/>
      <c r="F160" s="122"/>
      <c r="H160" s="78"/>
      <c r="I160" s="17"/>
      <c r="J160" s="17"/>
      <c r="K160" s="19"/>
    </row>
    <row r="161" spans="2:11" s="176" customFormat="1" x14ac:dyDescent="0.25">
      <c r="B161" s="722" t="e">
        <f>Cashflow!B72</f>
        <v>#REF!</v>
      </c>
      <c r="C161" s="82"/>
      <c r="D161" s="36"/>
      <c r="F161" s="553" t="s">
        <v>179</v>
      </c>
      <c r="G161" s="836"/>
      <c r="H161" s="553" t="s">
        <v>179</v>
      </c>
      <c r="J161" s="17"/>
      <c r="K161" s="19"/>
    </row>
    <row r="162" spans="2:11" s="176" customFormat="1" x14ac:dyDescent="0.25">
      <c r="B162" s="722" t="e">
        <f>Cashflow!B73</f>
        <v>#REF!</v>
      </c>
      <c r="C162" s="82"/>
      <c r="D162" s="36"/>
      <c r="F162" s="553" t="s">
        <v>65</v>
      </c>
      <c r="G162" s="836"/>
      <c r="H162" s="553" t="s">
        <v>1423</v>
      </c>
      <c r="J162" s="17"/>
      <c r="K162" s="19"/>
    </row>
    <row r="163" spans="2:11" s="36" customFormat="1" x14ac:dyDescent="0.35">
      <c r="B163" s="405"/>
      <c r="C163" s="69"/>
      <c r="D163" s="69"/>
      <c r="H163" s="69"/>
    </row>
    <row r="164" spans="2:11" x14ac:dyDescent="0.25">
      <c r="C164" s="1112"/>
      <c r="D164" s="1112"/>
      <c r="E164" s="1112"/>
      <c r="F164" s="1112"/>
      <c r="G164" s="1112"/>
      <c r="H164" s="1112"/>
    </row>
    <row r="166" spans="2:11" s="390" customFormat="1" x14ac:dyDescent="0.25">
      <c r="B166" s="315"/>
      <c r="C166" s="315"/>
      <c r="D166" s="315"/>
      <c r="E166" s="315"/>
      <c r="F166" s="315"/>
      <c r="G166" s="315"/>
      <c r="H166" s="315"/>
    </row>
    <row r="167" spans="2:11" x14ac:dyDescent="0.25">
      <c r="B167" s="1112"/>
      <c r="C167" s="1112"/>
      <c r="D167" s="1112"/>
      <c r="E167" s="1112"/>
      <c r="F167" s="1112"/>
      <c r="G167" s="1112"/>
      <c r="H167" s="1112"/>
    </row>
    <row r="168" spans="2:11" x14ac:dyDescent="0.25">
      <c r="B168" s="1112"/>
      <c r="C168" s="1112"/>
      <c r="D168" s="1112"/>
      <c r="E168" s="1112"/>
      <c r="F168" s="1112"/>
      <c r="G168" s="1112"/>
      <c r="H168" s="1112"/>
    </row>
    <row r="169" spans="2:11" x14ac:dyDescent="0.25">
      <c r="B169" s="39"/>
    </row>
    <row r="170" spans="2:11" x14ac:dyDescent="0.25">
      <c r="C170" s="1211"/>
      <c r="D170" s="1211"/>
      <c r="E170" s="1211"/>
      <c r="F170" s="1211"/>
      <c r="G170" s="1211"/>
      <c r="H170" s="1211"/>
    </row>
  </sheetData>
  <mergeCells count="51">
    <mergeCell ref="B27:H27"/>
    <mergeCell ref="C164:H164"/>
    <mergeCell ref="F31:G31"/>
    <mergeCell ref="B34:C34"/>
    <mergeCell ref="B35:C35"/>
    <mergeCell ref="B36:C36"/>
    <mergeCell ref="B127:H127"/>
    <mergeCell ref="B129:H129"/>
    <mergeCell ref="B37:C37"/>
    <mergeCell ref="B131:H131"/>
    <mergeCell ref="B38:C38"/>
    <mergeCell ref="B39:C39"/>
    <mergeCell ref="B40:C40"/>
    <mergeCell ref="B41:C41"/>
    <mergeCell ref="B42:C42"/>
    <mergeCell ref="B137:H137"/>
    <mergeCell ref="B6:H6"/>
    <mergeCell ref="B9:H9"/>
    <mergeCell ref="B14:H14"/>
    <mergeCell ref="B15:H15"/>
    <mergeCell ref="B21:H21"/>
    <mergeCell ref="B133:H133"/>
    <mergeCell ref="B135:H135"/>
    <mergeCell ref="B167:H167"/>
    <mergeCell ref="B168:H168"/>
    <mergeCell ref="C170:H170"/>
    <mergeCell ref="B139:H139"/>
    <mergeCell ref="B141:H141"/>
    <mergeCell ref="B142:H142"/>
    <mergeCell ref="B144:H144"/>
    <mergeCell ref="B146:H147"/>
    <mergeCell ref="B90:H92"/>
    <mergeCell ref="B95:H101"/>
    <mergeCell ref="B60:H70"/>
    <mergeCell ref="B77:H88"/>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s>
  <pageMargins left="0.23622047244094491" right="0.23622047244094491" top="0.74803149606299213" bottom="0.74803149606299213" header="0.31496062992125984" footer="0.31496062992125984"/>
  <pageSetup paperSize="9" scale="80" orientation="portrait" r:id="rId1"/>
  <rowBreaks count="2" manualBreakCount="2">
    <brk id="71" min="1" max="7" man="1"/>
    <brk id="121" min="1" max="7"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5767A-2CFF-4508-BF04-277221F88560}">
  <dimension ref="A2:N57"/>
  <sheetViews>
    <sheetView showGridLines="0" topLeftCell="A2" zoomScaleNormal="100" workbookViewId="0">
      <selection activeCell="B1" sqref="B1"/>
    </sheetView>
  </sheetViews>
  <sheetFormatPr defaultColWidth="9.1796875" defaultRowHeight="10.5" x14ac:dyDescent="0.25"/>
  <cols>
    <col min="1" max="1" width="9.1796875" style="849"/>
    <col min="2" max="2" width="24" style="849" bestFit="1" customWidth="1"/>
    <col min="3" max="3" width="5.1796875" style="849" bestFit="1" customWidth="1"/>
    <col min="4" max="4" width="10.453125" style="849" bestFit="1" customWidth="1"/>
    <col min="5" max="5" width="32" style="849" bestFit="1" customWidth="1"/>
    <col min="6" max="6" width="10.1796875" style="849" bestFit="1" customWidth="1"/>
    <col min="7" max="9" width="8.453125" style="849" bestFit="1" customWidth="1"/>
    <col min="10" max="10" width="4.81640625" style="849" bestFit="1" customWidth="1"/>
    <col min="11" max="12" width="8.81640625" style="849" bestFit="1" customWidth="1"/>
    <col min="13" max="13" width="14.81640625" style="849" bestFit="1" customWidth="1"/>
    <col min="14" max="16384" width="9.1796875" style="849"/>
  </cols>
  <sheetData>
    <row r="2" spans="1:13" x14ac:dyDescent="0.25">
      <c r="A2" s="848" t="s">
        <v>1424</v>
      </c>
      <c r="C2" s="848"/>
    </row>
    <row r="3" spans="1:13" x14ac:dyDescent="0.25">
      <c r="A3" s="848" t="s">
        <v>1425</v>
      </c>
      <c r="C3" s="848"/>
      <c r="H3" s="860"/>
    </row>
    <row r="4" spans="1:13" x14ac:dyDescent="0.25">
      <c r="A4" s="848" t="s">
        <v>1426</v>
      </c>
      <c r="C4" s="848"/>
      <c r="G4" s="861">
        <f>SUBTOTAL(9,G7:G45)</f>
        <v>88820138.449999988</v>
      </c>
      <c r="H4" s="861">
        <f>SUBTOTAL(9,H7:H45)</f>
        <v>32134691.989999983</v>
      </c>
      <c r="I4" s="861">
        <f>SUBTOTAL(9,I7:I45)</f>
        <v>70472049.479999974</v>
      </c>
      <c r="K4" s="861">
        <f>SUBTOTAL(9,K7:K45)</f>
        <v>-2285990.7087641452</v>
      </c>
    </row>
    <row r="5" spans="1:13" x14ac:dyDescent="0.25">
      <c r="B5" s="862"/>
      <c r="C5" s="862"/>
      <c r="D5" s="862"/>
      <c r="E5" s="863"/>
      <c r="F5" s="862"/>
      <c r="G5" s="1217" t="s">
        <v>1427</v>
      </c>
      <c r="H5" s="1217"/>
      <c r="I5" s="1217"/>
      <c r="J5" s="864"/>
      <c r="K5" s="865" t="s">
        <v>1428</v>
      </c>
    </row>
    <row r="6" spans="1:13" ht="13" customHeight="1" x14ac:dyDescent="0.25">
      <c r="A6" s="853" t="s">
        <v>1429</v>
      </c>
      <c r="B6" s="853" t="s">
        <v>1430</v>
      </c>
      <c r="C6" s="853" t="s">
        <v>1431</v>
      </c>
      <c r="D6" s="853" t="s">
        <v>1432</v>
      </c>
      <c r="E6" s="853" t="s">
        <v>1433</v>
      </c>
      <c r="F6" s="853" t="s">
        <v>1434</v>
      </c>
      <c r="G6" s="853" t="s">
        <v>1435</v>
      </c>
      <c r="H6" s="853" t="s">
        <v>1436</v>
      </c>
      <c r="I6" s="853" t="s">
        <v>185</v>
      </c>
      <c r="J6" s="866" t="s">
        <v>1437</v>
      </c>
      <c r="K6" s="866" t="s">
        <v>185</v>
      </c>
    </row>
    <row r="7" spans="1:13" x14ac:dyDescent="0.25">
      <c r="A7" s="897" t="s">
        <v>1438</v>
      </c>
      <c r="B7" s="867" t="s">
        <v>1439</v>
      </c>
      <c r="C7" s="867" t="s">
        <v>1440</v>
      </c>
      <c r="D7" s="868" t="s">
        <v>1441</v>
      </c>
      <c r="E7" s="868" t="s">
        <v>1442</v>
      </c>
      <c r="F7" s="869" t="s">
        <v>1428</v>
      </c>
      <c r="G7" s="877"/>
      <c r="H7" s="877">
        <v>203000.05</v>
      </c>
      <c r="I7" s="877">
        <f t="shared" ref="I7:I28" si="0">G7-H7</f>
        <v>-203000.05</v>
      </c>
      <c r="J7" s="919">
        <v>1</v>
      </c>
      <c r="K7" s="917">
        <f t="shared" ref="K7:K22" si="1">I7*J7</f>
        <v>-203000.05</v>
      </c>
      <c r="L7" s="849" t="s">
        <v>1443</v>
      </c>
    </row>
    <row r="8" spans="1:13" x14ac:dyDescent="0.25">
      <c r="A8" s="897" t="s">
        <v>1438</v>
      </c>
      <c r="B8" s="870" t="s">
        <v>1439</v>
      </c>
      <c r="C8" s="870" t="s">
        <v>1440</v>
      </c>
      <c r="D8" s="871" t="s">
        <v>1444</v>
      </c>
      <c r="E8" s="871" t="s">
        <v>1445</v>
      </c>
      <c r="F8" s="872" t="s">
        <v>1428</v>
      </c>
      <c r="G8" s="879"/>
      <c r="H8" s="879">
        <v>398816.36000000034</v>
      </c>
      <c r="I8" s="881">
        <f t="shared" si="0"/>
        <v>-398816.36000000034</v>
      </c>
      <c r="J8" s="919">
        <v>1</v>
      </c>
      <c r="K8" s="918">
        <f t="shared" si="1"/>
        <v>-398816.36000000034</v>
      </c>
      <c r="L8" s="849" t="s">
        <v>1443</v>
      </c>
      <c r="M8" s="858"/>
    </row>
    <row r="9" spans="1:13" x14ac:dyDescent="0.25">
      <c r="A9" s="897" t="s">
        <v>1438</v>
      </c>
      <c r="B9" s="870" t="s">
        <v>1439</v>
      </c>
      <c r="C9" s="870" t="s">
        <v>1440</v>
      </c>
      <c r="D9" s="871" t="s">
        <v>1446</v>
      </c>
      <c r="E9" s="871" t="s">
        <v>1447</v>
      </c>
      <c r="F9" s="872" t="s">
        <v>1428</v>
      </c>
      <c r="G9" s="879">
        <f>8571333.48</f>
        <v>8571333.4800000004</v>
      </c>
      <c r="H9" s="879"/>
      <c r="I9" s="881">
        <f t="shared" si="0"/>
        <v>8571333.4800000004</v>
      </c>
      <c r="J9" s="919">
        <v>1</v>
      </c>
      <c r="K9" s="918">
        <f t="shared" si="1"/>
        <v>8571333.4800000004</v>
      </c>
      <c r="L9" s="849" t="s">
        <v>1443</v>
      </c>
      <c r="M9" s="858"/>
    </row>
    <row r="10" spans="1:13" x14ac:dyDescent="0.25">
      <c r="A10" s="897" t="s">
        <v>1438</v>
      </c>
      <c r="B10" s="873" t="s">
        <v>1439</v>
      </c>
      <c r="C10" s="873" t="s">
        <v>1440</v>
      </c>
      <c r="D10" s="871" t="s">
        <v>1448</v>
      </c>
      <c r="E10" s="871" t="s">
        <v>1449</v>
      </c>
      <c r="F10" s="872" t="s">
        <v>1428</v>
      </c>
      <c r="G10" s="879">
        <f>4022024.48</f>
        <v>4022024.48</v>
      </c>
      <c r="H10" s="879"/>
      <c r="I10" s="881">
        <f t="shared" si="0"/>
        <v>4022024.48</v>
      </c>
      <c r="J10" s="919">
        <v>1</v>
      </c>
      <c r="K10" s="918">
        <f t="shared" si="1"/>
        <v>4022024.48</v>
      </c>
      <c r="L10" s="849" t="s">
        <v>1443</v>
      </c>
      <c r="M10" s="858"/>
    </row>
    <row r="11" spans="1:13" x14ac:dyDescent="0.25">
      <c r="A11" s="897" t="s">
        <v>1438</v>
      </c>
      <c r="B11" s="873" t="s">
        <v>1439</v>
      </c>
      <c r="C11" s="873" t="s">
        <v>1440</v>
      </c>
      <c r="D11" s="871" t="s">
        <v>1450</v>
      </c>
      <c r="E11" s="871" t="s">
        <v>1451</v>
      </c>
      <c r="F11" s="872" t="s">
        <v>1428</v>
      </c>
      <c r="G11" s="879">
        <f>39287677.97</f>
        <v>39287677.969999999</v>
      </c>
      <c r="H11" s="879"/>
      <c r="I11" s="881">
        <f t="shared" si="0"/>
        <v>39287677.969999999</v>
      </c>
      <c r="J11" s="919">
        <v>1</v>
      </c>
      <c r="K11" s="918">
        <f t="shared" si="1"/>
        <v>39287677.969999999</v>
      </c>
      <c r="L11" s="849" t="s">
        <v>1443</v>
      </c>
      <c r="M11" s="858"/>
    </row>
    <row r="12" spans="1:13" x14ac:dyDescent="0.25">
      <c r="A12" s="897" t="s">
        <v>1438</v>
      </c>
      <c r="B12" s="873" t="s">
        <v>1439</v>
      </c>
      <c r="C12" s="873" t="s">
        <v>1440</v>
      </c>
      <c r="D12" s="871" t="s">
        <v>1452</v>
      </c>
      <c r="E12" s="871" t="s">
        <v>1453</v>
      </c>
      <c r="F12" s="872" t="s">
        <v>1428</v>
      </c>
      <c r="G12" s="879">
        <f>212005.55</f>
        <v>212005.55</v>
      </c>
      <c r="H12" s="879"/>
      <c r="I12" s="881">
        <f t="shared" si="0"/>
        <v>212005.55</v>
      </c>
      <c r="J12" s="919">
        <v>1</v>
      </c>
      <c r="K12" s="918">
        <f t="shared" si="1"/>
        <v>212005.55</v>
      </c>
      <c r="L12" s="849" t="s">
        <v>1443</v>
      </c>
      <c r="M12" s="860"/>
    </row>
    <row r="13" spans="1:13" x14ac:dyDescent="0.25">
      <c r="A13" s="897" t="s">
        <v>1438</v>
      </c>
      <c r="B13" s="873" t="s">
        <v>1439</v>
      </c>
      <c r="C13" s="873" t="s">
        <v>1440</v>
      </c>
      <c r="D13" s="874" t="s">
        <v>1454</v>
      </c>
      <c r="E13" s="871" t="s">
        <v>1455</v>
      </c>
      <c r="F13" s="872" t="s">
        <v>1428</v>
      </c>
      <c r="G13" s="879"/>
      <c r="H13" s="879">
        <v>2307033.54</v>
      </c>
      <c r="I13" s="879"/>
      <c r="J13" s="919">
        <v>1</v>
      </c>
      <c r="K13" s="918">
        <f t="shared" si="1"/>
        <v>0</v>
      </c>
      <c r="L13" s="849" t="s">
        <v>1456</v>
      </c>
      <c r="M13" s="860"/>
    </row>
    <row r="14" spans="1:13" s="882" customFormat="1" x14ac:dyDescent="0.25">
      <c r="A14" s="898" t="s">
        <v>1438</v>
      </c>
      <c r="B14" s="873" t="s">
        <v>1439</v>
      </c>
      <c r="C14" s="873" t="s">
        <v>1440</v>
      </c>
      <c r="D14" s="859" t="s">
        <v>1457</v>
      </c>
      <c r="E14" s="854" t="s">
        <v>1458</v>
      </c>
      <c r="F14" s="880" t="s">
        <v>1428</v>
      </c>
      <c r="G14" s="879"/>
      <c r="H14" s="879">
        <v>14680105.179999975</v>
      </c>
      <c r="I14" s="879"/>
      <c r="J14" s="919">
        <v>1</v>
      </c>
      <c r="K14" s="881">
        <f t="shared" si="1"/>
        <v>0</v>
      </c>
      <c r="L14" s="849" t="s">
        <v>1459</v>
      </c>
      <c r="M14" s="883"/>
    </row>
    <row r="15" spans="1:13" x14ac:dyDescent="0.25">
      <c r="A15" s="897" t="s">
        <v>1438</v>
      </c>
      <c r="B15" s="873" t="s">
        <v>1439</v>
      </c>
      <c r="C15" s="873" t="s">
        <v>1440</v>
      </c>
      <c r="D15" s="874" t="s">
        <v>1460</v>
      </c>
      <c r="E15" s="871" t="s">
        <v>1461</v>
      </c>
      <c r="F15" s="872" t="s">
        <v>1428</v>
      </c>
      <c r="G15" s="899">
        <f>3444568.69</f>
        <v>3444568.69</v>
      </c>
      <c r="H15" s="879"/>
      <c r="I15" s="879"/>
      <c r="J15" s="919">
        <v>1</v>
      </c>
      <c r="K15" s="918">
        <f t="shared" si="1"/>
        <v>0</v>
      </c>
      <c r="L15" s="849" t="s">
        <v>1456</v>
      </c>
      <c r="M15" s="860"/>
    </row>
    <row r="16" spans="1:13" x14ac:dyDescent="0.25">
      <c r="A16" s="897" t="s">
        <v>1438</v>
      </c>
      <c r="B16" s="873" t="s">
        <v>1439</v>
      </c>
      <c r="C16" s="873" t="s">
        <v>1440</v>
      </c>
      <c r="D16" s="871" t="s">
        <v>1462</v>
      </c>
      <c r="E16" s="871" t="s">
        <v>1458</v>
      </c>
      <c r="F16" s="872" t="s">
        <v>1428</v>
      </c>
      <c r="G16" s="879"/>
      <c r="H16" s="879">
        <v>186322.05000001294</v>
      </c>
      <c r="I16" s="879"/>
      <c r="J16" s="919">
        <v>1</v>
      </c>
      <c r="K16" s="918">
        <f t="shared" si="1"/>
        <v>0</v>
      </c>
      <c r="L16" s="849" t="s">
        <v>1459</v>
      </c>
      <c r="M16" s="860"/>
    </row>
    <row r="17" spans="1:13" x14ac:dyDescent="0.25">
      <c r="A17" s="897" t="s">
        <v>1438</v>
      </c>
      <c r="B17" s="873" t="s">
        <v>1439</v>
      </c>
      <c r="C17" s="873" t="s">
        <v>1440</v>
      </c>
      <c r="D17" s="871" t="s">
        <v>1463</v>
      </c>
      <c r="E17" s="871" t="s">
        <v>1464</v>
      </c>
      <c r="F17" s="872" t="s">
        <v>1428</v>
      </c>
      <c r="G17" s="879"/>
      <c r="H17" s="881">
        <v>19691.52</v>
      </c>
      <c r="I17" s="879">
        <f t="shared" si="0"/>
        <v>-19691.52</v>
      </c>
      <c r="J17" s="919">
        <v>1</v>
      </c>
      <c r="K17" s="918">
        <f t="shared" si="1"/>
        <v>-19691.52</v>
      </c>
      <c r="L17" s="849" t="s">
        <v>1443</v>
      </c>
      <c r="M17" s="860"/>
    </row>
    <row r="18" spans="1:13" x14ac:dyDescent="0.25">
      <c r="A18" s="897" t="s">
        <v>1440</v>
      </c>
      <c r="B18" s="873" t="s">
        <v>1465</v>
      </c>
      <c r="C18" s="873" t="s">
        <v>1438</v>
      </c>
      <c r="D18" s="871" t="s">
        <v>1463</v>
      </c>
      <c r="E18" s="871" t="s">
        <v>1464</v>
      </c>
      <c r="F18" s="872" t="s">
        <v>1297</v>
      </c>
      <c r="G18" s="879">
        <v>0</v>
      </c>
      <c r="H18" s="881">
        <v>373783.8</v>
      </c>
      <c r="I18" s="879">
        <f t="shared" si="0"/>
        <v>-373783.8</v>
      </c>
      <c r="J18" s="919">
        <v>22.983571720509691</v>
      </c>
      <c r="K18" s="918">
        <f t="shared" si="1"/>
        <v>-8590886.7752646506</v>
      </c>
      <c r="L18" s="849" t="s">
        <v>1443</v>
      </c>
    </row>
    <row r="19" spans="1:13" x14ac:dyDescent="0.25">
      <c r="A19" s="897" t="s">
        <v>1440</v>
      </c>
      <c r="B19" s="873" t="s">
        <v>1465</v>
      </c>
      <c r="C19" s="873" t="s">
        <v>1438</v>
      </c>
      <c r="D19" s="871" t="s">
        <v>1466</v>
      </c>
      <c r="E19" s="871" t="s">
        <v>1467</v>
      </c>
      <c r="F19" s="872" t="s">
        <v>1297</v>
      </c>
      <c r="G19" s="879">
        <v>0</v>
      </c>
      <c r="H19" s="879">
        <v>1717266.0899999996</v>
      </c>
      <c r="I19" s="879">
        <f t="shared" si="0"/>
        <v>-1717266.0899999996</v>
      </c>
      <c r="J19" s="919">
        <v>22.983571720509691</v>
      </c>
      <c r="K19" s="918">
        <f t="shared" si="1"/>
        <v>-39468908.342714243</v>
      </c>
      <c r="L19" s="849" t="s">
        <v>1443</v>
      </c>
    </row>
    <row r="20" spans="1:13" x14ac:dyDescent="0.25">
      <c r="A20" s="897" t="s">
        <v>1440</v>
      </c>
      <c r="B20" s="873" t="s">
        <v>1465</v>
      </c>
      <c r="C20" s="873" t="s">
        <v>1438</v>
      </c>
      <c r="D20" s="871" t="s">
        <v>1441</v>
      </c>
      <c r="E20" s="871" t="s">
        <v>1442</v>
      </c>
      <c r="F20" s="872" t="s">
        <v>1297</v>
      </c>
      <c r="G20" s="879">
        <v>0</v>
      </c>
      <c r="H20" s="879">
        <v>63631.270000000004</v>
      </c>
      <c r="I20" s="879">
        <f t="shared" si="0"/>
        <v>-63631.270000000004</v>
      </c>
      <c r="J20" s="919">
        <v>22.983571720509691</v>
      </c>
      <c r="K20" s="918">
        <f t="shared" si="1"/>
        <v>-1462473.8577121168</v>
      </c>
      <c r="L20" s="849" t="s">
        <v>1443</v>
      </c>
    </row>
    <row r="21" spans="1:13" x14ac:dyDescent="0.25">
      <c r="A21" s="897" t="s">
        <v>1440</v>
      </c>
      <c r="B21" s="873" t="s">
        <v>1465</v>
      </c>
      <c r="C21" s="873" t="s">
        <v>1438</v>
      </c>
      <c r="D21" s="871" t="s">
        <v>1468</v>
      </c>
      <c r="E21" s="871" t="s">
        <v>1469</v>
      </c>
      <c r="F21" s="872" t="s">
        <v>1297</v>
      </c>
      <c r="G21" s="879">
        <v>17634.73</v>
      </c>
      <c r="H21" s="879">
        <v>0</v>
      </c>
      <c r="I21" s="879">
        <f t="shared" si="0"/>
        <v>17634.73</v>
      </c>
      <c r="J21" s="919">
        <v>22.983571720509691</v>
      </c>
      <c r="K21" s="918">
        <f t="shared" si="1"/>
        <v>405309.08172682382</v>
      </c>
      <c r="L21" s="849" t="s">
        <v>1443</v>
      </c>
    </row>
    <row r="22" spans="1:13" x14ac:dyDescent="0.25">
      <c r="A22" s="897" t="s">
        <v>1440</v>
      </c>
      <c r="B22" s="873" t="s">
        <v>1465</v>
      </c>
      <c r="C22" s="873" t="s">
        <v>1438</v>
      </c>
      <c r="D22" s="874" t="s">
        <v>1470</v>
      </c>
      <c r="E22" s="871" t="s">
        <v>1471</v>
      </c>
      <c r="F22" s="872" t="s">
        <v>1297</v>
      </c>
      <c r="G22" s="879">
        <v>0</v>
      </c>
      <c r="H22" s="879">
        <v>120534.00000000001</v>
      </c>
      <c r="I22" s="879">
        <f t="shared" si="0"/>
        <v>-120534.00000000001</v>
      </c>
      <c r="J22" s="919">
        <v>22.983571720509691</v>
      </c>
      <c r="K22" s="918">
        <f t="shared" si="1"/>
        <v>-2770301.8337599155</v>
      </c>
      <c r="L22" s="849" t="s">
        <v>1443</v>
      </c>
    </row>
    <row r="23" spans="1:13" x14ac:dyDescent="0.25">
      <c r="A23" s="897" t="s">
        <v>1440</v>
      </c>
      <c r="B23" s="873" t="s">
        <v>1465</v>
      </c>
      <c r="C23" s="873" t="s">
        <v>1438</v>
      </c>
      <c r="D23" s="874" t="s">
        <v>1454</v>
      </c>
      <c r="E23" s="871" t="s">
        <v>1455</v>
      </c>
      <c r="F23" s="872" t="s">
        <v>1297</v>
      </c>
      <c r="G23" s="879">
        <v>0</v>
      </c>
      <c r="H23" s="879">
        <v>161126.69999999998</v>
      </c>
      <c r="I23" s="879"/>
      <c r="J23" s="919">
        <v>22.983571720509691</v>
      </c>
      <c r="K23" s="918">
        <f t="shared" ref="K23:K28" si="2">I23*J23</f>
        <v>0</v>
      </c>
      <c r="L23" s="849" t="s">
        <v>1456</v>
      </c>
    </row>
    <row r="24" spans="1:13" x14ac:dyDescent="0.25">
      <c r="A24" s="897" t="s">
        <v>1440</v>
      </c>
      <c r="B24" s="873" t="s">
        <v>1465</v>
      </c>
      <c r="C24" s="873" t="s">
        <v>1438</v>
      </c>
      <c r="D24" s="874" t="s">
        <v>1457</v>
      </c>
      <c r="E24" s="871" t="s">
        <v>1458</v>
      </c>
      <c r="F24" s="872" t="s">
        <v>1297</v>
      </c>
      <c r="G24" s="879">
        <v>10972.219999999985</v>
      </c>
      <c r="H24" s="879">
        <v>0</v>
      </c>
      <c r="I24" s="879"/>
      <c r="J24" s="919">
        <v>22.983571720509691</v>
      </c>
      <c r="K24" s="918">
        <f t="shared" si="2"/>
        <v>0</v>
      </c>
      <c r="L24" s="849" t="s">
        <v>1459</v>
      </c>
    </row>
    <row r="25" spans="1:13" x14ac:dyDescent="0.25">
      <c r="A25" s="897" t="s">
        <v>1440</v>
      </c>
      <c r="B25" s="873" t="s">
        <v>1465</v>
      </c>
      <c r="C25" s="873" t="s">
        <v>1438</v>
      </c>
      <c r="D25" s="874" t="s">
        <v>1452</v>
      </c>
      <c r="E25" s="871" t="s">
        <v>1472</v>
      </c>
      <c r="F25" s="872" t="s">
        <v>1297</v>
      </c>
      <c r="G25" s="881">
        <v>8867.5300000000007</v>
      </c>
      <c r="H25" s="879">
        <v>0</v>
      </c>
      <c r="I25" s="879">
        <f t="shared" si="0"/>
        <v>8867.5300000000007</v>
      </c>
      <c r="J25" s="919">
        <v>22.983571720509691</v>
      </c>
      <c r="K25" s="918">
        <f t="shared" si="2"/>
        <v>203807.51173877131</v>
      </c>
      <c r="L25" s="849" t="s">
        <v>1443</v>
      </c>
    </row>
    <row r="26" spans="1:13" x14ac:dyDescent="0.25">
      <c r="A26" s="897" t="s">
        <v>1440</v>
      </c>
      <c r="B26" s="873" t="s">
        <v>1465</v>
      </c>
      <c r="C26" s="873" t="s">
        <v>1438</v>
      </c>
      <c r="D26" s="874" t="s">
        <v>1460</v>
      </c>
      <c r="E26" s="871" t="s">
        <v>1461</v>
      </c>
      <c r="F26" s="872" t="s">
        <v>1297</v>
      </c>
      <c r="G26" s="879">
        <v>29380.17</v>
      </c>
      <c r="H26" s="879">
        <v>0</v>
      </c>
      <c r="I26" s="879"/>
      <c r="J26" s="919">
        <v>22.983571720509691</v>
      </c>
      <c r="K26" s="918">
        <f t="shared" si="2"/>
        <v>0</v>
      </c>
      <c r="L26" s="849" t="s">
        <v>1456</v>
      </c>
    </row>
    <row r="27" spans="1:13" x14ac:dyDescent="0.25">
      <c r="A27" s="897" t="s">
        <v>1440</v>
      </c>
      <c r="B27" s="873" t="s">
        <v>1465</v>
      </c>
      <c r="C27" s="873" t="s">
        <v>1438</v>
      </c>
      <c r="D27" s="871" t="s">
        <v>1462</v>
      </c>
      <c r="E27" s="871" t="s">
        <v>1458</v>
      </c>
      <c r="F27" s="872" t="s">
        <v>1297</v>
      </c>
      <c r="G27" s="879">
        <v>0</v>
      </c>
      <c r="H27" s="879">
        <v>10257.959999999994</v>
      </c>
      <c r="I27" s="879"/>
      <c r="J27" s="919">
        <v>22.983571720509691</v>
      </c>
      <c r="K27" s="918">
        <f t="shared" si="2"/>
        <v>0</v>
      </c>
      <c r="L27" s="849" t="s">
        <v>1459</v>
      </c>
    </row>
    <row r="28" spans="1:13" x14ac:dyDescent="0.25">
      <c r="A28" s="897" t="s">
        <v>1440</v>
      </c>
      <c r="B28" s="873" t="s">
        <v>1465</v>
      </c>
      <c r="C28" s="873" t="s">
        <v>1438</v>
      </c>
      <c r="D28" s="871" t="s">
        <v>1446</v>
      </c>
      <c r="E28" s="871" t="s">
        <v>1447</v>
      </c>
      <c r="F28" s="872" t="s">
        <v>1297</v>
      </c>
      <c r="G28" s="881">
        <v>846.34</v>
      </c>
      <c r="H28" s="879">
        <v>0</v>
      </c>
      <c r="I28" s="879">
        <f t="shared" si="0"/>
        <v>846.34</v>
      </c>
      <c r="J28" s="919">
        <v>22.983571720509691</v>
      </c>
      <c r="K28" s="918">
        <f t="shared" si="2"/>
        <v>19451.91608993617</v>
      </c>
      <c r="L28" s="849" t="s">
        <v>1443</v>
      </c>
      <c r="M28" s="907">
        <f>SUM(K7:K28)</f>
        <v>-192468.74989540482</v>
      </c>
    </row>
    <row r="29" spans="1:13" x14ac:dyDescent="0.25">
      <c r="A29" s="897" t="s">
        <v>1438</v>
      </c>
      <c r="B29" s="870" t="s">
        <v>1439</v>
      </c>
      <c r="C29" s="870" t="s">
        <v>1473</v>
      </c>
      <c r="D29" s="871" t="s">
        <v>1474</v>
      </c>
      <c r="E29" s="871" t="s">
        <v>1475</v>
      </c>
      <c r="F29" s="872" t="s">
        <v>1428</v>
      </c>
      <c r="G29" s="875">
        <v>17173651.459999997</v>
      </c>
      <c r="H29" s="875">
        <v>0</v>
      </c>
      <c r="I29" s="855">
        <f>G29-H29</f>
        <v>17173651.459999997</v>
      </c>
      <c r="J29" s="878">
        <v>1</v>
      </c>
      <c r="K29" s="855">
        <f>I29*J29</f>
        <v>17173651.459999997</v>
      </c>
      <c r="L29" s="849" t="s">
        <v>1476</v>
      </c>
    </row>
    <row r="30" spans="1:13" x14ac:dyDescent="0.25">
      <c r="A30" s="897" t="s">
        <v>1438</v>
      </c>
      <c r="B30" s="870" t="s">
        <v>1439</v>
      </c>
      <c r="C30" s="870" t="s">
        <v>1473</v>
      </c>
      <c r="D30" s="874" t="s">
        <v>1450</v>
      </c>
      <c r="E30" s="871" t="s">
        <v>1477</v>
      </c>
      <c r="F30" s="872" t="s">
        <v>1428</v>
      </c>
      <c r="G30" s="875">
        <v>0</v>
      </c>
      <c r="H30" s="875">
        <v>83817.820000000007</v>
      </c>
      <c r="I30" s="855">
        <f t="shared" ref="I30:I45" si="3">G30-H30</f>
        <v>-83817.820000000007</v>
      </c>
      <c r="J30" s="878">
        <v>1</v>
      </c>
      <c r="K30" s="855">
        <f t="shared" ref="K30:K40" si="4">I30*J30</f>
        <v>-83817.820000000007</v>
      </c>
      <c r="L30" s="849" t="s">
        <v>1476</v>
      </c>
    </row>
    <row r="31" spans="1:13" x14ac:dyDescent="0.25">
      <c r="A31" s="897" t="s">
        <v>1438</v>
      </c>
      <c r="B31" s="870" t="s">
        <v>1439</v>
      </c>
      <c r="C31" s="870" t="s">
        <v>1473</v>
      </c>
      <c r="D31" s="871" t="s">
        <v>1478</v>
      </c>
      <c r="E31" s="871" t="s">
        <v>1479</v>
      </c>
      <c r="F31" s="872" t="s">
        <v>1428</v>
      </c>
      <c r="G31" s="875">
        <v>0</v>
      </c>
      <c r="H31" s="875">
        <v>2860.4999999990687</v>
      </c>
      <c r="I31" s="855">
        <f t="shared" si="3"/>
        <v>-2860.4999999990687</v>
      </c>
      <c r="J31" s="878">
        <v>1</v>
      </c>
      <c r="K31" s="855">
        <f t="shared" si="4"/>
        <v>-2860.4999999990687</v>
      </c>
      <c r="L31" s="849" t="s">
        <v>1476</v>
      </c>
    </row>
    <row r="32" spans="1:13" x14ac:dyDescent="0.25">
      <c r="A32" s="897" t="s">
        <v>1438</v>
      </c>
      <c r="B32" s="870" t="s">
        <v>1439</v>
      </c>
      <c r="C32" s="870" t="s">
        <v>1473</v>
      </c>
      <c r="D32" s="871" t="s">
        <v>1480</v>
      </c>
      <c r="E32" s="871" t="s">
        <v>1481</v>
      </c>
      <c r="F32" s="872" t="s">
        <v>1428</v>
      </c>
      <c r="G32" s="875">
        <v>6923715.5899999989</v>
      </c>
      <c r="H32" s="875">
        <v>0</v>
      </c>
      <c r="I32" s="855">
        <f t="shared" si="3"/>
        <v>6923715.5899999989</v>
      </c>
      <c r="J32" s="878">
        <v>1</v>
      </c>
      <c r="K32" s="855">
        <f t="shared" si="4"/>
        <v>6923715.5899999989</v>
      </c>
      <c r="L32" s="849" t="s">
        <v>1476</v>
      </c>
    </row>
    <row r="33" spans="1:14" s="913" customFormat="1" x14ac:dyDescent="0.25">
      <c r="A33" s="898" t="s">
        <v>1438</v>
      </c>
      <c r="B33" s="873" t="s">
        <v>1439</v>
      </c>
      <c r="C33" s="873" t="s">
        <v>1473</v>
      </c>
      <c r="D33" s="854" t="s">
        <v>1444</v>
      </c>
      <c r="E33" s="854" t="s">
        <v>1445</v>
      </c>
      <c r="F33" s="880" t="s">
        <v>1428</v>
      </c>
      <c r="G33" s="855">
        <v>0</v>
      </c>
      <c r="H33" s="855">
        <v>1308275.06</v>
      </c>
      <c r="I33" s="855">
        <f t="shared" si="3"/>
        <v>-1308275.06</v>
      </c>
      <c r="J33" s="879">
        <v>1</v>
      </c>
      <c r="K33" s="855">
        <f t="shared" si="4"/>
        <v>-1308275.06</v>
      </c>
      <c r="L33" s="913" t="s">
        <v>1476</v>
      </c>
    </row>
    <row r="34" spans="1:14" x14ac:dyDescent="0.25">
      <c r="A34" s="897" t="s">
        <v>1438</v>
      </c>
      <c r="B34" s="870" t="s">
        <v>1439</v>
      </c>
      <c r="C34" s="870" t="s">
        <v>1473</v>
      </c>
      <c r="D34" s="871" t="s">
        <v>1446</v>
      </c>
      <c r="E34" s="871" t="s">
        <v>1447</v>
      </c>
      <c r="F34" s="872" t="s">
        <v>1428</v>
      </c>
      <c r="G34" s="875">
        <v>7472930.959999999</v>
      </c>
      <c r="H34" s="875">
        <v>0</v>
      </c>
      <c r="I34" s="855">
        <f t="shared" si="3"/>
        <v>7472930.959999999</v>
      </c>
      <c r="J34" s="878">
        <v>1</v>
      </c>
      <c r="K34" s="855">
        <f t="shared" si="4"/>
        <v>7472930.959999999</v>
      </c>
      <c r="L34" s="849" t="s">
        <v>1476</v>
      </c>
    </row>
    <row r="35" spans="1:14" x14ac:dyDescent="0.25">
      <c r="A35" s="897" t="s">
        <v>1438</v>
      </c>
      <c r="B35" s="870" t="s">
        <v>1439</v>
      </c>
      <c r="C35" s="870" t="s">
        <v>1473</v>
      </c>
      <c r="D35" s="874" t="s">
        <v>1466</v>
      </c>
      <c r="E35" s="871" t="s">
        <v>1467</v>
      </c>
      <c r="F35" s="872" t="s">
        <v>1428</v>
      </c>
      <c r="G35" s="875">
        <v>0</v>
      </c>
      <c r="H35" s="875">
        <v>3456.9599999990314</v>
      </c>
      <c r="I35" s="855">
        <f t="shared" si="3"/>
        <v>-3456.9599999990314</v>
      </c>
      <c r="J35" s="878">
        <v>1</v>
      </c>
      <c r="K35" s="855">
        <f t="shared" si="4"/>
        <v>-3456.9599999990314</v>
      </c>
      <c r="L35" s="849" t="s">
        <v>1476</v>
      </c>
    </row>
    <row r="36" spans="1:14" x14ac:dyDescent="0.25">
      <c r="A36" s="897" t="s">
        <v>1438</v>
      </c>
      <c r="B36" s="870" t="s">
        <v>1439</v>
      </c>
      <c r="C36" s="870" t="s">
        <v>1473</v>
      </c>
      <c r="D36" s="874" t="s">
        <v>1482</v>
      </c>
      <c r="E36" s="871" t="s">
        <v>1483</v>
      </c>
      <c r="F36" s="872" t="s">
        <v>1428</v>
      </c>
      <c r="G36" s="875">
        <v>0</v>
      </c>
      <c r="H36" s="875">
        <v>8643699.2300000004</v>
      </c>
      <c r="I36" s="855">
        <f t="shared" si="3"/>
        <v>-8643699.2300000004</v>
      </c>
      <c r="J36" s="878">
        <v>1</v>
      </c>
      <c r="K36" s="855">
        <f t="shared" si="4"/>
        <v>-8643699.2300000004</v>
      </c>
      <c r="L36" s="849" t="s">
        <v>1476</v>
      </c>
    </row>
    <row r="37" spans="1:14" x14ac:dyDescent="0.25">
      <c r="A37" s="897" t="s">
        <v>1438</v>
      </c>
      <c r="B37" s="870" t="s">
        <v>1439</v>
      </c>
      <c r="C37" s="870" t="s">
        <v>1473</v>
      </c>
      <c r="D37" s="874" t="s">
        <v>1454</v>
      </c>
      <c r="E37" s="871" t="s">
        <v>1455</v>
      </c>
      <c r="F37" s="872" t="s">
        <v>1428</v>
      </c>
      <c r="G37" s="875">
        <v>0</v>
      </c>
      <c r="H37" s="875">
        <v>1331076.42</v>
      </c>
      <c r="I37" s="855"/>
      <c r="J37" s="878">
        <v>1</v>
      </c>
      <c r="K37" s="855">
        <f t="shared" si="4"/>
        <v>0</v>
      </c>
      <c r="L37" s="849" t="s">
        <v>1456</v>
      </c>
    </row>
    <row r="38" spans="1:14" x14ac:dyDescent="0.25">
      <c r="A38" s="897" t="s">
        <v>1438</v>
      </c>
      <c r="B38" s="870" t="s">
        <v>1439</v>
      </c>
      <c r="C38" s="870" t="s">
        <v>1473</v>
      </c>
      <c r="D38" s="874" t="s">
        <v>1460</v>
      </c>
      <c r="E38" s="871" t="s">
        <v>1461</v>
      </c>
      <c r="F38" s="872" t="s">
        <v>1428</v>
      </c>
      <c r="G38" s="875">
        <v>1541151.28</v>
      </c>
      <c r="H38" s="875">
        <v>0</v>
      </c>
      <c r="I38" s="855"/>
      <c r="J38" s="878">
        <v>1</v>
      </c>
      <c r="K38" s="855">
        <f t="shared" si="4"/>
        <v>0</v>
      </c>
      <c r="L38" s="849" t="s">
        <v>1456</v>
      </c>
    </row>
    <row r="39" spans="1:14" x14ac:dyDescent="0.25">
      <c r="A39" s="897" t="s">
        <v>1438</v>
      </c>
      <c r="B39" s="870" t="s">
        <v>1439</v>
      </c>
      <c r="C39" s="870" t="s">
        <v>1473</v>
      </c>
      <c r="D39" s="874" t="s">
        <v>1457</v>
      </c>
      <c r="E39" s="871" t="s">
        <v>1458</v>
      </c>
      <c r="F39" s="872" t="s">
        <v>1428</v>
      </c>
      <c r="G39" s="875">
        <v>0</v>
      </c>
      <c r="H39" s="875">
        <v>86726.32</v>
      </c>
      <c r="I39" s="855"/>
      <c r="J39" s="878">
        <v>1</v>
      </c>
      <c r="K39" s="855">
        <f t="shared" si="4"/>
        <v>0</v>
      </c>
      <c r="L39" s="849" t="s">
        <v>1459</v>
      </c>
    </row>
    <row r="40" spans="1:14" x14ac:dyDescent="0.25">
      <c r="A40" s="897" t="s">
        <v>1438</v>
      </c>
      <c r="B40" s="870" t="s">
        <v>1439</v>
      </c>
      <c r="C40" s="870" t="s">
        <v>1473</v>
      </c>
      <c r="D40" s="871" t="s">
        <v>1462</v>
      </c>
      <c r="E40" s="871" t="s">
        <v>1458</v>
      </c>
      <c r="F40" s="872" t="s">
        <v>1428</v>
      </c>
      <c r="G40" s="875">
        <v>0</v>
      </c>
      <c r="H40" s="875">
        <v>50027.210000000094</v>
      </c>
      <c r="I40" s="855"/>
      <c r="J40" s="878">
        <v>1</v>
      </c>
      <c r="K40" s="855">
        <f t="shared" si="4"/>
        <v>0</v>
      </c>
      <c r="L40" s="849" t="s">
        <v>1459</v>
      </c>
    </row>
    <row r="41" spans="1:14" x14ac:dyDescent="0.25">
      <c r="A41" s="897" t="s">
        <v>1473</v>
      </c>
      <c r="B41" s="870" t="s">
        <v>1484</v>
      </c>
      <c r="C41" s="870" t="s">
        <v>1438</v>
      </c>
      <c r="D41" s="871" t="s">
        <v>1463</v>
      </c>
      <c r="E41" s="871" t="s">
        <v>1485</v>
      </c>
      <c r="F41" s="872" t="s">
        <v>1308</v>
      </c>
      <c r="G41" s="875">
        <v>0</v>
      </c>
      <c r="H41" s="875">
        <f>116324.11+9435.78</f>
        <v>125759.89</v>
      </c>
      <c r="I41" s="855">
        <f t="shared" si="3"/>
        <v>-125759.89</v>
      </c>
      <c r="J41" s="856">
        <v>84.421758718385902</v>
      </c>
      <c r="K41" s="855">
        <f t="shared" ref="K41:K45" si="5">I41*J41</f>
        <v>-10616871.090030752</v>
      </c>
      <c r="L41" s="849" t="s">
        <v>1476</v>
      </c>
    </row>
    <row r="42" spans="1:14" x14ac:dyDescent="0.25">
      <c r="A42" s="897" t="s">
        <v>1473</v>
      </c>
      <c r="B42" s="870" t="s">
        <v>1484</v>
      </c>
      <c r="C42" s="870" t="s">
        <v>1438</v>
      </c>
      <c r="D42" s="874" t="s">
        <v>1450</v>
      </c>
      <c r="E42" s="871" t="s">
        <v>1477</v>
      </c>
      <c r="F42" s="872" t="s">
        <v>1308</v>
      </c>
      <c r="G42" s="875">
        <v>103378</v>
      </c>
      <c r="H42" s="875">
        <v>0</v>
      </c>
      <c r="I42" s="855">
        <f t="shared" si="3"/>
        <v>103378</v>
      </c>
      <c r="J42" s="856">
        <v>84.421758718385902</v>
      </c>
      <c r="K42" s="855">
        <f t="shared" si="5"/>
        <v>8727352.5727892984</v>
      </c>
      <c r="L42" s="849" t="s">
        <v>1476</v>
      </c>
    </row>
    <row r="43" spans="1:14" x14ac:dyDescent="0.25">
      <c r="A43" s="897" t="s">
        <v>1473</v>
      </c>
      <c r="B43" s="870" t="s">
        <v>1484</v>
      </c>
      <c r="C43" s="870" t="s">
        <v>1438</v>
      </c>
      <c r="D43" s="871" t="s">
        <v>1441</v>
      </c>
      <c r="E43" s="871" t="s">
        <v>1486</v>
      </c>
      <c r="F43" s="872" t="s">
        <v>1308</v>
      </c>
      <c r="G43" s="875">
        <v>0</v>
      </c>
      <c r="H43" s="875">
        <v>80278.080000000016</v>
      </c>
      <c r="I43" s="855">
        <f t="shared" si="3"/>
        <v>-80278.080000000016</v>
      </c>
      <c r="J43" s="856">
        <v>84.421758718385902</v>
      </c>
      <c r="K43" s="855">
        <f t="shared" si="5"/>
        <v>-6777216.7001352822</v>
      </c>
      <c r="L43" s="849" t="s">
        <v>1476</v>
      </c>
    </row>
    <row r="44" spans="1:14" x14ac:dyDescent="0.25">
      <c r="A44" s="897" t="s">
        <v>1473</v>
      </c>
      <c r="B44" s="870" t="s">
        <v>1484</v>
      </c>
      <c r="C44" s="870" t="s">
        <v>1438</v>
      </c>
      <c r="D44" s="871" t="s">
        <v>1487</v>
      </c>
      <c r="E44" s="871" t="s">
        <v>1488</v>
      </c>
      <c r="F44" s="872" t="s">
        <v>1308</v>
      </c>
      <c r="G44" s="875">
        <v>0</v>
      </c>
      <c r="H44" s="875">
        <v>175637.72999999986</v>
      </c>
      <c r="I44" s="875">
        <f t="shared" si="3"/>
        <v>-175637.72999999986</v>
      </c>
      <c r="J44" s="916">
        <v>84.421758718385902</v>
      </c>
      <c r="K44" s="875">
        <f t="shared" si="5"/>
        <v>-14827646.063904997</v>
      </c>
      <c r="L44" s="849" t="s">
        <v>1476</v>
      </c>
    </row>
    <row r="45" spans="1:14" x14ac:dyDescent="0.25">
      <c r="A45" s="900" t="s">
        <v>1473</v>
      </c>
      <c r="B45" s="901" t="s">
        <v>1484</v>
      </c>
      <c r="C45" s="901" t="s">
        <v>1438</v>
      </c>
      <c r="D45" s="902" t="s">
        <v>1489</v>
      </c>
      <c r="E45" s="902" t="s">
        <v>1490</v>
      </c>
      <c r="F45" s="903" t="s">
        <v>1308</v>
      </c>
      <c r="G45" s="904">
        <v>0</v>
      </c>
      <c r="H45" s="904">
        <v>1508.25</v>
      </c>
      <c r="I45" s="905">
        <f t="shared" si="3"/>
        <v>-1508.25</v>
      </c>
      <c r="J45" s="906">
        <v>84.421758718385902</v>
      </c>
      <c r="K45" s="905">
        <f t="shared" si="5"/>
        <v>-127329.11758700553</v>
      </c>
      <c r="L45" s="849" t="s">
        <v>1476</v>
      </c>
      <c r="M45" s="907">
        <f>SUM(K29:K45)</f>
        <v>-2093521.9588687436</v>
      </c>
      <c r="N45" s="860">
        <f>M45+M28</f>
        <v>-2285990.7087641484</v>
      </c>
    </row>
    <row r="47" spans="1:14" x14ac:dyDescent="0.25">
      <c r="K47" s="860"/>
      <c r="L47" s="907"/>
    </row>
    <row r="48" spans="1:14" x14ac:dyDescent="0.25">
      <c r="K48" s="860"/>
    </row>
    <row r="49" spans="11:12" x14ac:dyDescent="0.25">
      <c r="K49" s="858"/>
      <c r="L49" s="858"/>
    </row>
    <row r="50" spans="11:12" x14ac:dyDescent="0.25">
      <c r="K50" s="860"/>
    </row>
    <row r="51" spans="11:12" x14ac:dyDescent="0.25">
      <c r="K51" s="860"/>
    </row>
    <row r="52" spans="11:12" x14ac:dyDescent="0.25">
      <c r="K52" s="860"/>
    </row>
    <row r="53" spans="11:12" x14ac:dyDescent="0.25">
      <c r="K53" s="860"/>
    </row>
    <row r="55" spans="11:12" x14ac:dyDescent="0.25">
      <c r="K55" s="861"/>
    </row>
    <row r="56" spans="11:12" x14ac:dyDescent="0.25">
      <c r="K56" s="861"/>
    </row>
    <row r="57" spans="11:12" x14ac:dyDescent="0.25">
      <c r="K57" s="861"/>
    </row>
  </sheetData>
  <autoFilter ref="A6:K45" xr:uid="{A065767A-2CFF-4508-BF04-277221F88560}"/>
  <mergeCells count="1">
    <mergeCell ref="G5:I5"/>
  </mergeCells>
  <pageMargins left="0.7" right="0.7" top="0.75" bottom="0.75" header="0.3" footer="0.3"/>
  <pageSetup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57AE9-8637-4CD6-A824-DBF07F5C773E}">
  <dimension ref="A2:O35"/>
  <sheetViews>
    <sheetView showGridLines="0" topLeftCell="C8" workbookViewId="0">
      <selection activeCell="B1" sqref="B1"/>
    </sheetView>
  </sheetViews>
  <sheetFormatPr defaultColWidth="9.1796875" defaultRowHeight="10.5" x14ac:dyDescent="0.25"/>
  <cols>
    <col min="1" max="1" width="11.453125" style="849" bestFit="1" customWidth="1"/>
    <col min="2" max="2" width="24" style="849" bestFit="1" customWidth="1"/>
    <col min="3" max="3" width="7.453125" style="849" bestFit="1" customWidth="1"/>
    <col min="4" max="4" width="10.453125" style="849" bestFit="1" customWidth="1"/>
    <col min="5" max="5" width="40.1796875" style="849" bestFit="1" customWidth="1"/>
    <col min="6" max="6" width="8" style="849" bestFit="1" customWidth="1"/>
    <col min="7" max="7" width="9.54296875" style="849" bestFit="1" customWidth="1"/>
    <col min="8" max="8" width="8.81640625" style="849" bestFit="1" customWidth="1"/>
    <col min="9" max="9" width="9.54296875" style="849" bestFit="1" customWidth="1"/>
    <col min="10" max="10" width="11.81640625" style="849" bestFit="1" customWidth="1"/>
    <col min="11" max="11" width="9.54296875" style="849" bestFit="1" customWidth="1"/>
    <col min="12" max="12" width="15.81640625" style="849" bestFit="1" customWidth="1"/>
    <col min="13" max="13" width="16.54296875" style="849" bestFit="1" customWidth="1"/>
    <col min="14" max="14" width="14.1796875" style="849" bestFit="1" customWidth="1"/>
    <col min="15" max="16384" width="9.1796875" style="849"/>
  </cols>
  <sheetData>
    <row r="2" spans="1:14" x14ac:dyDescent="0.25">
      <c r="A2" s="848" t="s">
        <v>1424</v>
      </c>
      <c r="C2" s="848"/>
    </row>
    <row r="3" spans="1:14" x14ac:dyDescent="0.25">
      <c r="A3" s="848" t="s">
        <v>1425</v>
      </c>
      <c r="C3" s="848"/>
    </row>
    <row r="4" spans="1:14" x14ac:dyDescent="0.25">
      <c r="A4" s="848" t="s">
        <v>1491</v>
      </c>
      <c r="C4" s="848"/>
      <c r="I4" s="852">
        <f>SUBTOTAL(9,I6:I21)</f>
        <v>671098874.88999999</v>
      </c>
    </row>
    <row r="5" spans="1:14" x14ac:dyDescent="0.25">
      <c r="D5" s="850"/>
      <c r="E5" s="850"/>
      <c r="F5" s="850"/>
      <c r="G5" s="1218" t="s">
        <v>1427</v>
      </c>
      <c r="H5" s="1219"/>
      <c r="I5" s="1220"/>
      <c r="J5" s="851"/>
      <c r="K5" s="852">
        <f>SUBTOTAL(9,K7:K21)</f>
        <v>1959301.3423475735</v>
      </c>
    </row>
    <row r="6" spans="1:14" ht="12" customHeight="1" x14ac:dyDescent="0.25">
      <c r="A6" s="942" t="s">
        <v>1492</v>
      </c>
      <c r="B6" s="942" t="s">
        <v>1430</v>
      </c>
      <c r="C6" s="943" t="s">
        <v>1431</v>
      </c>
      <c r="D6" s="942" t="s">
        <v>1432</v>
      </c>
      <c r="E6" s="942" t="s">
        <v>1493</v>
      </c>
      <c r="F6" s="942" t="s">
        <v>1434</v>
      </c>
      <c r="G6" s="944" t="s">
        <v>1435</v>
      </c>
      <c r="H6" s="944" t="s">
        <v>1436</v>
      </c>
      <c r="I6" s="944" t="s">
        <v>1494</v>
      </c>
      <c r="J6" s="945" t="s">
        <v>1495</v>
      </c>
      <c r="K6" s="946" t="s">
        <v>1496</v>
      </c>
    </row>
    <row r="7" spans="1:14" x14ac:dyDescent="0.25">
      <c r="A7" s="947" t="s">
        <v>1438</v>
      </c>
      <c r="B7" s="948" t="s">
        <v>1439</v>
      </c>
      <c r="C7" s="948" t="s">
        <v>1440</v>
      </c>
      <c r="D7" s="948" t="s">
        <v>1497</v>
      </c>
      <c r="E7" s="948" t="s">
        <v>1498</v>
      </c>
      <c r="F7" s="948" t="s">
        <v>1428</v>
      </c>
      <c r="G7" s="949">
        <v>721282822.25999999</v>
      </c>
      <c r="H7" s="949">
        <v>0</v>
      </c>
      <c r="I7" s="949">
        <f>G7-H7</f>
        <v>721282822.25999999</v>
      </c>
      <c r="J7" s="950">
        <v>1</v>
      </c>
      <c r="K7" s="949">
        <f>I7*J7</f>
        <v>721282822.25999999</v>
      </c>
      <c r="L7" s="857" t="s">
        <v>1499</v>
      </c>
    </row>
    <row r="8" spans="1:14" x14ac:dyDescent="0.25">
      <c r="A8" s="947" t="s">
        <v>1438</v>
      </c>
      <c r="B8" s="948" t="s">
        <v>1439</v>
      </c>
      <c r="C8" s="948" t="s">
        <v>1440</v>
      </c>
      <c r="D8" s="948" t="s">
        <v>1500</v>
      </c>
      <c r="E8" s="948" t="s">
        <v>1501</v>
      </c>
      <c r="F8" s="948" t="s">
        <v>1428</v>
      </c>
      <c r="G8" s="949">
        <v>0</v>
      </c>
      <c r="H8" s="949">
        <v>5769555.0200000182</v>
      </c>
      <c r="I8" s="949">
        <f t="shared" ref="I8:I19" si="0">G8-H8</f>
        <v>-5769555.0200000182</v>
      </c>
      <c r="J8" s="950">
        <v>1</v>
      </c>
      <c r="K8" s="949">
        <f t="shared" ref="K8:K21" si="1">I8*J8</f>
        <v>-5769555.0200000182</v>
      </c>
      <c r="L8" s="857" t="s">
        <v>1499</v>
      </c>
    </row>
    <row r="9" spans="1:14" x14ac:dyDescent="0.25">
      <c r="A9" s="947" t="s">
        <v>1438</v>
      </c>
      <c r="B9" s="948" t="s">
        <v>1439</v>
      </c>
      <c r="C9" s="948" t="s">
        <v>1440</v>
      </c>
      <c r="D9" s="951" t="s">
        <v>1502</v>
      </c>
      <c r="E9" s="948" t="s">
        <v>1503</v>
      </c>
      <c r="F9" s="948" t="s">
        <v>1428</v>
      </c>
      <c r="G9" s="949">
        <v>0</v>
      </c>
      <c r="H9" s="949">
        <v>92977.919999999925</v>
      </c>
      <c r="I9" s="949">
        <f t="shared" si="0"/>
        <v>-92977.919999999925</v>
      </c>
      <c r="J9" s="950">
        <v>1</v>
      </c>
      <c r="K9" s="949">
        <f t="shared" si="1"/>
        <v>-92977.919999999925</v>
      </c>
      <c r="L9" s="857" t="s">
        <v>1499</v>
      </c>
    </row>
    <row r="10" spans="1:14" x14ac:dyDescent="0.25">
      <c r="A10" s="947" t="s">
        <v>1438</v>
      </c>
      <c r="B10" s="952" t="s">
        <v>1439</v>
      </c>
      <c r="C10" s="952" t="s">
        <v>1440</v>
      </c>
      <c r="D10" s="952" t="s">
        <v>1504</v>
      </c>
      <c r="E10" s="952" t="s">
        <v>1505</v>
      </c>
      <c r="F10" s="952" t="s">
        <v>1428</v>
      </c>
      <c r="G10" s="953">
        <v>85434002.940000013</v>
      </c>
      <c r="H10" s="953">
        <v>85434002.940000013</v>
      </c>
      <c r="I10" s="953">
        <f t="shared" si="0"/>
        <v>0</v>
      </c>
      <c r="J10" s="954">
        <v>1</v>
      </c>
      <c r="K10" s="955">
        <f t="shared" si="1"/>
        <v>0</v>
      </c>
      <c r="L10" s="849" t="s">
        <v>1499</v>
      </c>
    </row>
    <row r="11" spans="1:14" x14ac:dyDescent="0.25">
      <c r="A11" s="947" t="s">
        <v>1438</v>
      </c>
      <c r="B11" s="948" t="s">
        <v>1439</v>
      </c>
      <c r="C11" s="948" t="s">
        <v>1440</v>
      </c>
      <c r="D11" s="951" t="s">
        <v>1506</v>
      </c>
      <c r="E11" s="948" t="s">
        <v>1507</v>
      </c>
      <c r="F11" s="948" t="s">
        <v>1428</v>
      </c>
      <c r="G11" s="949">
        <v>14544431.99</v>
      </c>
      <c r="H11" s="949">
        <v>0</v>
      </c>
      <c r="I11" s="949">
        <f t="shared" si="0"/>
        <v>14544431.99</v>
      </c>
      <c r="J11" s="950">
        <v>1</v>
      </c>
      <c r="K11" s="949">
        <f t="shared" si="1"/>
        <v>14544431.99</v>
      </c>
      <c r="L11" s="849" t="s">
        <v>1508</v>
      </c>
    </row>
    <row r="12" spans="1:14" x14ac:dyDescent="0.25">
      <c r="A12" s="947" t="s">
        <v>1438</v>
      </c>
      <c r="B12" s="948" t="s">
        <v>1439</v>
      </c>
      <c r="C12" s="948" t="s">
        <v>1440</v>
      </c>
      <c r="D12" s="951" t="s">
        <v>1509</v>
      </c>
      <c r="E12" s="948" t="s">
        <v>1510</v>
      </c>
      <c r="F12" s="948" t="s">
        <v>1428</v>
      </c>
      <c r="G12" s="949">
        <v>0</v>
      </c>
      <c r="H12" s="949">
        <v>10276.849999999984</v>
      </c>
      <c r="I12" s="949">
        <f t="shared" si="0"/>
        <v>-10276.849999999984</v>
      </c>
      <c r="J12" s="950">
        <v>1</v>
      </c>
      <c r="K12" s="949">
        <f t="shared" si="1"/>
        <v>-10276.849999999984</v>
      </c>
      <c r="L12" s="849" t="s">
        <v>1508</v>
      </c>
    </row>
    <row r="13" spans="1:14" x14ac:dyDescent="0.25">
      <c r="A13" s="947" t="s">
        <v>1440</v>
      </c>
      <c r="B13" s="948" t="s">
        <v>1439</v>
      </c>
      <c r="C13" s="948" t="s">
        <v>1438</v>
      </c>
      <c r="D13" s="951" t="s">
        <v>1506</v>
      </c>
      <c r="E13" s="948" t="s">
        <v>1507</v>
      </c>
      <c r="F13" s="948" t="s">
        <v>1297</v>
      </c>
      <c r="G13" s="949">
        <v>3345.29</v>
      </c>
      <c r="H13" s="949">
        <v>0</v>
      </c>
      <c r="I13" s="949">
        <f t="shared" si="0"/>
        <v>3345.29</v>
      </c>
      <c r="J13" s="950">
        <v>23.293900184842883</v>
      </c>
      <c r="K13" s="949">
        <f t="shared" si="1"/>
        <v>77924.851349353048</v>
      </c>
      <c r="L13" s="849" t="s">
        <v>1499</v>
      </c>
    </row>
    <row r="14" spans="1:14" x14ac:dyDescent="0.25">
      <c r="A14" s="947" t="s">
        <v>1440</v>
      </c>
      <c r="B14" s="948" t="s">
        <v>1465</v>
      </c>
      <c r="C14" s="948" t="s">
        <v>1438</v>
      </c>
      <c r="D14" s="948" t="s">
        <v>1497</v>
      </c>
      <c r="E14" s="948" t="s">
        <v>1511</v>
      </c>
      <c r="F14" s="948" t="s">
        <v>1297</v>
      </c>
      <c r="G14" s="949">
        <v>248959.3</v>
      </c>
      <c r="H14" s="949">
        <v>0</v>
      </c>
      <c r="I14" s="949">
        <f t="shared" si="0"/>
        <v>248959.3</v>
      </c>
      <c r="J14" s="950">
        <v>23.293900184842883</v>
      </c>
      <c r="K14" s="949">
        <f>I14*J14</f>
        <v>5799233.084288355</v>
      </c>
      <c r="L14" s="860" t="s">
        <v>1499</v>
      </c>
    </row>
    <row r="15" spans="1:14" x14ac:dyDescent="0.25">
      <c r="A15" s="947" t="s">
        <v>1440</v>
      </c>
      <c r="B15" s="948" t="s">
        <v>1465</v>
      </c>
      <c r="C15" s="948" t="s">
        <v>1438</v>
      </c>
      <c r="D15" s="948" t="s">
        <v>1500</v>
      </c>
      <c r="E15" s="948" t="s">
        <v>1501</v>
      </c>
      <c r="F15" s="948" t="s">
        <v>1297</v>
      </c>
      <c r="G15" s="949">
        <v>0</v>
      </c>
      <c r="H15" s="949">
        <v>31649862.210000001</v>
      </c>
      <c r="I15" s="949">
        <f t="shared" si="0"/>
        <v>-31649862.210000001</v>
      </c>
      <c r="J15" s="950">
        <v>23.293900184842883</v>
      </c>
      <c r="K15" s="949">
        <f>I15*J15</f>
        <v>-737248731.18377078</v>
      </c>
      <c r="L15" s="849" t="s">
        <v>1499</v>
      </c>
      <c r="M15" s="907">
        <f>SUM(K7:K15)</f>
        <v>-1417128.7881330252</v>
      </c>
    </row>
    <row r="16" spans="1:14" x14ac:dyDescent="0.25">
      <c r="A16" s="947" t="s">
        <v>1438</v>
      </c>
      <c r="B16" s="948" t="s">
        <v>1439</v>
      </c>
      <c r="C16" s="948" t="s">
        <v>1473</v>
      </c>
      <c r="D16" s="948" t="s">
        <v>1500</v>
      </c>
      <c r="E16" s="948" t="s">
        <v>1501</v>
      </c>
      <c r="F16" s="948" t="s">
        <v>1428</v>
      </c>
      <c r="G16" s="949">
        <v>0</v>
      </c>
      <c r="H16" s="949">
        <v>6067618.700000003</v>
      </c>
      <c r="I16" s="949">
        <f t="shared" si="0"/>
        <v>-6067618.700000003</v>
      </c>
      <c r="J16" s="950">
        <v>1</v>
      </c>
      <c r="K16" s="949">
        <f>I16*J16</f>
        <v>-6067618.700000003</v>
      </c>
      <c r="L16" s="857" t="s">
        <v>1499</v>
      </c>
      <c r="N16" s="860"/>
    </row>
    <row r="17" spans="1:15" x14ac:dyDescent="0.25">
      <c r="A17" s="947" t="s">
        <v>1438</v>
      </c>
      <c r="B17" s="948" t="s">
        <v>1439</v>
      </c>
      <c r="C17" s="948" t="s">
        <v>1473</v>
      </c>
      <c r="D17" s="948" t="s">
        <v>1512</v>
      </c>
      <c r="E17" s="948" t="s">
        <v>1513</v>
      </c>
      <c r="F17" s="948" t="s">
        <v>1428</v>
      </c>
      <c r="G17" s="949">
        <v>0</v>
      </c>
      <c r="H17" s="949">
        <v>21035525.18</v>
      </c>
      <c r="I17" s="949">
        <f t="shared" si="0"/>
        <v>-21035525.18</v>
      </c>
      <c r="J17" s="950">
        <v>1</v>
      </c>
      <c r="K17" s="949">
        <f t="shared" si="1"/>
        <v>-21035525.18</v>
      </c>
      <c r="L17" s="857" t="s">
        <v>1499</v>
      </c>
    </row>
    <row r="18" spans="1:15" x14ac:dyDescent="0.25">
      <c r="A18" s="947" t="s">
        <v>1438</v>
      </c>
      <c r="B18" s="948" t="s">
        <v>1439</v>
      </c>
      <c r="C18" s="948" t="s">
        <v>1473</v>
      </c>
      <c r="D18" s="951" t="s">
        <v>1502</v>
      </c>
      <c r="E18" s="948" t="s">
        <v>1503</v>
      </c>
      <c r="F18" s="948" t="s">
        <v>1428</v>
      </c>
      <c r="G18" s="949">
        <v>0</v>
      </c>
      <c r="H18" s="949">
        <v>806223.84999999939</v>
      </c>
      <c r="I18" s="949">
        <f t="shared" si="0"/>
        <v>-806223.84999999939</v>
      </c>
      <c r="J18" s="950">
        <v>1</v>
      </c>
      <c r="K18" s="949">
        <f t="shared" si="1"/>
        <v>-806223.84999999939</v>
      </c>
      <c r="L18" s="857" t="s">
        <v>1499</v>
      </c>
    </row>
    <row r="19" spans="1:15" x14ac:dyDescent="0.25">
      <c r="A19" s="947" t="s">
        <v>1438</v>
      </c>
      <c r="B19" s="948" t="s">
        <v>1439</v>
      </c>
      <c r="C19" s="948" t="s">
        <v>1473</v>
      </c>
      <c r="D19" s="951" t="s">
        <v>1509</v>
      </c>
      <c r="E19" s="948" t="s">
        <v>1510</v>
      </c>
      <c r="F19" s="948" t="s">
        <v>1428</v>
      </c>
      <c r="G19" s="949">
        <v>86726.32</v>
      </c>
      <c r="H19" s="949">
        <v>0</v>
      </c>
      <c r="I19" s="949">
        <f t="shared" si="0"/>
        <v>86726.32</v>
      </c>
      <c r="J19" s="950">
        <v>1</v>
      </c>
      <c r="K19" s="949">
        <f t="shared" si="1"/>
        <v>86726.32</v>
      </c>
      <c r="L19" s="857" t="s">
        <v>1499</v>
      </c>
    </row>
    <row r="20" spans="1:15" x14ac:dyDescent="0.25">
      <c r="A20" s="947" t="s">
        <v>1473</v>
      </c>
      <c r="B20" s="948" t="s">
        <v>1484</v>
      </c>
      <c r="C20" s="948" t="s">
        <v>1438</v>
      </c>
      <c r="D20" s="948" t="s">
        <v>1497</v>
      </c>
      <c r="E20" s="948" t="s">
        <v>1514</v>
      </c>
      <c r="F20" s="948" t="s">
        <v>1308</v>
      </c>
      <c r="G20" s="949">
        <v>79434.220000000103</v>
      </c>
      <c r="H20" s="949"/>
      <c r="I20" s="949">
        <f t="shared" ref="I20:I21" si="2">G20-H20</f>
        <v>79434.220000000103</v>
      </c>
      <c r="J20" s="950">
        <v>85.563770794824393</v>
      </c>
      <c r="K20" s="949">
        <f t="shared" si="1"/>
        <v>6796691.3933456643</v>
      </c>
      <c r="L20" s="860" t="s">
        <v>1476</v>
      </c>
    </row>
    <row r="21" spans="1:15" x14ac:dyDescent="0.25">
      <c r="A21" s="947" t="s">
        <v>1473</v>
      </c>
      <c r="B21" s="948" t="s">
        <v>1484</v>
      </c>
      <c r="C21" s="948" t="s">
        <v>1438</v>
      </c>
      <c r="D21" s="951" t="s">
        <v>1515</v>
      </c>
      <c r="E21" s="666" t="s">
        <v>1516</v>
      </c>
      <c r="F21" s="948" t="s">
        <v>1308</v>
      </c>
      <c r="G21" s="949">
        <v>285195.24</v>
      </c>
      <c r="H21" s="949"/>
      <c r="I21" s="949">
        <f t="shared" si="2"/>
        <v>285195.24</v>
      </c>
      <c r="J21" s="950">
        <v>85.563770794824393</v>
      </c>
      <c r="K21" s="949">
        <f t="shared" si="1"/>
        <v>24402380.147134934</v>
      </c>
      <c r="L21" s="907" t="s">
        <v>1476</v>
      </c>
      <c r="M21" s="907">
        <f>SUM(K16:K21)</f>
        <v>3376430.1304805987</v>
      </c>
      <c r="N21" s="860">
        <f>M21+M15</f>
        <v>1959301.3423475735</v>
      </c>
    </row>
    <row r="24" spans="1:15" x14ac:dyDescent="0.25">
      <c r="G24" s="857"/>
    </row>
    <row r="25" spans="1:15" x14ac:dyDescent="0.25">
      <c r="G25" s="1221" t="s">
        <v>1517</v>
      </c>
      <c r="H25" s="1222"/>
      <c r="I25" s="1222"/>
      <c r="J25" s="1222"/>
      <c r="K25" s="885"/>
    </row>
    <row r="26" spans="1:15" x14ac:dyDescent="0.25">
      <c r="G26" s="1223" t="s">
        <v>1518</v>
      </c>
      <c r="H26" s="1224"/>
      <c r="I26" s="1224"/>
      <c r="J26" s="909" t="s">
        <v>1519</v>
      </c>
      <c r="K26" s="910" t="s">
        <v>1520</v>
      </c>
      <c r="L26" s="884" t="s">
        <v>566</v>
      </c>
      <c r="M26" s="884" t="s">
        <v>1188</v>
      </c>
    </row>
    <row r="27" spans="1:15" x14ac:dyDescent="0.25">
      <c r="F27" s="876" t="s">
        <v>1430</v>
      </c>
      <c r="G27" s="893" t="s">
        <v>3</v>
      </c>
      <c r="H27" s="892" t="s">
        <v>670</v>
      </c>
      <c r="I27" s="892" t="s">
        <v>1521</v>
      </c>
      <c r="K27" s="886"/>
    </row>
    <row r="28" spans="1:15" x14ac:dyDescent="0.25">
      <c r="F28" s="861" t="s">
        <v>1438</v>
      </c>
      <c r="G28" s="887">
        <f>SUMIF($A$7:$A$21,F28,$K$7:$K$21)</f>
        <v>702131803.05000007</v>
      </c>
      <c r="H28" s="888">
        <f>SUMIF('Elimination - PL'!$A$7:$A$45,'Elimination - BS'!F28,'Elimination - PL'!$K$7:$K$45)</f>
        <v>72999721.989999995</v>
      </c>
      <c r="I28" s="888">
        <f>G28+H28</f>
        <v>775131525.04000008</v>
      </c>
      <c r="J28" s="888">
        <v>0</v>
      </c>
      <c r="K28" s="889">
        <f>I28+J28</f>
        <v>775131525.04000008</v>
      </c>
      <c r="L28" s="861">
        <f>'Standalone TB'!G4</f>
        <v>0</v>
      </c>
      <c r="M28" s="861">
        <f>K28-L28</f>
        <v>775131525.04000008</v>
      </c>
    </row>
    <row r="29" spans="1:15" x14ac:dyDescent="0.25">
      <c r="F29" s="861" t="s">
        <v>1440</v>
      </c>
      <c r="G29" s="887">
        <f>SUMIF($A$7:$A$21,F29,$K$7:$K$21)</f>
        <v>-731371573.24813306</v>
      </c>
      <c r="H29" s="888">
        <f>SUMIF('Elimination - PL'!$A$7:$A$45,'Elimination - BS'!F29,'Elimination - PL'!$K$7:$K$45)</f>
        <v>-51664002.299895398</v>
      </c>
      <c r="I29" s="888">
        <f>G29+H29</f>
        <v>-783035575.54802847</v>
      </c>
      <c r="J29" s="888">
        <f>203016+87710-62335-26992+14409</f>
        <v>215808</v>
      </c>
      <c r="K29" s="889">
        <f>I29+J29</f>
        <v>-782819767.54802847</v>
      </c>
      <c r="L29" s="861">
        <f>'Standalone TB'!N4</f>
        <v>0</v>
      </c>
      <c r="M29" s="861">
        <f>K29-L29</f>
        <v>-782819767.54802847</v>
      </c>
    </row>
    <row r="30" spans="1:15" x14ac:dyDescent="0.25">
      <c r="F30" s="861" t="s">
        <v>1473</v>
      </c>
      <c r="G30" s="887">
        <f>SUMIF($A$7:$A$21,F30,$K$7:$K$21)</f>
        <v>31199071.540480599</v>
      </c>
      <c r="H30" s="888">
        <f>SUMIF('Elimination - PL'!$A$7:$A$45,'Elimination - BS'!F30,'Elimination - PL'!$K$7:$K$45)</f>
        <v>-23621710.398868736</v>
      </c>
      <c r="I30" s="888">
        <f>G30+H30</f>
        <v>7577361.1416118629</v>
      </c>
      <c r="J30" s="888">
        <f>-96946.993617993+21836-33702</f>
        <v>-108812.99361799299</v>
      </c>
      <c r="K30" s="889">
        <f>I30+J30</f>
        <v>7468548.1479938701</v>
      </c>
      <c r="L30" s="861">
        <f>'Standalone TB'!U4</f>
        <v>-348050699.69554996</v>
      </c>
      <c r="M30" s="861">
        <f>K30-L30</f>
        <v>355519247.84354383</v>
      </c>
      <c r="O30" s="849" t="s">
        <v>174</v>
      </c>
    </row>
    <row r="31" spans="1:15" x14ac:dyDescent="0.25">
      <c r="F31" s="876" t="s">
        <v>100</v>
      </c>
      <c r="G31" s="890">
        <f t="shared" ref="G31:K31" si="3">SUM(G28:G30)</f>
        <v>1959301.342347607</v>
      </c>
      <c r="H31" s="891">
        <f t="shared" si="3"/>
        <v>-2285990.7087641396</v>
      </c>
      <c r="I31" s="891">
        <f t="shared" si="3"/>
        <v>-326689.3664165251</v>
      </c>
      <c r="J31" s="891">
        <f>SUM(J28:J30)</f>
        <v>106995.00638200701</v>
      </c>
      <c r="K31" s="891">
        <f t="shared" si="3"/>
        <v>-219694.36003451794</v>
      </c>
      <c r="L31" s="860">
        <f>SUM(L28:L30)</f>
        <v>-348050699.69554996</v>
      </c>
    </row>
    <row r="32" spans="1:15" x14ac:dyDescent="0.25">
      <c r="K32" s="860"/>
    </row>
    <row r="35" spans="7:12" x14ac:dyDescent="0.25">
      <c r="G35" s="861"/>
      <c r="H35" s="861"/>
      <c r="I35" s="861"/>
      <c r="K35" s="860"/>
      <c r="L35" s="860"/>
    </row>
  </sheetData>
  <autoFilter ref="A6:K21" xr:uid="{95B57AE9-8637-4CD6-A824-DBF07F5C773E}"/>
  <mergeCells count="3">
    <mergeCell ref="G5:I5"/>
    <mergeCell ref="G25:J25"/>
    <mergeCell ref="G26:I26"/>
  </mergeCells>
  <pageMargins left="0.7" right="0.7" top="0.75" bottom="0.75" header="0.3" footer="0.3"/>
  <pageSetup orientation="portrait"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40E37-0DAD-442A-AB95-27414832897E}">
  <sheetPr filterMode="1"/>
  <dimension ref="A1:AI635"/>
  <sheetViews>
    <sheetView showGridLines="0" topLeftCell="B1" zoomScale="104" zoomScaleNormal="98" workbookViewId="0">
      <pane xSplit="3" ySplit="7" topLeftCell="R53" activePane="bottomRight" state="frozen"/>
      <selection activeCell="B1" sqref="B1"/>
      <selection pane="topRight" activeCell="B1" sqref="B1"/>
      <selection pane="bottomLeft" activeCell="B1" sqref="B1"/>
      <selection pane="bottomRight" activeCell="B1" sqref="B1"/>
    </sheetView>
  </sheetViews>
  <sheetFormatPr defaultColWidth="9.1796875" defaultRowHeight="10" x14ac:dyDescent="0.2"/>
  <cols>
    <col min="1" max="1" width="3.453125" style="666" customWidth="1"/>
    <col min="2" max="2" width="12.81640625" style="666" customWidth="1"/>
    <col min="3" max="3" width="52.81640625" style="666" customWidth="1"/>
    <col min="4" max="4" width="3.1796875" style="666" customWidth="1"/>
    <col min="5" max="7" width="15.81640625" style="666" customWidth="1"/>
    <col min="8" max="8" width="16.1796875" style="652" bestFit="1" customWidth="1"/>
    <col min="9" max="12" width="16.1796875" style="652" customWidth="1"/>
    <col min="13" max="19" width="14.54296875" style="652" customWidth="1"/>
    <col min="20" max="23" width="15.81640625" style="652" customWidth="1"/>
    <col min="24" max="25" width="13.81640625" style="662" customWidth="1"/>
    <col min="26" max="26" width="18.1796875" style="662" bestFit="1" customWidth="1"/>
    <col min="27" max="27" width="18.54296875" style="662" customWidth="1"/>
    <col min="28" max="28" width="25.453125" style="666" bestFit="1" customWidth="1"/>
    <col min="29" max="29" width="22.54296875" style="666" customWidth="1"/>
    <col min="30" max="30" width="23.1796875" style="666" customWidth="1"/>
    <col min="31" max="31" width="13.1796875" style="666" bestFit="1" customWidth="1"/>
    <col min="32" max="32" width="11.81640625" style="666" bestFit="1" customWidth="1"/>
    <col min="33" max="33" width="9.1796875" style="666"/>
    <col min="34" max="34" width="14.453125" style="666" bestFit="1" customWidth="1"/>
    <col min="35" max="35" width="12.1796875" style="666" bestFit="1" customWidth="1"/>
    <col min="36" max="16384" width="9.1796875" style="666"/>
  </cols>
  <sheetData>
    <row r="1" spans="2:35" ht="10.5" x14ac:dyDescent="0.25">
      <c r="B1" s="749"/>
      <c r="E1" s="652"/>
      <c r="N1" s="915" t="s">
        <v>1297</v>
      </c>
      <c r="O1" s="915"/>
      <c r="P1" s="914" t="s">
        <v>1701</v>
      </c>
      <c r="U1" s="1232" t="s">
        <v>1308</v>
      </c>
      <c r="V1" s="1233"/>
      <c r="W1" s="914" t="s">
        <v>1701</v>
      </c>
    </row>
    <row r="2" spans="2:35" ht="10.5" x14ac:dyDescent="0.2">
      <c r="B2" s="749"/>
      <c r="E2" s="652"/>
      <c r="F2" s="652"/>
      <c r="G2" s="1083"/>
      <c r="H2" s="652">
        <v>364337092</v>
      </c>
      <c r="I2" s="652">
        <f>H2/10^5</f>
        <v>3643.3709199999998</v>
      </c>
      <c r="J2" s="652">
        <v>6.2207016999996085</v>
      </c>
      <c r="K2" s="652">
        <f>J2*100000</f>
        <v>622070.16999996081</v>
      </c>
      <c r="N2" s="690" t="s">
        <v>3</v>
      </c>
      <c r="O2" s="691">
        <v>23.293900184842883</v>
      </c>
      <c r="P2" s="834">
        <v>22.689299999999999</v>
      </c>
      <c r="Q2" s="652">
        <f>(Q4+R4)*V3</f>
        <v>-343405297.80906326</v>
      </c>
      <c r="U2" s="690" t="s">
        <v>3</v>
      </c>
      <c r="V2" s="834">
        <v>85.563770794824407</v>
      </c>
      <c r="W2" s="691">
        <v>83.341099999999997</v>
      </c>
      <c r="X2" s="662">
        <f>X4/10^5</f>
        <v>-3628.3708069554996</v>
      </c>
      <c r="AB2" s="652"/>
      <c r="AC2" s="971"/>
    </row>
    <row r="3" spans="2:35" ht="10.5" x14ac:dyDescent="0.25">
      <c r="B3" s="749"/>
      <c r="C3" s="750"/>
      <c r="E3" s="652"/>
      <c r="F3" s="652"/>
      <c r="G3" s="652"/>
      <c r="H3" s="652">
        <f>H4/10^5</f>
        <v>-147.86381</v>
      </c>
      <c r="I3" s="652">
        <f>I2-H3</f>
        <v>3791.2347299999997</v>
      </c>
      <c r="N3" s="692" t="s">
        <v>670</v>
      </c>
      <c r="O3" s="691">
        <v>22.983571720509691</v>
      </c>
      <c r="P3" s="834">
        <v>22.538599999999999</v>
      </c>
      <c r="U3" s="692" t="s">
        <v>670</v>
      </c>
      <c r="V3" s="835">
        <v>84.421758718385902</v>
      </c>
      <c r="W3" s="691">
        <v>82.794200000000004</v>
      </c>
      <c r="AB3" s="652"/>
      <c r="AC3" s="652"/>
    </row>
    <row r="4" spans="2:35" ht="10.5" x14ac:dyDescent="0.25">
      <c r="B4" s="668"/>
      <c r="C4" s="679"/>
      <c r="D4" s="680"/>
      <c r="E4" s="847">
        <f t="shared" ref="E4:Y4" si="0">SUBTOTAL(9,E8:E623)</f>
        <v>-14656106</v>
      </c>
      <c r="F4" s="681">
        <f t="shared" si="0"/>
        <v>-130275</v>
      </c>
      <c r="G4" s="681">
        <f>SUBTOTAL(9,G8:G623)</f>
        <v>0</v>
      </c>
      <c r="H4" s="681">
        <f t="shared" si="0"/>
        <v>-14786381</v>
      </c>
      <c r="I4" s="681">
        <f t="shared" si="0"/>
        <v>-14656106</v>
      </c>
      <c r="J4" s="847">
        <f t="shared" si="0"/>
        <v>0</v>
      </c>
      <c r="K4" s="681">
        <f t="shared" si="0"/>
        <v>0</v>
      </c>
      <c r="L4" s="681">
        <f t="shared" si="0"/>
        <v>0</v>
      </c>
      <c r="M4" s="681">
        <f t="shared" si="0"/>
        <v>0</v>
      </c>
      <c r="N4" s="681">
        <f t="shared" si="0"/>
        <v>0</v>
      </c>
      <c r="O4" s="681">
        <f t="shared" si="0"/>
        <v>0</v>
      </c>
      <c r="P4" s="681">
        <f t="shared" si="0"/>
        <v>0</v>
      </c>
      <c r="Q4" s="681">
        <f t="shared" si="0"/>
        <v>-5204399.82</v>
      </c>
      <c r="R4" s="681">
        <f t="shared" si="0"/>
        <v>1136665.3517500001</v>
      </c>
      <c r="S4" s="681">
        <f t="shared" si="0"/>
        <v>0</v>
      </c>
      <c r="T4" s="681">
        <f t="shared" si="0"/>
        <v>-4067734.4682499999</v>
      </c>
      <c r="U4" s="681">
        <f t="shared" si="0"/>
        <v>-348050699.69554996</v>
      </c>
      <c r="V4" s="681">
        <f t="shared" si="0"/>
        <v>-3145747.2199999997</v>
      </c>
      <c r="W4" s="681">
        <f t="shared" si="0"/>
        <v>-262170033.63674194</v>
      </c>
      <c r="X4" s="737">
        <f t="shared" si="0"/>
        <v>-362837080.69554996</v>
      </c>
      <c r="Y4" s="737">
        <f t="shared" si="0"/>
        <v>-276826139.63674194</v>
      </c>
      <c r="Z4" s="681"/>
      <c r="AA4" s="681"/>
      <c r="AB4" s="665"/>
      <c r="AC4" s="713"/>
      <c r="AD4" s="652"/>
      <c r="AH4" s="667"/>
      <c r="AI4" s="667"/>
    </row>
    <row r="5" spans="2:35" ht="14.5" customHeight="1" x14ac:dyDescent="0.25">
      <c r="B5" s="668"/>
      <c r="C5" s="679"/>
      <c r="D5" s="680"/>
      <c r="E5" s="1225" t="s">
        <v>1526</v>
      </c>
      <c r="F5" s="1225"/>
      <c r="G5" s="1225"/>
      <c r="H5" s="1225"/>
      <c r="I5" s="1225"/>
      <c r="J5" s="1226" t="s">
        <v>1551</v>
      </c>
      <c r="K5" s="1227"/>
      <c r="L5" s="1227"/>
      <c r="M5" s="1227"/>
      <c r="N5" s="1227"/>
      <c r="O5" s="1227"/>
      <c r="P5" s="1228"/>
      <c r="Q5" s="1229" t="s">
        <v>1534</v>
      </c>
      <c r="R5" s="1230"/>
      <c r="S5" s="1230"/>
      <c r="T5" s="1230"/>
      <c r="U5" s="1230"/>
      <c r="V5" s="1230"/>
      <c r="W5" s="1231"/>
      <c r="X5" s="681"/>
      <c r="Y5" s="681"/>
      <c r="Z5" s="681"/>
      <c r="AA5" s="681"/>
      <c r="AB5" s="665"/>
      <c r="AC5" s="667"/>
      <c r="AH5" s="667"/>
      <c r="AI5" s="667"/>
    </row>
    <row r="6" spans="2:35" ht="11" thickBot="1" x14ac:dyDescent="0.3">
      <c r="B6" s="669"/>
      <c r="C6" s="669"/>
      <c r="D6" s="670"/>
      <c r="E6" s="682">
        <v>45747</v>
      </c>
      <c r="F6" s="671" t="s">
        <v>1702</v>
      </c>
      <c r="G6" s="671" t="s">
        <v>1703</v>
      </c>
      <c r="H6" s="831">
        <v>45717</v>
      </c>
      <c r="I6" s="827">
        <v>45382</v>
      </c>
      <c r="J6" s="682">
        <v>45717</v>
      </c>
      <c r="K6" s="671" t="s">
        <v>1702</v>
      </c>
      <c r="L6" s="671" t="s">
        <v>1703</v>
      </c>
      <c r="M6" s="831">
        <v>45717</v>
      </c>
      <c r="N6" s="831">
        <v>45717</v>
      </c>
      <c r="O6" s="827">
        <v>45352</v>
      </c>
      <c r="P6" s="828">
        <v>45352</v>
      </c>
      <c r="Q6" s="686">
        <v>45717</v>
      </c>
      <c r="R6" s="671" t="s">
        <v>1702</v>
      </c>
      <c r="S6" s="671" t="s">
        <v>1703</v>
      </c>
      <c r="T6" s="831">
        <v>45717</v>
      </c>
      <c r="U6" s="831">
        <v>45717</v>
      </c>
      <c r="V6" s="827">
        <v>45352</v>
      </c>
      <c r="W6" s="828">
        <v>45352</v>
      </c>
      <c r="X6" s="687" t="s">
        <v>1704</v>
      </c>
      <c r="Y6" s="687" t="s">
        <v>1705</v>
      </c>
      <c r="Z6" s="695"/>
      <c r="AA6" s="695"/>
      <c r="AH6" s="667"/>
      <c r="AI6" s="667"/>
    </row>
    <row r="7" spans="2:35" ht="11.5" thickTop="1" thickBot="1" x14ac:dyDescent="0.3">
      <c r="B7" s="669" t="s">
        <v>1432</v>
      </c>
      <c r="C7" s="669" t="s">
        <v>1706</v>
      </c>
      <c r="D7" s="669" t="s">
        <v>1707</v>
      </c>
      <c r="E7" s="683" t="s">
        <v>1428</v>
      </c>
      <c r="F7" s="672" t="s">
        <v>1428</v>
      </c>
      <c r="G7" s="672" t="s">
        <v>1428</v>
      </c>
      <c r="H7" s="832" t="s">
        <v>1428</v>
      </c>
      <c r="I7" s="829" t="s">
        <v>1428</v>
      </c>
      <c r="J7" s="683" t="s">
        <v>1297</v>
      </c>
      <c r="K7" s="672" t="s">
        <v>1297</v>
      </c>
      <c r="L7" s="672" t="s">
        <v>1297</v>
      </c>
      <c r="M7" s="832" t="s">
        <v>1297</v>
      </c>
      <c r="N7" s="832" t="s">
        <v>1428</v>
      </c>
      <c r="O7" s="829" t="s">
        <v>1297</v>
      </c>
      <c r="P7" s="830" t="s">
        <v>1428</v>
      </c>
      <c r="Q7" s="683" t="s">
        <v>1308</v>
      </c>
      <c r="R7" s="672" t="s">
        <v>1308</v>
      </c>
      <c r="S7" s="672" t="s">
        <v>1308</v>
      </c>
      <c r="T7" s="832" t="s">
        <v>1308</v>
      </c>
      <c r="U7" s="832" t="s">
        <v>1428</v>
      </c>
      <c r="V7" s="829" t="s">
        <v>1308</v>
      </c>
      <c r="W7" s="830" t="s">
        <v>1428</v>
      </c>
      <c r="X7" s="688" t="s">
        <v>1428</v>
      </c>
      <c r="Y7" s="688" t="s">
        <v>1428</v>
      </c>
      <c r="Z7" s="694" t="s">
        <v>1708</v>
      </c>
      <c r="AA7" s="694" t="s">
        <v>1709</v>
      </c>
      <c r="AB7" s="693" t="s">
        <v>1710</v>
      </c>
      <c r="AD7" s="667"/>
      <c r="AI7" s="667"/>
    </row>
    <row r="8" spans="2:35" ht="10.5" hidden="1" thickTop="1" x14ac:dyDescent="0.2">
      <c r="B8" s="673" t="s">
        <v>1711</v>
      </c>
      <c r="C8" s="666" t="s">
        <v>1712</v>
      </c>
      <c r="D8" s="666" t="s">
        <v>3</v>
      </c>
      <c r="E8" s="684">
        <v>-5061830</v>
      </c>
      <c r="F8" s="652">
        <f>SUMIFS(OBE!$H:$H,OBE!$C:$C,'Standalone TB'!$B8,OBE!$B:$B,"A21")</f>
        <v>0</v>
      </c>
      <c r="G8" s="652">
        <f>SUMIFS('Elimination - BS'!I:I,'Elimination - BS'!D:D,'Standalone TB'!B8,'Elimination - BS'!A:A,"EA21")</f>
        <v>0</v>
      </c>
      <c r="H8" s="652">
        <f t="shared" ref="H8:H39" si="1">SUM(E8:G8)</f>
        <v>-5061830</v>
      </c>
      <c r="I8" s="652">
        <v>-5061830</v>
      </c>
      <c r="J8" s="684">
        <v>0</v>
      </c>
      <c r="K8" s="652">
        <f>SUMIFS(OBE!$H:$H,OBE!$C:$C,'Standalone TB'!$B8,OBE!$B:$B,"A22")</f>
        <v>0</v>
      </c>
      <c r="L8" s="652">
        <f>SUMIFS('Elimination - BS'!I:I,'Elimination - BS'!D:D,'Standalone TB'!B8,'Elimination - BS'!A:A,"EA22")</f>
        <v>0</v>
      </c>
      <c r="M8" s="652">
        <f t="shared" ref="M8:M71" si="2">SUM(J8:L8)</f>
        <v>0</v>
      </c>
      <c r="N8" s="652">
        <f t="shared" ref="N8:N71" si="3">M8*$O$2</f>
        <v>0</v>
      </c>
      <c r="O8" s="652">
        <v>0</v>
      </c>
      <c r="P8" s="685">
        <v>0</v>
      </c>
      <c r="Q8" s="684">
        <v>0</v>
      </c>
      <c r="R8" s="652">
        <f>SUMIFS(OBE!$H:$H,OBE!$C:$C,'Standalone TB'!$B8,OBE!$B:$B,"A20")</f>
        <v>0</v>
      </c>
      <c r="S8" s="652">
        <f>SUMIFS('Elimination - BS'!I:I,'Elimination - BS'!D:D,'Standalone TB'!B8,'Elimination - BS'!A:A,"EA20")</f>
        <v>0</v>
      </c>
      <c r="T8" s="652">
        <f t="shared" ref="T8:T71" si="4">SUM(Q8:S8)</f>
        <v>0</v>
      </c>
      <c r="U8" s="652">
        <f t="shared" ref="U8:U71" si="5">T8*$V$2</f>
        <v>0</v>
      </c>
      <c r="V8" s="652">
        <v>0</v>
      </c>
      <c r="W8" s="685">
        <v>0</v>
      </c>
      <c r="X8" s="689">
        <f t="shared" ref="X8:X71" si="6">H8+N8+U8</f>
        <v>-5061830</v>
      </c>
      <c r="Y8" s="689">
        <f t="shared" ref="Y8:Y71" si="7">I8+P8+W8</f>
        <v>-5061830</v>
      </c>
      <c r="Z8" s="652" t="s">
        <v>1713</v>
      </c>
      <c r="AA8" s="652" t="s">
        <v>30</v>
      </c>
      <c r="AB8" s="666" t="s">
        <v>76</v>
      </c>
      <c r="AD8" s="665"/>
      <c r="AI8" s="667"/>
    </row>
    <row r="9" spans="2:35" ht="10.5" hidden="1" thickTop="1" x14ac:dyDescent="0.2">
      <c r="B9" s="673" t="s">
        <v>1714</v>
      </c>
      <c r="C9" s="666" t="s">
        <v>1715</v>
      </c>
      <c r="D9" s="666" t="s">
        <v>3</v>
      </c>
      <c r="E9" s="684">
        <v>0</v>
      </c>
      <c r="F9" s="652">
        <f>SUMIFS(OBE!$H:$H,OBE!$C:$C,'Standalone TB'!$B9,OBE!$B:$B,"A21")</f>
        <v>0</v>
      </c>
      <c r="G9" s="652">
        <f>SUMIFS('Elimination - BS'!I:I,'Elimination - BS'!D:D,'Standalone TB'!B9,'Elimination - BS'!A:A,"EA21")</f>
        <v>0</v>
      </c>
      <c r="H9" s="652">
        <f t="shared" si="1"/>
        <v>0</v>
      </c>
      <c r="I9" s="652">
        <v>0</v>
      </c>
      <c r="J9" s="684">
        <v>0</v>
      </c>
      <c r="K9" s="652">
        <f>SUMIFS(OBE!$H:$H,OBE!$C:$C,'Standalone TB'!$B9,OBE!$B:$B,"A22")</f>
        <v>0</v>
      </c>
      <c r="L9" s="652">
        <f>SUMIFS('Elimination - BS'!I:I,'Elimination - BS'!D:D,'Standalone TB'!B9,'Elimination - BS'!A:A,"EA22")</f>
        <v>0</v>
      </c>
      <c r="M9" s="652">
        <f t="shared" si="2"/>
        <v>0</v>
      </c>
      <c r="N9" s="652">
        <f t="shared" si="3"/>
        <v>0</v>
      </c>
      <c r="O9" s="652">
        <v>0</v>
      </c>
      <c r="P9" s="685">
        <v>0</v>
      </c>
      <c r="Q9" s="684">
        <v>0</v>
      </c>
      <c r="R9" s="652">
        <f>SUMIFS(OBE!$H:$H,OBE!$C:$C,'Standalone TB'!$B9,OBE!$B:$B,"A20")</f>
        <v>0</v>
      </c>
      <c r="S9" s="652">
        <f>SUMIFS('Elimination - BS'!I:I,'Elimination - BS'!D:D,'Standalone TB'!B9,'Elimination - BS'!A:A,"EA20")</f>
        <v>0</v>
      </c>
      <c r="T9" s="652">
        <f t="shared" si="4"/>
        <v>0</v>
      </c>
      <c r="U9" s="652">
        <f t="shared" si="5"/>
        <v>0</v>
      </c>
      <c r="V9" s="652">
        <v>0</v>
      </c>
      <c r="W9" s="685">
        <v>0</v>
      </c>
      <c r="X9" s="689">
        <f t="shared" si="6"/>
        <v>0</v>
      </c>
      <c r="Y9" s="689">
        <f t="shared" si="7"/>
        <v>0</v>
      </c>
      <c r="Z9" s="652" t="s">
        <v>1713</v>
      </c>
      <c r="AA9" s="652" t="s">
        <v>30</v>
      </c>
      <c r="AB9" s="666" t="s">
        <v>32</v>
      </c>
      <c r="AD9" s="665"/>
    </row>
    <row r="10" spans="2:35" ht="10.5" hidden="1" thickTop="1" x14ac:dyDescent="0.2">
      <c r="B10" s="673" t="s">
        <v>1716</v>
      </c>
      <c r="C10" s="666" t="s">
        <v>1717</v>
      </c>
      <c r="D10" s="666" t="s">
        <v>3</v>
      </c>
      <c r="E10" s="684">
        <v>0</v>
      </c>
      <c r="F10" s="652">
        <f>SUMIFS(OBE!$H:$H,OBE!$C:$C,'Standalone TB'!$B10,OBE!$B:$B,"A21")</f>
        <v>0</v>
      </c>
      <c r="G10" s="652">
        <f>SUMIFS('Elimination - BS'!I:I,'Elimination - BS'!D:D,'Standalone TB'!B10,'Elimination - BS'!A:A,"EA21")</f>
        <v>0</v>
      </c>
      <c r="H10" s="652">
        <f t="shared" si="1"/>
        <v>0</v>
      </c>
      <c r="I10" s="652">
        <v>0</v>
      </c>
      <c r="J10" s="684">
        <v>0</v>
      </c>
      <c r="K10" s="652">
        <f>SUMIFS(OBE!$H:$H,OBE!$C:$C,'Standalone TB'!$B10,OBE!$B:$B,"A22")</f>
        <v>0</v>
      </c>
      <c r="L10" s="652">
        <f>SUMIFS('Elimination - BS'!I:I,'Elimination - BS'!D:D,'Standalone TB'!B10,'Elimination - BS'!A:A,"EA22")</f>
        <v>0</v>
      </c>
      <c r="M10" s="652">
        <f t="shared" si="2"/>
        <v>0</v>
      </c>
      <c r="N10" s="652">
        <f t="shared" si="3"/>
        <v>0</v>
      </c>
      <c r="O10" s="652">
        <v>0</v>
      </c>
      <c r="P10" s="685">
        <v>0</v>
      </c>
      <c r="Q10" s="684">
        <v>0</v>
      </c>
      <c r="R10" s="652">
        <f>SUMIFS(OBE!$H:$H,OBE!$C:$C,'Standalone TB'!$B10,OBE!$B:$B,"A20")</f>
        <v>0</v>
      </c>
      <c r="S10" s="652">
        <f>SUMIFS('Elimination - BS'!I:I,'Elimination - BS'!D:D,'Standalone TB'!B10,'Elimination - BS'!A:A,"EA20")</f>
        <v>0</v>
      </c>
      <c r="T10" s="652">
        <f t="shared" si="4"/>
        <v>0</v>
      </c>
      <c r="U10" s="652">
        <f t="shared" si="5"/>
        <v>0</v>
      </c>
      <c r="V10" s="652">
        <v>0</v>
      </c>
      <c r="W10" s="685">
        <v>0</v>
      </c>
      <c r="X10" s="689">
        <f t="shared" si="6"/>
        <v>0</v>
      </c>
      <c r="Y10" s="689">
        <f t="shared" si="7"/>
        <v>0</v>
      </c>
      <c r="Z10" s="652" t="s">
        <v>1713</v>
      </c>
      <c r="AA10" s="652" t="s">
        <v>30</v>
      </c>
      <c r="AB10" s="666" t="s">
        <v>32</v>
      </c>
      <c r="AD10" s="665"/>
    </row>
    <row r="11" spans="2:35" ht="10.5" hidden="1" thickTop="1" x14ac:dyDescent="0.2">
      <c r="B11" s="673" t="s">
        <v>1718</v>
      </c>
      <c r="C11" s="666" t="s">
        <v>1719</v>
      </c>
      <c r="D11" s="666" t="s">
        <v>3</v>
      </c>
      <c r="E11" s="684">
        <v>-4191753984</v>
      </c>
      <c r="F11" s="652">
        <f>SUMIFS(OBE!$H:$H,OBE!$C:$C,'Standalone TB'!$B11,OBE!$B:$B,"A21")</f>
        <v>0</v>
      </c>
      <c r="G11" s="652">
        <f>SUMIFS('Elimination - BS'!I:I,'Elimination - BS'!D:D,'Standalone TB'!B11,'Elimination - BS'!A:A,"EA21")</f>
        <v>0</v>
      </c>
      <c r="H11" s="652">
        <f t="shared" si="1"/>
        <v>-4191753984</v>
      </c>
      <c r="I11" s="652">
        <v>-4191753984</v>
      </c>
      <c r="J11" s="684">
        <v>0</v>
      </c>
      <c r="K11" s="652">
        <f>SUMIFS(OBE!$H:$H,OBE!$C:$C,'Standalone TB'!$B11,OBE!$B:$B,"A22")</f>
        <v>0</v>
      </c>
      <c r="L11" s="652">
        <f>SUMIFS('Elimination - BS'!I:I,'Elimination - BS'!D:D,'Standalone TB'!B11,'Elimination - BS'!A:A,"EA22")</f>
        <v>0</v>
      </c>
      <c r="M11" s="652">
        <f t="shared" si="2"/>
        <v>0</v>
      </c>
      <c r="N11" s="652">
        <f t="shared" si="3"/>
        <v>0</v>
      </c>
      <c r="O11" s="652">
        <v>0</v>
      </c>
      <c r="P11" s="685">
        <v>0</v>
      </c>
      <c r="Q11" s="684">
        <v>0</v>
      </c>
      <c r="R11" s="652">
        <f>SUMIFS(OBE!$H:$H,OBE!$C:$C,'Standalone TB'!$B11,OBE!$B:$B,"A20")</f>
        <v>0</v>
      </c>
      <c r="S11" s="652">
        <f>SUMIFS('Elimination - BS'!I:I,'Elimination - BS'!D:D,'Standalone TB'!B11,'Elimination - BS'!A:A,"EA20")</f>
        <v>0</v>
      </c>
      <c r="T11" s="652">
        <f t="shared" si="4"/>
        <v>0</v>
      </c>
      <c r="U11" s="652">
        <f t="shared" si="5"/>
        <v>0</v>
      </c>
      <c r="V11" s="652">
        <v>0</v>
      </c>
      <c r="W11" s="685">
        <v>0</v>
      </c>
      <c r="X11" s="689">
        <f t="shared" si="6"/>
        <v>-4191753984</v>
      </c>
      <c r="Y11" s="689">
        <f t="shared" si="7"/>
        <v>-4191753984</v>
      </c>
      <c r="Z11" s="652" t="s">
        <v>196</v>
      </c>
      <c r="AA11" s="652" t="s">
        <v>30</v>
      </c>
      <c r="AB11" s="666" t="s">
        <v>32</v>
      </c>
      <c r="AD11" s="665"/>
    </row>
    <row r="12" spans="2:35" ht="10.5" hidden="1" thickTop="1" x14ac:dyDescent="0.2">
      <c r="B12" s="673" t="s">
        <v>1530</v>
      </c>
      <c r="C12" s="666" t="s">
        <v>1531</v>
      </c>
      <c r="D12" s="666" t="s">
        <v>3</v>
      </c>
      <c r="E12" s="684">
        <v>0</v>
      </c>
      <c r="F12" s="652">
        <f>SUMIFS(OBE!$H:$H,OBE!$C:$C,'Standalone TB'!$B12,OBE!$B:$B,"A21")</f>
        <v>2396558.4396557799</v>
      </c>
      <c r="G12" s="652">
        <f>SUMIFS('Elimination - BS'!I:I,'Elimination - BS'!D:D,'Standalone TB'!B12,'Elimination - BS'!A:A,"EA21")</f>
        <v>0</v>
      </c>
      <c r="H12" s="652">
        <f t="shared" si="1"/>
        <v>2396558.4396557799</v>
      </c>
      <c r="I12" s="652">
        <v>-8076208.0920005199</v>
      </c>
      <c r="J12" s="684">
        <v>-50</v>
      </c>
      <c r="K12" s="652">
        <f>SUMIFS(OBE!$H:$H,OBE!$C:$C,'Standalone TB'!$B12,OBE!$B:$B,"A22")</f>
        <v>50</v>
      </c>
      <c r="L12" s="652">
        <f>SUMIFS('Elimination - BS'!I:I,'Elimination - BS'!D:D,'Standalone TB'!B12,'Elimination - BS'!A:A,"EA22")</f>
        <v>0</v>
      </c>
      <c r="M12" s="652">
        <f t="shared" si="2"/>
        <v>0</v>
      </c>
      <c r="N12" s="652">
        <f t="shared" si="3"/>
        <v>0</v>
      </c>
      <c r="O12" s="652">
        <v>-1465171.34</v>
      </c>
      <c r="P12" s="685">
        <v>-33243712.084662002</v>
      </c>
      <c r="Q12" s="684">
        <v>325719.75</v>
      </c>
      <c r="R12" s="652">
        <f>SUMIFS(OBE!$H:$H,OBE!$C:$C,'Standalone TB'!$B12,OBE!$B:$B,"A20")</f>
        <v>0</v>
      </c>
      <c r="S12" s="652">
        <f>SUMIFS('Elimination - BS'!I:I,'Elimination - BS'!D:D,'Standalone TB'!B12,'Elimination - BS'!A:A,"EA20")</f>
        <v>0</v>
      </c>
      <c r="T12" s="652">
        <f t="shared" si="4"/>
        <v>325719.75</v>
      </c>
      <c r="U12" s="652">
        <f t="shared" si="5"/>
        <v>27869810.032347508</v>
      </c>
      <c r="V12" s="652">
        <v>127054.44999999995</v>
      </c>
      <c r="W12" s="685">
        <v>10588857.622894995</v>
      </c>
      <c r="X12" s="689">
        <f t="shared" si="6"/>
        <v>30266368.472003289</v>
      </c>
      <c r="Y12" s="689">
        <f t="shared" si="7"/>
        <v>-30731062.553767525</v>
      </c>
      <c r="Z12" s="652" t="s">
        <v>657</v>
      </c>
      <c r="AA12" s="652" t="s">
        <v>30</v>
      </c>
      <c r="AB12" s="666" t="s">
        <v>32</v>
      </c>
      <c r="AC12" s="712"/>
      <c r="AD12" s="665"/>
    </row>
    <row r="13" spans="2:35" ht="10.5" hidden="1" thickTop="1" x14ac:dyDescent="0.2">
      <c r="B13" s="673" t="s">
        <v>1720</v>
      </c>
      <c r="C13" s="666" t="s">
        <v>1721</v>
      </c>
      <c r="D13" s="666" t="s">
        <v>3</v>
      </c>
      <c r="E13" s="684">
        <v>3978730882.2600002</v>
      </c>
      <c r="F13" s="652">
        <f>SUMIFS(OBE!$H:$H,OBE!$C:$C,'Standalone TB'!$B13,OBE!$B:$B,"A21")</f>
        <v>0</v>
      </c>
      <c r="G13" s="652">
        <f>SUMIFS('Elimination - BS'!I:I,'Elimination - BS'!D:D,'Standalone TB'!B13,'Elimination - BS'!A:A,"EA21")</f>
        <v>0</v>
      </c>
      <c r="H13" s="652">
        <f t="shared" si="1"/>
        <v>3978730882.2600002</v>
      </c>
      <c r="I13" s="652">
        <v>2154522077.2600002</v>
      </c>
      <c r="J13" s="684">
        <v>-25039165.41</v>
      </c>
      <c r="K13" s="652">
        <f>SUMIFS(OBE!$H:$H,OBE!$C:$C,'Standalone TB'!$B13,OBE!$B:$B,"A22")</f>
        <v>0</v>
      </c>
      <c r="L13" s="652">
        <f>SUMIFS('Elimination - BS'!I:I,'Elimination - BS'!D:D,'Standalone TB'!B13,'Elimination - BS'!A:A,"EA22")</f>
        <v>0</v>
      </c>
      <c r="M13" s="652">
        <f t="shared" si="2"/>
        <v>-25039165.41</v>
      </c>
      <c r="N13" s="652">
        <f t="shared" si="3"/>
        <v>-583259819.7723105</v>
      </c>
      <c r="O13" s="652">
        <v>-25039165.41</v>
      </c>
      <c r="P13" s="685">
        <v>-568121135.737113</v>
      </c>
      <c r="Q13" s="684">
        <v>0</v>
      </c>
      <c r="R13" s="652">
        <f>SUMIFS(OBE!$H:$H,OBE!$C:$C,'Standalone TB'!$B13,OBE!$B:$B,"A20")</f>
        <v>0</v>
      </c>
      <c r="S13" s="652">
        <f>SUMIFS('Elimination - BS'!I:I,'Elimination - BS'!D:D,'Standalone TB'!B13,'Elimination - BS'!A:A,"EA20")</f>
        <v>0</v>
      </c>
      <c r="T13" s="652">
        <f t="shared" si="4"/>
        <v>0</v>
      </c>
      <c r="U13" s="652">
        <f t="shared" si="5"/>
        <v>0</v>
      </c>
      <c r="V13" s="652">
        <v>1614215.5300000003</v>
      </c>
      <c r="W13" s="685">
        <v>134530497.90728301</v>
      </c>
      <c r="X13" s="689">
        <f t="shared" si="6"/>
        <v>3395471062.48769</v>
      </c>
      <c r="Y13" s="689">
        <f t="shared" si="7"/>
        <v>1720931439.4301703</v>
      </c>
      <c r="Z13" s="652" t="s">
        <v>657</v>
      </c>
      <c r="AA13" s="652" t="s">
        <v>30</v>
      </c>
      <c r="AB13" s="666" t="s">
        <v>32</v>
      </c>
      <c r="AC13" s="712"/>
      <c r="AD13" s="665"/>
    </row>
    <row r="14" spans="2:35" ht="10.5" hidden="1" thickTop="1" x14ac:dyDescent="0.2">
      <c r="B14" s="673" t="s">
        <v>1535</v>
      </c>
      <c r="C14" s="666" t="s">
        <v>1722</v>
      </c>
      <c r="D14" s="666" t="s">
        <v>3</v>
      </c>
      <c r="E14" s="684">
        <v>-605094700.17999971</v>
      </c>
      <c r="F14" s="652">
        <f>SUMIFS(OBE!$H:$H,OBE!$C:$C,'Standalone TB'!$B14,OBE!$B:$B,"A21")</f>
        <v>-1722</v>
      </c>
      <c r="G14" s="652">
        <f>SUMIFS('Elimination - BS'!I:I,'Elimination - BS'!D:D,'Standalone TB'!B14,'Elimination - BS'!A:A,"EA21")</f>
        <v>0</v>
      </c>
      <c r="H14" s="652">
        <f t="shared" si="1"/>
        <v>-605096422.17999971</v>
      </c>
      <c r="I14" s="652">
        <v>-260816403.97000009</v>
      </c>
      <c r="J14" s="684">
        <v>-2461848.7200000137</v>
      </c>
      <c r="K14" s="652">
        <f>SUMIFS(OBE!$H:$H,OBE!$C:$C,'Standalone TB'!$B14,OBE!$B:$B,"A22")</f>
        <v>0</v>
      </c>
      <c r="L14" s="652">
        <f>SUMIFS('Elimination - BS'!I:I,'Elimination - BS'!D:D,'Standalone TB'!B14,'Elimination - BS'!A:A,"EA22")</f>
        <v>0</v>
      </c>
      <c r="M14" s="652">
        <f t="shared" si="2"/>
        <v>-2461848.7200000137</v>
      </c>
      <c r="N14" s="652">
        <f t="shared" si="3"/>
        <v>-57346058.353863537</v>
      </c>
      <c r="O14" s="652">
        <v>755255.73</v>
      </c>
      <c r="P14" s="685">
        <v>17136223.834688999</v>
      </c>
      <c r="Q14" s="684">
        <v>2582796.5400000005</v>
      </c>
      <c r="R14" s="652">
        <f>SUMIFS(OBE!$H:$H,OBE!$C:$C,'Standalone TB'!$B14,OBE!$B:$B,"A20")</f>
        <v>828127.62315772602</v>
      </c>
      <c r="S14" s="652">
        <f>SUMIFS('Elimination - BS'!I:I,'Elimination - BS'!D:D,'Standalone TB'!B14,'Elimination - BS'!A:A,"EA20")</f>
        <v>0</v>
      </c>
      <c r="T14" s="652">
        <f t="shared" si="4"/>
        <v>3410924.1631577266</v>
      </c>
      <c r="U14" s="652">
        <f t="shared" si="5"/>
        <v>291851533.29495597</v>
      </c>
      <c r="V14" s="652">
        <v>0</v>
      </c>
      <c r="W14" s="685">
        <v>0</v>
      </c>
      <c r="X14" s="689">
        <f t="shared" si="6"/>
        <v>-370590947.23890734</v>
      </c>
      <c r="Y14" s="689">
        <f t="shared" si="7"/>
        <v>-243680180.1353111</v>
      </c>
      <c r="Z14" s="652" t="s">
        <v>657</v>
      </c>
      <c r="AA14" s="652" t="s">
        <v>30</v>
      </c>
      <c r="AB14" s="666" t="s">
        <v>32</v>
      </c>
      <c r="AC14" s="667"/>
      <c r="AD14" s="665"/>
    </row>
    <row r="15" spans="2:35" ht="10.5" hidden="1" thickTop="1" x14ac:dyDescent="0.2">
      <c r="B15" s="673" t="s">
        <v>1537</v>
      </c>
      <c r="C15" s="666" t="s">
        <v>1552</v>
      </c>
      <c r="D15" s="666" t="s">
        <v>3</v>
      </c>
      <c r="E15" s="684">
        <v>28153562.190000001</v>
      </c>
      <c r="F15" s="652">
        <f>SUMIFS(OBE!$H:$H,OBE!$C:$C,'Standalone TB'!$B15,OBE!$B:$B,"A21")</f>
        <v>0</v>
      </c>
      <c r="G15" s="652">
        <f>SUMIFS('Elimination - BS'!I:I,'Elimination - BS'!D:D,'Standalone TB'!B15,'Elimination - BS'!A:A,"EA21")</f>
        <v>0</v>
      </c>
      <c r="H15" s="652">
        <f t="shared" si="1"/>
        <v>28153562.190000001</v>
      </c>
      <c r="I15" s="652">
        <v>28153562.190000001</v>
      </c>
      <c r="J15" s="684">
        <v>-5.77</v>
      </c>
      <c r="K15" s="652">
        <f>SUMIFS(OBE!$H:$H,OBE!$C:$C,'Standalone TB'!$B15,OBE!$B:$B,"A22")</f>
        <v>5.77</v>
      </c>
      <c r="L15" s="652">
        <f>SUMIFS('Elimination - BS'!I:I,'Elimination - BS'!D:D,'Standalone TB'!B15,'Elimination - BS'!A:A,"EA22")</f>
        <v>0</v>
      </c>
      <c r="M15" s="652">
        <f t="shared" si="2"/>
        <v>0</v>
      </c>
      <c r="N15" s="652">
        <f t="shared" si="3"/>
        <v>0</v>
      </c>
      <c r="O15" s="652">
        <v>0</v>
      </c>
      <c r="P15" s="685">
        <v>0</v>
      </c>
      <c r="Q15" s="684">
        <v>-441737.86</v>
      </c>
      <c r="R15" s="652">
        <f>SUMIFS(OBE!$H:$H,OBE!$C:$C,'Standalone TB'!$B15,OBE!$B:$B,"A20")</f>
        <v>441737.86</v>
      </c>
      <c r="S15" s="652">
        <f>SUMIFS('Elimination - BS'!I:I,'Elimination - BS'!D:D,'Standalone TB'!B15,'Elimination - BS'!A:A,"EA20")</f>
        <v>0</v>
      </c>
      <c r="T15" s="652">
        <f t="shared" si="4"/>
        <v>0</v>
      </c>
      <c r="U15" s="652">
        <f t="shared" si="5"/>
        <v>0</v>
      </c>
      <c r="V15" s="652">
        <v>0</v>
      </c>
      <c r="W15" s="685">
        <v>0</v>
      </c>
      <c r="X15" s="689">
        <f t="shared" si="6"/>
        <v>28153562.190000001</v>
      </c>
      <c r="Y15" s="689">
        <f t="shared" si="7"/>
        <v>28153562.190000001</v>
      </c>
      <c r="Z15" s="652" t="s">
        <v>1723</v>
      </c>
      <c r="AA15" s="652" t="s">
        <v>35</v>
      </c>
      <c r="AB15" s="652" t="s">
        <v>1723</v>
      </c>
      <c r="AD15" s="665" t="s">
        <v>1724</v>
      </c>
    </row>
    <row r="16" spans="2:35" ht="10.5" hidden="1" thickTop="1" x14ac:dyDescent="0.2">
      <c r="B16" s="673" t="s">
        <v>1725</v>
      </c>
      <c r="C16" s="666" t="s">
        <v>1726</v>
      </c>
      <c r="D16" s="666" t="s">
        <v>3</v>
      </c>
      <c r="E16" s="684">
        <v>0</v>
      </c>
      <c r="F16" s="652">
        <f>SUMIFS(OBE!$H:$H,OBE!$C:$C,'Standalone TB'!$B16,OBE!$B:$B,"A21")</f>
        <v>0</v>
      </c>
      <c r="G16" s="652">
        <f>SUMIFS('Elimination - BS'!I:I,'Elimination - BS'!D:D,'Standalone TB'!B16,'Elimination - BS'!A:A,"EA21")</f>
        <v>0</v>
      </c>
      <c r="H16" s="652">
        <f t="shared" si="1"/>
        <v>0</v>
      </c>
      <c r="I16" s="652">
        <v>0</v>
      </c>
      <c r="J16" s="684">
        <v>0</v>
      </c>
      <c r="K16" s="652">
        <f>SUMIFS(OBE!$H:$H,OBE!$C:$C,'Standalone TB'!$B16,OBE!$B:$B,"A22")</f>
        <v>0</v>
      </c>
      <c r="L16" s="652">
        <f>SUMIFS('Elimination - BS'!I:I,'Elimination - BS'!D:D,'Standalone TB'!B16,'Elimination - BS'!A:A,"EA22")</f>
        <v>0</v>
      </c>
      <c r="M16" s="652">
        <f t="shared" si="2"/>
        <v>0</v>
      </c>
      <c r="N16" s="652">
        <f t="shared" si="3"/>
        <v>0</v>
      </c>
      <c r="O16" s="652">
        <v>0</v>
      </c>
      <c r="P16" s="685">
        <v>0</v>
      </c>
      <c r="Q16" s="684">
        <v>0</v>
      </c>
      <c r="R16" s="652">
        <f>SUMIFS(OBE!$H:$H,OBE!$C:$C,'Standalone TB'!$B16,OBE!$B:$B,"A20")</f>
        <v>0</v>
      </c>
      <c r="S16" s="652">
        <f>SUMIFS('Elimination - BS'!I:I,'Elimination - BS'!D:D,'Standalone TB'!B16,'Elimination - BS'!A:A,"EA20")</f>
        <v>0</v>
      </c>
      <c r="T16" s="652">
        <f t="shared" si="4"/>
        <v>0</v>
      </c>
      <c r="U16" s="652">
        <f t="shared" si="5"/>
        <v>0</v>
      </c>
      <c r="V16" s="652">
        <v>0</v>
      </c>
      <c r="W16" s="685">
        <v>0</v>
      </c>
      <c r="X16" s="689">
        <f t="shared" si="6"/>
        <v>0</v>
      </c>
      <c r="Y16" s="689">
        <f t="shared" si="7"/>
        <v>0</v>
      </c>
      <c r="Z16" s="652" t="s">
        <v>1723</v>
      </c>
      <c r="AA16" s="652" t="s">
        <v>35</v>
      </c>
      <c r="AB16" s="652" t="s">
        <v>1723</v>
      </c>
      <c r="AD16" s="665" t="s">
        <v>1724</v>
      </c>
    </row>
    <row r="17" spans="2:30" ht="10.5" hidden="1" thickTop="1" x14ac:dyDescent="0.2">
      <c r="B17" s="673" t="s">
        <v>1727</v>
      </c>
      <c r="C17" s="666" t="s">
        <v>1728</v>
      </c>
      <c r="D17" s="666" t="s">
        <v>3</v>
      </c>
      <c r="E17" s="684">
        <v>0</v>
      </c>
      <c r="F17" s="652">
        <f>SUMIFS(OBE!$H:$H,OBE!$C:$C,'Standalone TB'!$B17,OBE!$B:$B,"A21")</f>
        <v>0</v>
      </c>
      <c r="G17" s="652">
        <f>SUMIFS('Elimination - BS'!I:I,'Elimination - BS'!D:D,'Standalone TB'!B17,'Elimination - BS'!A:A,"EA21")</f>
        <v>0</v>
      </c>
      <c r="H17" s="652">
        <f t="shared" si="1"/>
        <v>0</v>
      </c>
      <c r="I17" s="652">
        <v>0</v>
      </c>
      <c r="J17" s="684">
        <v>0</v>
      </c>
      <c r="K17" s="652">
        <f>SUMIFS(OBE!$H:$H,OBE!$C:$C,'Standalone TB'!$B17,OBE!$B:$B,"A22")</f>
        <v>0</v>
      </c>
      <c r="L17" s="652">
        <f>SUMIFS('Elimination - BS'!I:I,'Elimination - BS'!D:D,'Standalone TB'!B17,'Elimination - BS'!A:A,"EA22")</f>
        <v>0</v>
      </c>
      <c r="M17" s="652">
        <f t="shared" si="2"/>
        <v>0</v>
      </c>
      <c r="N17" s="652">
        <f t="shared" si="3"/>
        <v>0</v>
      </c>
      <c r="O17" s="652">
        <v>0</v>
      </c>
      <c r="P17" s="685">
        <v>0</v>
      </c>
      <c r="Q17" s="684">
        <v>0</v>
      </c>
      <c r="R17" s="652">
        <f>SUMIFS(OBE!$H:$H,OBE!$C:$C,'Standalone TB'!$B17,OBE!$B:$B,"A20")</f>
        <v>0</v>
      </c>
      <c r="S17" s="652">
        <f>SUMIFS('Elimination - BS'!I:I,'Elimination - BS'!D:D,'Standalone TB'!B17,'Elimination - BS'!A:A,"EA20")</f>
        <v>0</v>
      </c>
      <c r="T17" s="652">
        <f t="shared" si="4"/>
        <v>0</v>
      </c>
      <c r="U17" s="652">
        <f t="shared" si="5"/>
        <v>0</v>
      </c>
      <c r="V17" s="652">
        <v>0</v>
      </c>
      <c r="W17" s="685">
        <v>0</v>
      </c>
      <c r="X17" s="689">
        <f t="shared" si="6"/>
        <v>0</v>
      </c>
      <c r="Y17" s="689">
        <f t="shared" si="7"/>
        <v>0</v>
      </c>
      <c r="Z17" s="652" t="s">
        <v>1723</v>
      </c>
      <c r="AA17" s="652" t="s">
        <v>35</v>
      </c>
      <c r="AB17" s="652" t="s">
        <v>1723</v>
      </c>
      <c r="AD17" s="665" t="s">
        <v>1724</v>
      </c>
    </row>
    <row r="18" spans="2:30" ht="10.5" hidden="1" thickTop="1" x14ac:dyDescent="0.2">
      <c r="B18" s="673" t="s">
        <v>1541</v>
      </c>
      <c r="C18" s="666" t="s">
        <v>1556</v>
      </c>
      <c r="D18" s="666" t="s">
        <v>3</v>
      </c>
      <c r="E18" s="684">
        <v>-846568.01</v>
      </c>
      <c r="F18" s="652">
        <f>SUMIFS(OBE!$H:$H,OBE!$C:$C,'Standalone TB'!$B18,OBE!$B:$B,"A21")</f>
        <v>239594.77727200589</v>
      </c>
      <c r="G18" s="652">
        <f>SUMIFS('Elimination - BS'!I:I,'Elimination - BS'!D:D,'Standalone TB'!B18,'Elimination - BS'!A:A,"EA21")</f>
        <v>0</v>
      </c>
      <c r="H18" s="652">
        <f t="shared" si="1"/>
        <v>-606973.23272799409</v>
      </c>
      <c r="I18" s="652">
        <v>-846568.21302775422</v>
      </c>
      <c r="J18" s="684">
        <v>-11505.83</v>
      </c>
      <c r="K18" s="652">
        <f>SUMIFS(OBE!$H:$H,OBE!$C:$C,'Standalone TB'!$B18,OBE!$B:$B,"A22")</f>
        <v>11505.83</v>
      </c>
      <c r="L18" s="652">
        <f>SUMIFS('Elimination - BS'!I:I,'Elimination - BS'!D:D,'Standalone TB'!B18,'Elimination - BS'!A:A,"EA22")</f>
        <v>0</v>
      </c>
      <c r="M18" s="652">
        <f t="shared" si="2"/>
        <v>0</v>
      </c>
      <c r="N18" s="652">
        <f t="shared" si="3"/>
        <v>0</v>
      </c>
      <c r="O18" s="652">
        <v>0</v>
      </c>
      <c r="P18" s="685">
        <v>0</v>
      </c>
      <c r="Q18" s="684">
        <v>13596.84</v>
      </c>
      <c r="R18" s="652">
        <f>SUMIFS(OBE!$H:$H,OBE!$C:$C,'Standalone TB'!$B18,OBE!$B:$B,"A20")</f>
        <v>-13596.84</v>
      </c>
      <c r="S18" s="652">
        <f>SUMIFS('Elimination - BS'!I:I,'Elimination - BS'!D:D,'Standalone TB'!B18,'Elimination - BS'!A:A,"EA20")</f>
        <v>0</v>
      </c>
      <c r="T18" s="652">
        <f t="shared" si="4"/>
        <v>0</v>
      </c>
      <c r="U18" s="652">
        <f t="shared" si="5"/>
        <v>0</v>
      </c>
      <c r="V18" s="652">
        <v>0</v>
      </c>
      <c r="W18" s="685">
        <v>0</v>
      </c>
      <c r="X18" s="689">
        <f t="shared" si="6"/>
        <v>-606973.23272799409</v>
      </c>
      <c r="Y18" s="689">
        <f t="shared" si="7"/>
        <v>-846568.21302775422</v>
      </c>
      <c r="Z18" s="652" t="s">
        <v>723</v>
      </c>
      <c r="AA18" s="652" t="s">
        <v>35</v>
      </c>
      <c r="AB18" s="666" t="s">
        <v>1729</v>
      </c>
      <c r="AD18" s="665" t="s">
        <v>1724</v>
      </c>
    </row>
    <row r="19" spans="2:30" ht="10.5" hidden="1" thickTop="1" x14ac:dyDescent="0.2">
      <c r="B19" s="673" t="s">
        <v>1599</v>
      </c>
      <c r="C19" s="666" t="s">
        <v>1730</v>
      </c>
      <c r="D19" s="666" t="s">
        <v>3</v>
      </c>
      <c r="E19" s="684">
        <v>-128632203.37</v>
      </c>
      <c r="F19" s="652">
        <f>SUMIFS(OBE!$H:$H,OBE!$C:$C,'Standalone TB'!$B19,OBE!$B:$B,"A21")</f>
        <v>31457407.598330595</v>
      </c>
      <c r="G19" s="652">
        <f>SUMIFS('Elimination - BS'!I:I,'Elimination - BS'!D:D,'Standalone TB'!B19,'Elimination - BS'!A:A,"EA21")</f>
        <v>0</v>
      </c>
      <c r="H19" s="652">
        <f t="shared" si="1"/>
        <v>-97174795.771669418</v>
      </c>
      <c r="I19" s="652">
        <v>-128632203.64714652</v>
      </c>
      <c r="J19" s="684">
        <v>0</v>
      </c>
      <c r="K19" s="652">
        <f>SUMIFS(OBE!$H:$H,OBE!$C:$C,'Standalone TB'!$B19,OBE!$B:$B,"A22")</f>
        <v>0</v>
      </c>
      <c r="L19" s="652">
        <f>SUMIFS('Elimination - BS'!I:I,'Elimination - BS'!D:D,'Standalone TB'!B19,'Elimination - BS'!A:A,"EA22")</f>
        <v>0</v>
      </c>
      <c r="M19" s="652">
        <f t="shared" si="2"/>
        <v>0</v>
      </c>
      <c r="N19" s="652">
        <f t="shared" si="3"/>
        <v>0</v>
      </c>
      <c r="O19" s="652">
        <v>0</v>
      </c>
      <c r="P19" s="685">
        <v>0</v>
      </c>
      <c r="Q19" s="684">
        <v>0</v>
      </c>
      <c r="R19" s="652">
        <f>SUMIFS(OBE!$H:$H,OBE!$C:$C,'Standalone TB'!$B19,OBE!$B:$B,"A20")</f>
        <v>-382624.6067443752</v>
      </c>
      <c r="S19" s="652">
        <f>SUMIFS('Elimination - BS'!I:I,'Elimination - BS'!D:D,'Standalone TB'!B19,'Elimination - BS'!A:A,"EA20")</f>
        <v>0</v>
      </c>
      <c r="T19" s="652">
        <f t="shared" si="4"/>
        <v>-382624.6067443752</v>
      </c>
      <c r="U19" s="652">
        <f t="shared" si="5"/>
        <v>-32738804.151935544</v>
      </c>
      <c r="V19" s="652">
        <v>0</v>
      </c>
      <c r="W19" s="685">
        <v>0</v>
      </c>
      <c r="X19" s="689">
        <f t="shared" si="6"/>
        <v>-129913599.92360497</v>
      </c>
      <c r="Y19" s="689">
        <f t="shared" si="7"/>
        <v>-128632203.64714652</v>
      </c>
      <c r="Z19" s="652" t="s">
        <v>1723</v>
      </c>
      <c r="AA19" s="652" t="s">
        <v>35</v>
      </c>
      <c r="AB19" s="652" t="s">
        <v>1723</v>
      </c>
      <c r="AD19" s="665" t="s">
        <v>1724</v>
      </c>
    </row>
    <row r="20" spans="2:30" ht="10.5" hidden="1" thickTop="1" x14ac:dyDescent="0.2">
      <c r="B20" s="673" t="s">
        <v>1731</v>
      </c>
      <c r="C20" s="666" t="s">
        <v>1732</v>
      </c>
      <c r="D20" s="666" t="s">
        <v>3</v>
      </c>
      <c r="E20" s="684">
        <v>-6838918</v>
      </c>
      <c r="F20" s="652">
        <f>SUMIFS(OBE!$H:$H,OBE!$C:$C,'Standalone TB'!$B20,OBE!$B:$B,"A21")</f>
        <v>0</v>
      </c>
      <c r="G20" s="652">
        <f>SUMIFS('Elimination - BS'!I:I,'Elimination - BS'!D:D,'Standalone TB'!B20,'Elimination - BS'!A:A,"EA21")</f>
        <v>0</v>
      </c>
      <c r="H20" s="652">
        <f t="shared" si="1"/>
        <v>-6838918</v>
      </c>
      <c r="I20" s="652">
        <v>-6838918.2599999998</v>
      </c>
      <c r="J20" s="684">
        <v>0</v>
      </c>
      <c r="K20" s="652">
        <f>SUMIFS(OBE!$H:$H,OBE!$C:$C,'Standalone TB'!$B20,OBE!$B:$B,"A22")</f>
        <v>0</v>
      </c>
      <c r="L20" s="652">
        <f>SUMIFS('Elimination - BS'!I:I,'Elimination - BS'!D:D,'Standalone TB'!B20,'Elimination - BS'!A:A,"EA22")</f>
        <v>0</v>
      </c>
      <c r="M20" s="652">
        <f t="shared" si="2"/>
        <v>0</v>
      </c>
      <c r="N20" s="652">
        <f t="shared" si="3"/>
        <v>0</v>
      </c>
      <c r="O20" s="652">
        <v>0</v>
      </c>
      <c r="P20" s="685">
        <v>0</v>
      </c>
      <c r="Q20" s="684">
        <v>0</v>
      </c>
      <c r="R20" s="652">
        <f>SUMIFS(OBE!$H:$H,OBE!$C:$C,'Standalone TB'!$B20,OBE!$B:$B,"A20")</f>
        <v>0</v>
      </c>
      <c r="S20" s="652">
        <f>SUMIFS('Elimination - BS'!I:I,'Elimination - BS'!D:D,'Standalone TB'!B20,'Elimination - BS'!A:A,"EA20")</f>
        <v>0</v>
      </c>
      <c r="T20" s="652">
        <f t="shared" si="4"/>
        <v>0</v>
      </c>
      <c r="U20" s="652">
        <f t="shared" si="5"/>
        <v>0</v>
      </c>
      <c r="V20" s="652">
        <v>0</v>
      </c>
      <c r="W20" s="685">
        <v>0</v>
      </c>
      <c r="X20" s="689">
        <f t="shared" si="6"/>
        <v>-6838918</v>
      </c>
      <c r="Y20" s="689">
        <f t="shared" si="7"/>
        <v>-6838918.2599999998</v>
      </c>
      <c r="Z20" s="652" t="s">
        <v>1733</v>
      </c>
      <c r="AA20" s="652" t="s">
        <v>35</v>
      </c>
      <c r="AB20" s="666" t="s">
        <v>1734</v>
      </c>
      <c r="AD20" s="665"/>
    </row>
    <row r="21" spans="2:30" ht="10.5" hidden="1" thickTop="1" x14ac:dyDescent="0.2">
      <c r="B21" s="673" t="s">
        <v>1735</v>
      </c>
      <c r="C21" s="666" t="s">
        <v>1736</v>
      </c>
      <c r="D21" s="666" t="s">
        <v>3</v>
      </c>
      <c r="E21" s="684">
        <v>0</v>
      </c>
      <c r="F21" s="652">
        <f>SUMIFS(OBE!$H:$H,OBE!$C:$C,'Standalone TB'!$B21,OBE!$B:$B,"A21")</f>
        <v>0</v>
      </c>
      <c r="G21" s="652">
        <f>SUMIFS('Elimination - BS'!I:I,'Elimination - BS'!D:D,'Standalone TB'!B21,'Elimination - BS'!A:A,"EA21")</f>
        <v>0</v>
      </c>
      <c r="H21" s="652">
        <f t="shared" si="1"/>
        <v>0</v>
      </c>
      <c r="I21" s="652">
        <v>0</v>
      </c>
      <c r="J21" s="684">
        <v>0</v>
      </c>
      <c r="K21" s="652">
        <f>SUMIFS(OBE!$H:$H,OBE!$C:$C,'Standalone TB'!$B21,OBE!$B:$B,"A22")</f>
        <v>0</v>
      </c>
      <c r="L21" s="652">
        <f>SUMIFS('Elimination - BS'!I:I,'Elimination - BS'!D:D,'Standalone TB'!B21,'Elimination - BS'!A:A,"EA22")</f>
        <v>0</v>
      </c>
      <c r="M21" s="652">
        <f t="shared" si="2"/>
        <v>0</v>
      </c>
      <c r="N21" s="652">
        <f t="shared" si="3"/>
        <v>0</v>
      </c>
      <c r="O21" s="652">
        <v>0</v>
      </c>
      <c r="P21" s="685">
        <v>0</v>
      </c>
      <c r="Q21" s="684">
        <v>0</v>
      </c>
      <c r="R21" s="652">
        <f>SUMIFS(OBE!$H:$H,OBE!$C:$C,'Standalone TB'!$B21,OBE!$B:$B,"A20")</f>
        <v>0</v>
      </c>
      <c r="S21" s="652">
        <f>SUMIFS('Elimination - BS'!I:I,'Elimination - BS'!D:D,'Standalone TB'!B21,'Elimination - BS'!A:A,"EA20")</f>
        <v>0</v>
      </c>
      <c r="T21" s="652">
        <f t="shared" si="4"/>
        <v>0</v>
      </c>
      <c r="U21" s="652">
        <f t="shared" si="5"/>
        <v>0</v>
      </c>
      <c r="V21" s="652">
        <v>0</v>
      </c>
      <c r="W21" s="685">
        <v>0</v>
      </c>
      <c r="X21" s="689">
        <f t="shared" si="6"/>
        <v>0</v>
      </c>
      <c r="Y21" s="689">
        <f t="shared" si="7"/>
        <v>0</v>
      </c>
      <c r="Z21" s="652"/>
      <c r="AA21" s="652"/>
      <c r="AD21" s="665"/>
    </row>
    <row r="22" spans="2:30" ht="10.5" hidden="1" thickTop="1" x14ac:dyDescent="0.2">
      <c r="B22" s="673" t="s">
        <v>1737</v>
      </c>
      <c r="C22" s="666" t="s">
        <v>1738</v>
      </c>
      <c r="D22" s="666" t="s">
        <v>3</v>
      </c>
      <c r="E22" s="684">
        <v>0</v>
      </c>
      <c r="F22" s="652">
        <f>SUMIFS(OBE!$H:$H,OBE!$C:$C,'Standalone TB'!$B22,OBE!$B:$B,"A21")</f>
        <v>0</v>
      </c>
      <c r="G22" s="652">
        <f>SUMIFS('Elimination - BS'!I:I,'Elimination - BS'!D:D,'Standalone TB'!B22,'Elimination - BS'!A:A,"EA21")</f>
        <v>0</v>
      </c>
      <c r="H22" s="652">
        <f t="shared" si="1"/>
        <v>0</v>
      </c>
      <c r="I22" s="652">
        <v>0</v>
      </c>
      <c r="J22" s="684">
        <v>0</v>
      </c>
      <c r="K22" s="652">
        <f>SUMIFS(OBE!$H:$H,OBE!$C:$C,'Standalone TB'!$B22,OBE!$B:$B,"A22")</f>
        <v>0</v>
      </c>
      <c r="L22" s="652">
        <f>SUMIFS('Elimination - BS'!I:I,'Elimination - BS'!D:D,'Standalone TB'!B22,'Elimination - BS'!A:A,"EA22")</f>
        <v>0</v>
      </c>
      <c r="M22" s="652">
        <f t="shared" si="2"/>
        <v>0</v>
      </c>
      <c r="N22" s="652">
        <f t="shared" si="3"/>
        <v>0</v>
      </c>
      <c r="O22" s="652">
        <v>0</v>
      </c>
      <c r="P22" s="685">
        <v>0</v>
      </c>
      <c r="Q22" s="684">
        <v>0</v>
      </c>
      <c r="R22" s="652">
        <f>SUMIFS(OBE!$H:$H,OBE!$C:$C,'Standalone TB'!$B22,OBE!$B:$B,"A20")</f>
        <v>0</v>
      </c>
      <c r="S22" s="652">
        <f>SUMIFS('Elimination - BS'!I:I,'Elimination - BS'!D:D,'Standalone TB'!B22,'Elimination - BS'!A:A,"EA20")</f>
        <v>0</v>
      </c>
      <c r="T22" s="652">
        <f t="shared" si="4"/>
        <v>0</v>
      </c>
      <c r="U22" s="652">
        <f t="shared" si="5"/>
        <v>0</v>
      </c>
      <c r="V22" s="652">
        <v>0</v>
      </c>
      <c r="W22" s="685">
        <v>0</v>
      </c>
      <c r="X22" s="689">
        <f t="shared" si="6"/>
        <v>0</v>
      </c>
      <c r="Y22" s="689">
        <f t="shared" si="7"/>
        <v>0</v>
      </c>
      <c r="Z22" s="652"/>
      <c r="AA22" s="652"/>
      <c r="AD22" s="665"/>
    </row>
    <row r="23" spans="2:30" ht="10.5" hidden="1" thickTop="1" x14ac:dyDescent="0.2">
      <c r="B23" s="673" t="s">
        <v>1739</v>
      </c>
      <c r="C23" s="666" t="s">
        <v>1740</v>
      </c>
      <c r="D23" s="666" t="s">
        <v>3</v>
      </c>
      <c r="E23" s="684">
        <v>0</v>
      </c>
      <c r="F23" s="652">
        <f>SUMIFS(OBE!$H:$H,OBE!$C:$C,'Standalone TB'!$B23,OBE!$B:$B,"A21")</f>
        <v>0</v>
      </c>
      <c r="G23" s="652">
        <f>SUMIFS('Elimination - BS'!I:I,'Elimination - BS'!D:D,'Standalone TB'!B23,'Elimination - BS'!A:A,"EA21")</f>
        <v>0</v>
      </c>
      <c r="H23" s="652">
        <f t="shared" si="1"/>
        <v>0</v>
      </c>
      <c r="I23" s="652">
        <v>0</v>
      </c>
      <c r="J23" s="684">
        <v>0</v>
      </c>
      <c r="K23" s="652">
        <f>SUMIFS(OBE!$H:$H,OBE!$C:$C,'Standalone TB'!$B23,OBE!$B:$B,"A22")</f>
        <v>0</v>
      </c>
      <c r="L23" s="652">
        <f>SUMIFS('Elimination - BS'!I:I,'Elimination - BS'!D:D,'Standalone TB'!B23,'Elimination - BS'!A:A,"EA22")</f>
        <v>0</v>
      </c>
      <c r="M23" s="652">
        <f t="shared" si="2"/>
        <v>0</v>
      </c>
      <c r="N23" s="652">
        <f t="shared" si="3"/>
        <v>0</v>
      </c>
      <c r="O23" s="652">
        <v>0</v>
      </c>
      <c r="P23" s="685">
        <v>0</v>
      </c>
      <c r="Q23" s="684">
        <v>0</v>
      </c>
      <c r="R23" s="652">
        <f>SUMIFS(OBE!$H:$H,OBE!$C:$C,'Standalone TB'!$B23,OBE!$B:$B,"A20")</f>
        <v>0</v>
      </c>
      <c r="S23" s="652">
        <f>SUMIFS('Elimination - BS'!I:I,'Elimination - BS'!D:D,'Standalone TB'!B23,'Elimination - BS'!A:A,"EA20")</f>
        <v>0</v>
      </c>
      <c r="T23" s="652">
        <f t="shared" si="4"/>
        <v>0</v>
      </c>
      <c r="U23" s="652">
        <f t="shared" si="5"/>
        <v>0</v>
      </c>
      <c r="V23" s="652">
        <v>0</v>
      </c>
      <c r="W23" s="685">
        <v>0</v>
      </c>
      <c r="X23" s="689">
        <f t="shared" si="6"/>
        <v>0</v>
      </c>
      <c r="Y23" s="689">
        <f t="shared" si="7"/>
        <v>0</v>
      </c>
      <c r="Z23" s="652" t="s">
        <v>1741</v>
      </c>
      <c r="AA23" s="652" t="s">
        <v>35</v>
      </c>
      <c r="AB23" s="666" t="s">
        <v>1742</v>
      </c>
      <c r="AD23" s="665"/>
    </row>
    <row r="24" spans="2:30" ht="10.5" hidden="1" thickTop="1" x14ac:dyDescent="0.2">
      <c r="B24" s="673" t="s">
        <v>1743</v>
      </c>
      <c r="C24" s="666" t="s">
        <v>1744</v>
      </c>
      <c r="D24" s="666" t="s">
        <v>3</v>
      </c>
      <c r="E24" s="684">
        <v>0</v>
      </c>
      <c r="F24" s="652">
        <f>SUMIFS(OBE!$H:$H,OBE!$C:$C,'Standalone TB'!$B24,OBE!$B:$B,"A21")</f>
        <v>0</v>
      </c>
      <c r="G24" s="652">
        <f>SUMIFS('Elimination - BS'!I:I,'Elimination - BS'!D:D,'Standalone TB'!B24,'Elimination - BS'!A:A,"EA21")</f>
        <v>0</v>
      </c>
      <c r="H24" s="652">
        <f t="shared" si="1"/>
        <v>0</v>
      </c>
      <c r="I24" s="652">
        <v>0</v>
      </c>
      <c r="J24" s="684">
        <v>0</v>
      </c>
      <c r="K24" s="652">
        <f>SUMIFS(OBE!$H:$H,OBE!$C:$C,'Standalone TB'!$B24,OBE!$B:$B,"A22")</f>
        <v>0</v>
      </c>
      <c r="L24" s="652">
        <f>SUMIFS('Elimination - BS'!I:I,'Elimination - BS'!D:D,'Standalone TB'!B24,'Elimination - BS'!A:A,"EA22")</f>
        <v>0</v>
      </c>
      <c r="M24" s="652">
        <f t="shared" si="2"/>
        <v>0</v>
      </c>
      <c r="N24" s="652">
        <f t="shared" si="3"/>
        <v>0</v>
      </c>
      <c r="O24" s="652">
        <v>0</v>
      </c>
      <c r="P24" s="685">
        <v>0</v>
      </c>
      <c r="Q24" s="684">
        <v>0</v>
      </c>
      <c r="R24" s="652">
        <f>SUMIFS(OBE!$H:$H,OBE!$C:$C,'Standalone TB'!$B24,OBE!$B:$B,"A20")</f>
        <v>0</v>
      </c>
      <c r="S24" s="652">
        <f>SUMIFS('Elimination - BS'!I:I,'Elimination - BS'!D:D,'Standalone TB'!B24,'Elimination - BS'!A:A,"EA20")</f>
        <v>0</v>
      </c>
      <c r="T24" s="652">
        <f t="shared" si="4"/>
        <v>0</v>
      </c>
      <c r="U24" s="652">
        <f t="shared" si="5"/>
        <v>0</v>
      </c>
      <c r="V24" s="652">
        <v>0</v>
      </c>
      <c r="W24" s="685">
        <v>0</v>
      </c>
      <c r="X24" s="689">
        <f t="shared" si="6"/>
        <v>0</v>
      </c>
      <c r="Y24" s="689">
        <f t="shared" si="7"/>
        <v>0</v>
      </c>
      <c r="Z24" s="652"/>
      <c r="AA24" s="652"/>
      <c r="AD24" s="665"/>
    </row>
    <row r="25" spans="2:30" ht="10.5" hidden="1" thickTop="1" x14ac:dyDescent="0.2">
      <c r="B25" s="673" t="s">
        <v>1745</v>
      </c>
      <c r="C25" s="666" t="s">
        <v>1746</v>
      </c>
      <c r="D25" s="666" t="s">
        <v>3</v>
      </c>
      <c r="E25" s="684">
        <v>0</v>
      </c>
      <c r="F25" s="652">
        <f>SUMIFS(OBE!$H:$H,OBE!$C:$C,'Standalone TB'!$B25,OBE!$B:$B,"A21")</f>
        <v>0</v>
      </c>
      <c r="G25" s="652">
        <f>SUMIFS('Elimination - BS'!I:I,'Elimination - BS'!D:D,'Standalone TB'!B25,'Elimination - BS'!A:A,"EA21")</f>
        <v>0</v>
      </c>
      <c r="H25" s="652">
        <f t="shared" si="1"/>
        <v>0</v>
      </c>
      <c r="I25" s="652">
        <v>0</v>
      </c>
      <c r="J25" s="684">
        <v>0</v>
      </c>
      <c r="K25" s="652">
        <f>SUMIFS(OBE!$H:$H,OBE!$C:$C,'Standalone TB'!$B25,OBE!$B:$B,"A22")</f>
        <v>0</v>
      </c>
      <c r="L25" s="652">
        <f>SUMIFS('Elimination - BS'!I:I,'Elimination - BS'!D:D,'Standalone TB'!B25,'Elimination - BS'!A:A,"EA22")</f>
        <v>0</v>
      </c>
      <c r="M25" s="652">
        <f t="shared" si="2"/>
        <v>0</v>
      </c>
      <c r="N25" s="652">
        <f t="shared" si="3"/>
        <v>0</v>
      </c>
      <c r="O25" s="652">
        <v>0</v>
      </c>
      <c r="P25" s="685">
        <v>0</v>
      </c>
      <c r="Q25" s="684">
        <v>0</v>
      </c>
      <c r="R25" s="652">
        <f>SUMIFS(OBE!$H:$H,OBE!$C:$C,'Standalone TB'!$B25,OBE!$B:$B,"A20")</f>
        <v>0</v>
      </c>
      <c r="S25" s="652">
        <f>SUMIFS('Elimination - BS'!I:I,'Elimination - BS'!D:D,'Standalone TB'!B25,'Elimination - BS'!A:A,"EA20")</f>
        <v>0</v>
      </c>
      <c r="T25" s="652">
        <f t="shared" si="4"/>
        <v>0</v>
      </c>
      <c r="U25" s="652">
        <f t="shared" si="5"/>
        <v>0</v>
      </c>
      <c r="V25" s="652">
        <v>0</v>
      </c>
      <c r="W25" s="685">
        <v>0</v>
      </c>
      <c r="X25" s="689">
        <f t="shared" si="6"/>
        <v>0</v>
      </c>
      <c r="Y25" s="689">
        <f t="shared" si="7"/>
        <v>0</v>
      </c>
      <c r="Z25" s="652"/>
      <c r="AA25" s="652"/>
      <c r="AD25" s="665"/>
    </row>
    <row r="26" spans="2:30" ht="10.5" hidden="1" thickTop="1" x14ac:dyDescent="0.2">
      <c r="B26" s="673" t="s">
        <v>1634</v>
      </c>
      <c r="C26" s="666" t="s">
        <v>1747</v>
      </c>
      <c r="D26" s="666" t="s">
        <v>3</v>
      </c>
      <c r="E26" s="684">
        <v>-30424819</v>
      </c>
      <c r="F26" s="652">
        <f>SUMIFS(OBE!$H:$H,OBE!$C:$C,'Standalone TB'!$B26,OBE!$B:$B,"A21")</f>
        <v>641071</v>
      </c>
      <c r="G26" s="652">
        <f>SUMIFS('Elimination - BS'!I:I,'Elimination - BS'!D:D,'Standalone TB'!B26,'Elimination - BS'!A:A,"EA21")</f>
        <v>0</v>
      </c>
      <c r="H26" s="652">
        <f t="shared" si="1"/>
        <v>-29783748</v>
      </c>
      <c r="I26" s="652">
        <v>-35469642</v>
      </c>
      <c r="J26" s="684">
        <v>-85908.76</v>
      </c>
      <c r="K26" s="652">
        <f>SUMIFS(OBE!$H:$H,OBE!$C:$C,'Standalone TB'!$B26,OBE!$B:$B,"A22")</f>
        <v>0</v>
      </c>
      <c r="L26" s="652">
        <f>SUMIFS('Elimination - BS'!I:I,'Elimination - BS'!D:D,'Standalone TB'!B26,'Elimination - BS'!A:A,"EA22")</f>
        <v>0</v>
      </c>
      <c r="M26" s="652">
        <f t="shared" si="2"/>
        <v>-85908.76</v>
      </c>
      <c r="N26" s="652">
        <f t="shared" si="3"/>
        <v>-2001150.0804436228</v>
      </c>
      <c r="O26" s="652">
        <v>-121731.03</v>
      </c>
      <c r="P26" s="685">
        <v>-2761991.8589789998</v>
      </c>
      <c r="Q26" s="684">
        <v>0</v>
      </c>
      <c r="R26" s="652">
        <f>SUMIFS(OBE!$H:$H,OBE!$C:$C,'Standalone TB'!$B26,OBE!$B:$B,"A20")</f>
        <v>0</v>
      </c>
      <c r="S26" s="652">
        <f>SUMIFS('Elimination - BS'!I:I,'Elimination - BS'!D:D,'Standalone TB'!B26,'Elimination - BS'!A:A,"EA20")</f>
        <v>0</v>
      </c>
      <c r="T26" s="652">
        <f t="shared" si="4"/>
        <v>0</v>
      </c>
      <c r="U26" s="652">
        <f t="shared" si="5"/>
        <v>0</v>
      </c>
      <c r="V26" s="652">
        <v>0</v>
      </c>
      <c r="W26" s="685">
        <v>0</v>
      </c>
      <c r="X26" s="689">
        <f t="shared" si="6"/>
        <v>-31784898.080443624</v>
      </c>
      <c r="Y26" s="689">
        <f t="shared" si="7"/>
        <v>-38231633.858979002</v>
      </c>
      <c r="Z26" s="652" t="s">
        <v>669</v>
      </c>
      <c r="AA26" s="652" t="s">
        <v>35</v>
      </c>
      <c r="AB26" s="666" t="s">
        <v>1748</v>
      </c>
      <c r="AD26" s="665"/>
    </row>
    <row r="27" spans="2:30" ht="10.5" hidden="1" thickTop="1" x14ac:dyDescent="0.2">
      <c r="B27" s="673" t="s">
        <v>1749</v>
      </c>
      <c r="C27" s="666" t="s">
        <v>1750</v>
      </c>
      <c r="D27" s="666" t="s">
        <v>3</v>
      </c>
      <c r="E27" s="684">
        <v>0</v>
      </c>
      <c r="F27" s="652">
        <f>SUMIFS(OBE!$H:$H,OBE!$C:$C,'Standalone TB'!$B27,OBE!$B:$B,"A21")</f>
        <v>0</v>
      </c>
      <c r="G27" s="652">
        <f>SUMIFS('Elimination - BS'!I:I,'Elimination - BS'!D:D,'Standalone TB'!B27,'Elimination - BS'!A:A,"EA21")</f>
        <v>0</v>
      </c>
      <c r="H27" s="652">
        <f t="shared" si="1"/>
        <v>0</v>
      </c>
      <c r="I27" s="652">
        <v>0</v>
      </c>
      <c r="J27" s="684">
        <v>0</v>
      </c>
      <c r="K27" s="652">
        <f>SUMIFS(OBE!$H:$H,OBE!$C:$C,'Standalone TB'!$B27,OBE!$B:$B,"A22")</f>
        <v>0</v>
      </c>
      <c r="L27" s="652">
        <f>SUMIFS('Elimination - BS'!I:I,'Elimination - BS'!D:D,'Standalone TB'!B27,'Elimination - BS'!A:A,"EA22")</f>
        <v>0</v>
      </c>
      <c r="M27" s="652">
        <f t="shared" si="2"/>
        <v>0</v>
      </c>
      <c r="N27" s="652">
        <f t="shared" si="3"/>
        <v>0</v>
      </c>
      <c r="O27" s="652">
        <v>0</v>
      </c>
      <c r="P27" s="685">
        <v>0</v>
      </c>
      <c r="Q27" s="684">
        <v>0</v>
      </c>
      <c r="R27" s="652">
        <f>SUMIFS(OBE!$H:$H,OBE!$C:$C,'Standalone TB'!$B27,OBE!$B:$B,"A20")</f>
        <v>0</v>
      </c>
      <c r="S27" s="652">
        <f>SUMIFS('Elimination - BS'!I:I,'Elimination - BS'!D:D,'Standalone TB'!B27,'Elimination - BS'!A:A,"EA20")</f>
        <v>0</v>
      </c>
      <c r="T27" s="652">
        <f t="shared" si="4"/>
        <v>0</v>
      </c>
      <c r="U27" s="652">
        <f t="shared" si="5"/>
        <v>0</v>
      </c>
      <c r="V27" s="652">
        <v>0</v>
      </c>
      <c r="W27" s="685">
        <v>0</v>
      </c>
      <c r="X27" s="689">
        <f t="shared" si="6"/>
        <v>0</v>
      </c>
      <c r="Y27" s="689">
        <f t="shared" si="7"/>
        <v>0</v>
      </c>
      <c r="Z27" s="652"/>
      <c r="AA27" s="652"/>
      <c r="AD27" s="665"/>
    </row>
    <row r="28" spans="2:30" ht="10.5" hidden="1" thickTop="1" x14ac:dyDescent="0.2">
      <c r="B28" s="673" t="s">
        <v>1632</v>
      </c>
      <c r="C28" s="666" t="s">
        <v>1751</v>
      </c>
      <c r="D28" s="666" t="s">
        <v>3</v>
      </c>
      <c r="E28" s="684">
        <v>-99716836</v>
      </c>
      <c r="F28" s="652">
        <f>SUMIFS(OBE!$H:$H,OBE!$C:$C,'Standalone TB'!$B28,OBE!$B:$B,"A21")</f>
        <v>18693735</v>
      </c>
      <c r="G28" s="652">
        <f>SUMIFS('Elimination - BS'!I:I,'Elimination - BS'!D:D,'Standalone TB'!B28,'Elimination - BS'!A:A,"EA21")</f>
        <v>0</v>
      </c>
      <c r="H28" s="652">
        <f t="shared" si="1"/>
        <v>-81023101</v>
      </c>
      <c r="I28" s="652">
        <v>-81832417</v>
      </c>
      <c r="J28" s="684">
        <v>-866504.22</v>
      </c>
      <c r="K28" s="652">
        <f>SUMIFS(OBE!$H:$H,OBE!$C:$C,'Standalone TB'!$B28,OBE!$B:$B,"A22")</f>
        <v>0</v>
      </c>
      <c r="L28" s="652">
        <f>SUMIFS('Elimination - BS'!I:I,'Elimination - BS'!D:D,'Standalone TB'!B28,'Elimination - BS'!A:A,"EA22")</f>
        <v>0</v>
      </c>
      <c r="M28" s="652">
        <f t="shared" si="2"/>
        <v>-866504.22</v>
      </c>
      <c r="N28" s="652">
        <f t="shared" si="3"/>
        <v>-20184262.810425136</v>
      </c>
      <c r="O28" s="652">
        <v>-721771.52000000002</v>
      </c>
      <c r="P28" s="685">
        <v>-16376490.548736</v>
      </c>
      <c r="Q28" s="684">
        <v>0</v>
      </c>
      <c r="R28" s="652">
        <f>SUMIFS(OBE!$H:$H,OBE!$C:$C,'Standalone TB'!$B28,OBE!$B:$B,"A20")</f>
        <v>0</v>
      </c>
      <c r="S28" s="652">
        <f>SUMIFS('Elimination - BS'!I:I,'Elimination - BS'!D:D,'Standalone TB'!B28,'Elimination - BS'!A:A,"EA20")</f>
        <v>0</v>
      </c>
      <c r="T28" s="652">
        <f t="shared" si="4"/>
        <v>0</v>
      </c>
      <c r="U28" s="652">
        <f t="shared" si="5"/>
        <v>0</v>
      </c>
      <c r="V28" s="652">
        <v>0</v>
      </c>
      <c r="W28" s="685">
        <v>0</v>
      </c>
      <c r="X28" s="689">
        <f t="shared" si="6"/>
        <v>-101207363.81042513</v>
      </c>
      <c r="Y28" s="689">
        <f t="shared" si="7"/>
        <v>-98208907.548736006</v>
      </c>
      <c r="Z28" s="652" t="s">
        <v>668</v>
      </c>
      <c r="AA28" s="652" t="s">
        <v>35</v>
      </c>
      <c r="AB28" s="666" t="s">
        <v>1748</v>
      </c>
      <c r="AD28" s="665"/>
    </row>
    <row r="29" spans="2:30" ht="10.5" hidden="1" thickTop="1" x14ac:dyDescent="0.2">
      <c r="B29" s="673" t="s">
        <v>1752</v>
      </c>
      <c r="C29" s="666" t="s">
        <v>1753</v>
      </c>
      <c r="D29" s="666" t="s">
        <v>3</v>
      </c>
      <c r="E29" s="684">
        <v>0</v>
      </c>
      <c r="F29" s="652">
        <f>SUMIFS(OBE!$H:$H,OBE!$C:$C,'Standalone TB'!$B29,OBE!$B:$B,"A21")</f>
        <v>0</v>
      </c>
      <c r="G29" s="652">
        <f>SUMIFS('Elimination - BS'!I:I,'Elimination - BS'!D:D,'Standalone TB'!B29,'Elimination - BS'!A:A,"EA21")</f>
        <v>0</v>
      </c>
      <c r="H29" s="652">
        <f t="shared" si="1"/>
        <v>0</v>
      </c>
      <c r="I29" s="652">
        <v>-3357719.6217864701</v>
      </c>
      <c r="J29" s="684">
        <v>0</v>
      </c>
      <c r="K29" s="652">
        <f>SUMIFS(OBE!$H:$H,OBE!$C:$C,'Standalone TB'!$B29,OBE!$B:$B,"A22")</f>
        <v>0</v>
      </c>
      <c r="L29" s="652">
        <f>SUMIFS('Elimination - BS'!I:I,'Elimination - BS'!D:D,'Standalone TB'!B29,'Elimination - BS'!A:A,"EA22")</f>
        <v>0</v>
      </c>
      <c r="M29" s="652">
        <f t="shared" si="2"/>
        <v>0</v>
      </c>
      <c r="N29" s="652">
        <f t="shared" si="3"/>
        <v>0</v>
      </c>
      <c r="O29" s="652">
        <v>0</v>
      </c>
      <c r="P29" s="685">
        <v>0</v>
      </c>
      <c r="Q29" s="684">
        <v>0</v>
      </c>
      <c r="R29" s="652">
        <f>SUMIFS(OBE!$H:$H,OBE!$C:$C,'Standalone TB'!$B29,OBE!$B:$B,"A20")</f>
        <v>0</v>
      </c>
      <c r="S29" s="652">
        <f>SUMIFS('Elimination - BS'!I:I,'Elimination - BS'!D:D,'Standalone TB'!B29,'Elimination - BS'!A:A,"EA20")</f>
        <v>0</v>
      </c>
      <c r="T29" s="652">
        <f t="shared" si="4"/>
        <v>0</v>
      </c>
      <c r="U29" s="652">
        <f t="shared" si="5"/>
        <v>0</v>
      </c>
      <c r="V29" s="652">
        <v>0</v>
      </c>
      <c r="W29" s="685">
        <v>0</v>
      </c>
      <c r="X29" s="689">
        <f t="shared" si="6"/>
        <v>0</v>
      </c>
      <c r="Y29" s="689">
        <f t="shared" si="7"/>
        <v>-3357719.6217864701</v>
      </c>
      <c r="Z29" s="652" t="s">
        <v>716</v>
      </c>
      <c r="AA29" s="652" t="s">
        <v>35</v>
      </c>
      <c r="AB29" s="666" t="s">
        <v>1270</v>
      </c>
      <c r="AD29" s="665"/>
    </row>
    <row r="30" spans="2:30" ht="10.5" hidden="1" thickTop="1" x14ac:dyDescent="0.2">
      <c r="B30" s="673" t="s">
        <v>1754</v>
      </c>
      <c r="C30" s="666" t="s">
        <v>1755</v>
      </c>
      <c r="D30" s="666" t="s">
        <v>3</v>
      </c>
      <c r="E30" s="684">
        <v>-5372633.96</v>
      </c>
      <c r="F30" s="652">
        <f>SUMIFS(OBE!$H:$H,OBE!$C:$C,'Standalone TB'!$B30,OBE!$B:$B,"A21")</f>
        <v>0</v>
      </c>
      <c r="G30" s="652">
        <f>SUMIFS('Elimination - BS'!I:I,'Elimination - BS'!D:D,'Standalone TB'!B30,'Elimination - BS'!A:A,"EA21")</f>
        <v>0</v>
      </c>
      <c r="H30" s="652">
        <f t="shared" si="1"/>
        <v>-5372633.96</v>
      </c>
      <c r="I30" s="652">
        <v>-16817166.469999999</v>
      </c>
      <c r="J30" s="684">
        <v>-214510.28</v>
      </c>
      <c r="K30" s="652">
        <f>SUMIFS(OBE!$H:$H,OBE!$C:$C,'Standalone TB'!$B30,OBE!$B:$B,"A22")</f>
        <v>0</v>
      </c>
      <c r="L30" s="652">
        <f>SUMIFS('Elimination - BS'!I:I,'Elimination - BS'!D:D,'Standalone TB'!B30,'Elimination - BS'!A:A,"EA22")</f>
        <v>0</v>
      </c>
      <c r="M30" s="652">
        <f t="shared" si="2"/>
        <v>-214510.28</v>
      </c>
      <c r="N30" s="652">
        <f t="shared" si="3"/>
        <v>-4996781.0509426985</v>
      </c>
      <c r="O30" s="652">
        <v>-706452.7</v>
      </c>
      <c r="P30" s="685">
        <v>-16028917.246109998</v>
      </c>
      <c r="Q30" s="684">
        <v>0</v>
      </c>
      <c r="R30" s="652">
        <f>SUMIFS(OBE!$H:$H,OBE!$C:$C,'Standalone TB'!$B30,OBE!$B:$B,"A20")</f>
        <v>0</v>
      </c>
      <c r="S30" s="652">
        <f>SUMIFS('Elimination - BS'!I:I,'Elimination - BS'!D:D,'Standalone TB'!B30,'Elimination - BS'!A:A,"EA20")</f>
        <v>0</v>
      </c>
      <c r="T30" s="652">
        <f t="shared" si="4"/>
        <v>0</v>
      </c>
      <c r="U30" s="652">
        <f t="shared" si="5"/>
        <v>0</v>
      </c>
      <c r="V30" s="652">
        <v>-10515.22</v>
      </c>
      <c r="W30" s="685">
        <v>-876350.00154199987</v>
      </c>
      <c r="X30" s="689">
        <f t="shared" si="6"/>
        <v>-10369415.010942698</v>
      </c>
      <c r="Y30" s="689">
        <f t="shared" si="7"/>
        <v>-33722433.717652</v>
      </c>
      <c r="Z30" s="652" t="s">
        <v>681</v>
      </c>
      <c r="AA30" s="652" t="s">
        <v>35</v>
      </c>
      <c r="AB30" s="666" t="s">
        <v>1756</v>
      </c>
      <c r="AD30" s="665"/>
    </row>
    <row r="31" spans="2:30" ht="10.5" hidden="1" thickTop="1" x14ac:dyDescent="0.2">
      <c r="B31" s="673" t="s">
        <v>1757</v>
      </c>
      <c r="C31" s="666" t="s">
        <v>1758</v>
      </c>
      <c r="D31" s="666" t="s">
        <v>3</v>
      </c>
      <c r="E31" s="684">
        <v>2565209.75</v>
      </c>
      <c r="F31" s="652">
        <f>SUMIFS(OBE!$H:$H,OBE!$C:$C,'Standalone TB'!$B31,OBE!$B:$B,"A21")</f>
        <v>-4088751.86</v>
      </c>
      <c r="G31" s="652">
        <f>SUMIFS('Elimination - BS'!I:I,'Elimination - BS'!D:D,'Standalone TB'!B31,'Elimination - BS'!A:A,"EA21")</f>
        <v>0</v>
      </c>
      <c r="H31" s="652">
        <f t="shared" si="1"/>
        <v>-1523542.1099999999</v>
      </c>
      <c r="I31" s="652">
        <v>-10134588.220000001</v>
      </c>
      <c r="J31" s="684">
        <v>-6005251.6500000004</v>
      </c>
      <c r="K31" s="652">
        <f>SUMIFS(OBE!$H:$H,OBE!$C:$C,'Standalone TB'!$B31,OBE!$B:$B,"A22")</f>
        <v>0</v>
      </c>
      <c r="L31" s="652">
        <f>SUMIFS('Elimination - BS'!I:I,'Elimination - BS'!D:D,'Standalone TB'!B31,'Elimination - BS'!A:A,"EA22")</f>
        <v>0</v>
      </c>
      <c r="M31" s="652">
        <f t="shared" si="2"/>
        <v>-6005251.6500000004</v>
      </c>
      <c r="N31" s="652">
        <f t="shared" si="3"/>
        <v>-139885732.51996303</v>
      </c>
      <c r="O31" s="652">
        <v>-4814425.82</v>
      </c>
      <c r="P31" s="685">
        <v>-109235951.757726</v>
      </c>
      <c r="Q31" s="684">
        <v>-208218.81</v>
      </c>
      <c r="R31" s="652">
        <f>SUMIFS(OBE!$H:$H,OBE!$C:$C,'Standalone TB'!$B31,OBE!$B:$B,"A20")</f>
        <v>0</v>
      </c>
      <c r="S31" s="652">
        <f>SUMIFS('Elimination - BS'!I:I,'Elimination - BS'!D:D,'Standalone TB'!B31,'Elimination - BS'!A:A,"EA20")</f>
        <v>0</v>
      </c>
      <c r="T31" s="652">
        <f t="shared" si="4"/>
        <v>-208218.81</v>
      </c>
      <c r="U31" s="652">
        <f t="shared" si="5"/>
        <v>-17815986.534011092</v>
      </c>
      <c r="V31" s="652">
        <v>-1561179.6700000004</v>
      </c>
      <c r="W31" s="685">
        <v>-130110430.99543703</v>
      </c>
      <c r="X31" s="689">
        <f t="shared" si="6"/>
        <v>-159225261.16397414</v>
      </c>
      <c r="Y31" s="689">
        <f t="shared" si="7"/>
        <v>-249480970.97316301</v>
      </c>
      <c r="Z31" s="652" t="s">
        <v>681</v>
      </c>
      <c r="AA31" s="652" t="s">
        <v>35</v>
      </c>
      <c r="AB31" s="666" t="s">
        <v>1756</v>
      </c>
      <c r="AD31" s="665"/>
    </row>
    <row r="32" spans="2:30" ht="10.5" hidden="1" thickTop="1" x14ac:dyDescent="0.2">
      <c r="B32" s="673" t="s">
        <v>1759</v>
      </c>
      <c r="C32" s="666" t="s">
        <v>1760</v>
      </c>
      <c r="D32" s="666" t="s">
        <v>3</v>
      </c>
      <c r="E32" s="684">
        <v>0</v>
      </c>
      <c r="F32" s="652">
        <f>SUMIFS(OBE!$H:$H,OBE!$C:$C,'Standalone TB'!$B32,OBE!$B:$B,"A21")</f>
        <v>0</v>
      </c>
      <c r="G32" s="652">
        <f>SUMIFS('Elimination - BS'!I:I,'Elimination - BS'!D:D,'Standalone TB'!B32,'Elimination - BS'!A:A,"EA21")</f>
        <v>0</v>
      </c>
      <c r="H32" s="652">
        <f t="shared" si="1"/>
        <v>0</v>
      </c>
      <c r="I32" s="652">
        <v>0</v>
      </c>
      <c r="J32" s="684">
        <v>0</v>
      </c>
      <c r="K32" s="652">
        <f>SUMIFS(OBE!$H:$H,OBE!$C:$C,'Standalone TB'!$B32,OBE!$B:$B,"A22")</f>
        <v>0</v>
      </c>
      <c r="L32" s="652">
        <f>SUMIFS('Elimination - BS'!I:I,'Elimination - BS'!D:D,'Standalone TB'!B32,'Elimination - BS'!A:A,"EA22")</f>
        <v>0</v>
      </c>
      <c r="M32" s="652">
        <f t="shared" si="2"/>
        <v>0</v>
      </c>
      <c r="N32" s="652">
        <f t="shared" si="3"/>
        <v>0</v>
      </c>
      <c r="O32" s="652">
        <v>0</v>
      </c>
      <c r="P32" s="685">
        <v>0</v>
      </c>
      <c r="Q32" s="684">
        <v>0</v>
      </c>
      <c r="R32" s="652">
        <f>SUMIFS(OBE!$H:$H,OBE!$C:$C,'Standalone TB'!$B32,OBE!$B:$B,"A20")</f>
        <v>0</v>
      </c>
      <c r="S32" s="652">
        <f>SUMIFS('Elimination - BS'!I:I,'Elimination - BS'!D:D,'Standalone TB'!B32,'Elimination - BS'!A:A,"EA20")</f>
        <v>0</v>
      </c>
      <c r="T32" s="652">
        <f t="shared" si="4"/>
        <v>0</v>
      </c>
      <c r="U32" s="652">
        <f t="shared" si="5"/>
        <v>0</v>
      </c>
      <c r="V32" s="652">
        <v>0</v>
      </c>
      <c r="W32" s="685">
        <v>0</v>
      </c>
      <c r="X32" s="689">
        <f t="shared" si="6"/>
        <v>0</v>
      </c>
      <c r="Y32" s="689">
        <f t="shared" si="7"/>
        <v>0</v>
      </c>
      <c r="Z32" s="652" t="s">
        <v>681</v>
      </c>
      <c r="AA32" s="652" t="s">
        <v>35</v>
      </c>
      <c r="AB32" s="666" t="s">
        <v>1756</v>
      </c>
      <c r="AD32" s="665"/>
    </row>
    <row r="33" spans="2:30" ht="10.5" hidden="1" thickTop="1" x14ac:dyDescent="0.2">
      <c r="B33" s="673" t="s">
        <v>1506</v>
      </c>
      <c r="C33" s="666" t="s">
        <v>1761</v>
      </c>
      <c r="D33" s="666" t="s">
        <v>3</v>
      </c>
      <c r="E33" s="684">
        <v>-18156504.73</v>
      </c>
      <c r="F33" s="652">
        <f>SUMIFS(OBE!$H:$H,OBE!$C:$C,'Standalone TB'!$B33,OBE!$B:$B,"A21")</f>
        <v>0</v>
      </c>
      <c r="G33" s="652">
        <f>SUMIFS('Elimination - BS'!I:I,'Elimination - BS'!D:D,'Standalone TB'!B33,'Elimination - BS'!A:A,"EA21")</f>
        <v>14544431.99</v>
      </c>
      <c r="H33" s="652">
        <f t="shared" si="1"/>
        <v>-3612072.74</v>
      </c>
      <c r="J33" s="684">
        <v>-16748.490000000002</v>
      </c>
      <c r="K33" s="652">
        <f>SUMIFS(OBE!$H:$H,OBE!$C:$C,'Standalone TB'!$B33,OBE!$B:$B,"A22")</f>
        <v>0</v>
      </c>
      <c r="L33" s="652">
        <f>SUMIFS('Elimination - BS'!I:I,'Elimination - BS'!D:D,'Standalone TB'!B33,'Elimination - BS'!A:A,"EA22")</f>
        <v>3345.29</v>
      </c>
      <c r="M33" s="652">
        <f t="shared" si="2"/>
        <v>-13403.2</v>
      </c>
      <c r="N33" s="652">
        <f t="shared" si="3"/>
        <v>-312212.80295748613</v>
      </c>
      <c r="P33" s="685"/>
      <c r="Q33" s="684">
        <v>0</v>
      </c>
      <c r="R33" s="652">
        <f>SUMIFS(OBE!$H:$H,OBE!$C:$C,'Standalone TB'!$B33,OBE!$B:$B,"A20")</f>
        <v>0</v>
      </c>
      <c r="S33" s="652">
        <f>SUMIFS('Elimination - BS'!I:I,'Elimination - BS'!D:D,'Standalone TB'!B33,'Elimination - BS'!A:A,"EA20")</f>
        <v>0</v>
      </c>
      <c r="T33" s="652">
        <f t="shared" si="4"/>
        <v>0</v>
      </c>
      <c r="U33" s="652">
        <f t="shared" si="5"/>
        <v>0</v>
      </c>
      <c r="W33" s="685"/>
      <c r="X33" s="689">
        <f t="shared" si="6"/>
        <v>-3924285.5429574866</v>
      </c>
      <c r="Y33" s="689">
        <f t="shared" si="7"/>
        <v>0</v>
      </c>
      <c r="Z33" s="652" t="s">
        <v>681</v>
      </c>
      <c r="AA33" s="652" t="s">
        <v>35</v>
      </c>
      <c r="AB33" s="666" t="s">
        <v>1756</v>
      </c>
      <c r="AD33" s="665"/>
    </row>
    <row r="34" spans="2:30" ht="10.5" hidden="1" thickTop="1" x14ac:dyDescent="0.2">
      <c r="B34" s="673" t="s">
        <v>1629</v>
      </c>
      <c r="C34" s="666" t="s">
        <v>1762</v>
      </c>
      <c r="D34" s="666" t="s">
        <v>3</v>
      </c>
      <c r="E34" s="684">
        <v>-3357720</v>
      </c>
      <c r="F34" s="652">
        <f>SUMIFS(OBE!$H:$H,OBE!$C:$C,'Standalone TB'!$B34,OBE!$B:$B,"A21")</f>
        <v>-224872.70157632098</v>
      </c>
      <c r="G34" s="652">
        <f>SUMIFS('Elimination - BS'!I:I,'Elimination - BS'!D:D,'Standalone TB'!B34,'Elimination - BS'!A:A,"EA21")</f>
        <v>0</v>
      </c>
      <c r="H34" s="652">
        <f t="shared" si="1"/>
        <v>-3582592.7015763209</v>
      </c>
      <c r="J34" s="684">
        <v>0</v>
      </c>
      <c r="K34" s="652">
        <f>SUMIFS(OBE!$H:$H,OBE!$C:$C,'Standalone TB'!$B34,OBE!$B:$B,"A22")</f>
        <v>0</v>
      </c>
      <c r="L34" s="652">
        <f>SUMIFS('Elimination - BS'!I:I,'Elimination - BS'!D:D,'Standalone TB'!B34,'Elimination - BS'!A:A,"EA22")</f>
        <v>0</v>
      </c>
      <c r="M34" s="652">
        <f t="shared" si="2"/>
        <v>0</v>
      </c>
      <c r="N34" s="652">
        <f t="shared" si="3"/>
        <v>0</v>
      </c>
      <c r="P34" s="685"/>
      <c r="Q34" s="684">
        <v>0</v>
      </c>
      <c r="R34" s="652">
        <f>SUMIFS(OBE!$H:$H,OBE!$C:$C,'Standalone TB'!$B34,OBE!$B:$B,"A20")</f>
        <v>0</v>
      </c>
      <c r="S34" s="652">
        <f>SUMIFS('Elimination - BS'!I:I,'Elimination - BS'!D:D,'Standalone TB'!B34,'Elimination - BS'!A:A,"EA20")</f>
        <v>0</v>
      </c>
      <c r="T34" s="652">
        <f t="shared" si="4"/>
        <v>0</v>
      </c>
      <c r="U34" s="652">
        <f t="shared" si="5"/>
        <v>0</v>
      </c>
      <c r="W34" s="685"/>
      <c r="X34" s="689">
        <f t="shared" si="6"/>
        <v>-3582592.7015763209</v>
      </c>
      <c r="Y34" s="689">
        <f t="shared" si="7"/>
        <v>0</v>
      </c>
      <c r="Z34" s="652" t="s">
        <v>716</v>
      </c>
      <c r="AA34" s="652" t="s">
        <v>35</v>
      </c>
      <c r="AB34" s="666" t="s">
        <v>1270</v>
      </c>
      <c r="AD34" s="665"/>
    </row>
    <row r="35" spans="2:30" ht="10.5" hidden="1" thickTop="1" x14ac:dyDescent="0.2">
      <c r="B35" s="673" t="s">
        <v>1763</v>
      </c>
      <c r="C35" s="666" t="s">
        <v>1764</v>
      </c>
      <c r="D35" s="666" t="s">
        <v>3</v>
      </c>
      <c r="E35" s="684">
        <v>0</v>
      </c>
      <c r="F35" s="652">
        <f>SUMIFS(OBE!$H:$H,OBE!$C:$C,'Standalone TB'!$B35,OBE!$B:$B,"A21")</f>
        <v>0</v>
      </c>
      <c r="G35" s="652">
        <f>SUMIFS('Elimination - BS'!I:I,'Elimination - BS'!D:D,'Standalone TB'!B35,'Elimination - BS'!A:A,"EA21")</f>
        <v>0</v>
      </c>
      <c r="H35" s="652">
        <f t="shared" si="1"/>
        <v>0</v>
      </c>
      <c r="I35" s="652">
        <v>0</v>
      </c>
      <c r="J35" s="684">
        <v>0</v>
      </c>
      <c r="K35" s="652">
        <f>SUMIFS(OBE!$H:$H,OBE!$C:$C,'Standalone TB'!$B35,OBE!$B:$B,"A22")</f>
        <v>0</v>
      </c>
      <c r="L35" s="652">
        <f>SUMIFS('Elimination - BS'!I:I,'Elimination - BS'!D:D,'Standalone TB'!B35,'Elimination - BS'!A:A,"EA22")</f>
        <v>0</v>
      </c>
      <c r="M35" s="652">
        <f t="shared" si="2"/>
        <v>0</v>
      </c>
      <c r="N35" s="652">
        <f t="shared" si="3"/>
        <v>0</v>
      </c>
      <c r="O35" s="652">
        <v>0</v>
      </c>
      <c r="P35" s="685">
        <v>0</v>
      </c>
      <c r="Q35" s="684">
        <v>0</v>
      </c>
      <c r="R35" s="652">
        <f>SUMIFS(OBE!$H:$H,OBE!$C:$C,'Standalone TB'!$B35,OBE!$B:$B,"A20")</f>
        <v>0</v>
      </c>
      <c r="S35" s="652">
        <f>SUMIFS('Elimination - BS'!I:I,'Elimination - BS'!D:D,'Standalone TB'!B35,'Elimination - BS'!A:A,"EA20")</f>
        <v>0</v>
      </c>
      <c r="T35" s="652">
        <f t="shared" si="4"/>
        <v>0</v>
      </c>
      <c r="U35" s="652">
        <f t="shared" si="5"/>
        <v>0</v>
      </c>
      <c r="V35" s="652">
        <v>0</v>
      </c>
      <c r="W35" s="685">
        <v>0</v>
      </c>
      <c r="X35" s="689">
        <f t="shared" si="6"/>
        <v>0</v>
      </c>
      <c r="Y35" s="689">
        <f t="shared" si="7"/>
        <v>0</v>
      </c>
      <c r="Z35" s="652" t="s">
        <v>681</v>
      </c>
      <c r="AA35" s="652" t="s">
        <v>35</v>
      </c>
      <c r="AB35" s="666" t="s">
        <v>1756</v>
      </c>
      <c r="AD35" s="665"/>
    </row>
    <row r="36" spans="2:30" ht="10.5" hidden="1" thickTop="1" x14ac:dyDescent="0.2">
      <c r="B36" s="673" t="s">
        <v>1765</v>
      </c>
      <c r="C36" s="666" t="s">
        <v>1766</v>
      </c>
      <c r="D36" s="666" t="s">
        <v>3</v>
      </c>
      <c r="E36" s="684">
        <v>0</v>
      </c>
      <c r="F36" s="652">
        <f>SUMIFS(OBE!$H:$H,OBE!$C:$C,'Standalone TB'!$B36,OBE!$B:$B,"A21")</f>
        <v>0</v>
      </c>
      <c r="G36" s="652">
        <f>SUMIFS('Elimination - BS'!I:I,'Elimination - BS'!D:D,'Standalone TB'!B36,'Elimination - BS'!A:A,"EA21")</f>
        <v>0</v>
      </c>
      <c r="H36" s="652">
        <f t="shared" si="1"/>
        <v>0</v>
      </c>
      <c r="I36" s="652">
        <v>0</v>
      </c>
      <c r="J36" s="684">
        <v>-925418.89</v>
      </c>
      <c r="K36" s="652">
        <f>SUMIFS(OBE!$H:$H,OBE!$C:$C,'Standalone TB'!$B36,OBE!$B:$B,"A22")</f>
        <v>0</v>
      </c>
      <c r="L36" s="652">
        <f>SUMIFS('Elimination - BS'!I:I,'Elimination - BS'!D:D,'Standalone TB'!B36,'Elimination - BS'!A:A,"EA22")</f>
        <v>0</v>
      </c>
      <c r="M36" s="652">
        <f t="shared" si="2"/>
        <v>-925418.89</v>
      </c>
      <c r="N36" s="652">
        <f t="shared" si="3"/>
        <v>-21556615.252828095</v>
      </c>
      <c r="O36" s="652">
        <v>0</v>
      </c>
      <c r="P36" s="685">
        <v>0</v>
      </c>
      <c r="Q36" s="684">
        <v>0</v>
      </c>
      <c r="R36" s="652">
        <f>SUMIFS(OBE!$H:$H,OBE!$C:$C,'Standalone TB'!$B36,OBE!$B:$B,"A20")</f>
        <v>0</v>
      </c>
      <c r="S36" s="652">
        <f>SUMIFS('Elimination - BS'!I:I,'Elimination - BS'!D:D,'Standalone TB'!B36,'Elimination - BS'!A:A,"EA20")</f>
        <v>0</v>
      </c>
      <c r="T36" s="652">
        <f t="shared" si="4"/>
        <v>0</v>
      </c>
      <c r="U36" s="652">
        <f t="shared" si="5"/>
        <v>0</v>
      </c>
      <c r="V36" s="652">
        <v>-139058.04</v>
      </c>
      <c r="W36" s="685">
        <v>-11589250.017444</v>
      </c>
      <c r="X36" s="689">
        <f t="shared" si="6"/>
        <v>-21556615.252828095</v>
      </c>
      <c r="Y36" s="689">
        <f t="shared" si="7"/>
        <v>-11589250.017444</v>
      </c>
      <c r="Z36" s="652" t="s">
        <v>681</v>
      </c>
      <c r="AA36" s="652" t="s">
        <v>35</v>
      </c>
      <c r="AB36" s="666" t="s">
        <v>1756</v>
      </c>
      <c r="AD36" s="665"/>
    </row>
    <row r="37" spans="2:30" ht="10.5" hidden="1" thickTop="1" x14ac:dyDescent="0.2">
      <c r="B37" s="673" t="s">
        <v>1767</v>
      </c>
      <c r="C37" s="666" t="s">
        <v>1768</v>
      </c>
      <c r="D37" s="666" t="s">
        <v>3</v>
      </c>
      <c r="E37" s="684">
        <v>21862.09</v>
      </c>
      <c r="F37" s="652">
        <f>SUMIFS(OBE!$H:$H,OBE!$C:$C,'Standalone TB'!$B37,OBE!$B:$B,"A21")</f>
        <v>0</v>
      </c>
      <c r="G37" s="652">
        <f>SUMIFS('Elimination - BS'!I:I,'Elimination - BS'!D:D,'Standalone TB'!B37,'Elimination - BS'!A:A,"EA21")</f>
        <v>0</v>
      </c>
      <c r="H37" s="652">
        <f t="shared" si="1"/>
        <v>21862.09</v>
      </c>
      <c r="J37" s="684">
        <v>0</v>
      </c>
      <c r="K37" s="652">
        <f>SUMIFS(OBE!$H:$H,OBE!$C:$C,'Standalone TB'!$B37,OBE!$B:$B,"A22")</f>
        <v>0</v>
      </c>
      <c r="L37" s="652">
        <f>SUMIFS('Elimination - BS'!I:I,'Elimination - BS'!D:D,'Standalone TB'!B37,'Elimination - BS'!A:A,"EA22")</f>
        <v>0</v>
      </c>
      <c r="M37" s="652">
        <f t="shared" si="2"/>
        <v>0</v>
      </c>
      <c r="N37" s="652">
        <f t="shared" si="3"/>
        <v>0</v>
      </c>
      <c r="Q37" s="684">
        <v>0</v>
      </c>
      <c r="R37" s="652">
        <f>SUMIFS(OBE!$H:$H,OBE!$C:$C,'Standalone TB'!$B37,OBE!$B:$B,"A20")</f>
        <v>0</v>
      </c>
      <c r="S37" s="652">
        <f>SUMIFS('Elimination - BS'!I:I,'Elimination - BS'!D:D,'Standalone TB'!B37,'Elimination - BS'!A:A,"EA20")</f>
        <v>0</v>
      </c>
      <c r="T37" s="652">
        <f t="shared" si="4"/>
        <v>0</v>
      </c>
      <c r="U37" s="652">
        <f t="shared" si="5"/>
        <v>0</v>
      </c>
      <c r="X37" s="689">
        <f t="shared" si="6"/>
        <v>21862.09</v>
      </c>
      <c r="Y37" s="689">
        <f t="shared" si="7"/>
        <v>0</v>
      </c>
      <c r="Z37" s="652" t="s">
        <v>681</v>
      </c>
      <c r="AA37" s="652" t="s">
        <v>35</v>
      </c>
      <c r="AB37" s="666" t="s">
        <v>1756</v>
      </c>
      <c r="AD37" s="665"/>
    </row>
    <row r="38" spans="2:30" ht="10.5" hidden="1" thickTop="1" x14ac:dyDescent="0.2">
      <c r="B38" s="673" t="s">
        <v>1769</v>
      </c>
      <c r="C38" s="666" t="s">
        <v>1770</v>
      </c>
      <c r="D38" s="666" t="s">
        <v>3</v>
      </c>
      <c r="E38" s="652">
        <v>-2729136.6</v>
      </c>
      <c r="F38" s="652">
        <f>SUMIFS(OBE!$H:$H,OBE!$C:$C,'Standalone TB'!$B38,OBE!$B:$B,"A21")</f>
        <v>0</v>
      </c>
      <c r="G38" s="652">
        <f>SUMIFS('Elimination - BS'!I:I,'Elimination - BS'!D:D,'Standalone TB'!B38,'Elimination - BS'!A:A,"EA21")</f>
        <v>0</v>
      </c>
      <c r="H38" s="652">
        <f t="shared" si="1"/>
        <v>-2729136.6</v>
      </c>
      <c r="I38" s="652">
        <v>-2751654.15</v>
      </c>
      <c r="J38" s="684">
        <v>-53390.8</v>
      </c>
      <c r="K38" s="652">
        <f>SUMIFS(OBE!$H:$H,OBE!$C:$C,'Standalone TB'!$B38,OBE!$B:$B,"A22")</f>
        <v>0</v>
      </c>
      <c r="L38" s="652">
        <f>SUMIFS('Elimination - BS'!I:I,'Elimination - BS'!D:D,'Standalone TB'!B38,'Elimination - BS'!A:A,"EA22")</f>
        <v>0</v>
      </c>
      <c r="M38" s="652">
        <f t="shared" si="2"/>
        <v>-53390.8</v>
      </c>
      <c r="N38" s="652">
        <f t="shared" si="3"/>
        <v>-1243679.9659889094</v>
      </c>
      <c r="O38" s="652">
        <v>0</v>
      </c>
      <c r="P38" s="652">
        <v>0</v>
      </c>
      <c r="Q38" s="684">
        <v>-4906.25</v>
      </c>
      <c r="R38" s="652">
        <f>SUMIFS(OBE!$H:$H,OBE!$C:$C,'Standalone TB'!$B38,OBE!$B:$B,"A20")</f>
        <v>0</v>
      </c>
      <c r="S38" s="652">
        <f>SUMIFS('Elimination - BS'!I:I,'Elimination - BS'!D:D,'Standalone TB'!B38,'Elimination - BS'!A:A,"EA20")</f>
        <v>0</v>
      </c>
      <c r="T38" s="652">
        <f t="shared" si="4"/>
        <v>-4906.25</v>
      </c>
      <c r="U38" s="652">
        <f t="shared" si="5"/>
        <v>-419797.25046210724</v>
      </c>
      <c r="V38" s="652">
        <v>0</v>
      </c>
      <c r="W38" s="652">
        <v>0</v>
      </c>
      <c r="X38" s="689">
        <f t="shared" si="6"/>
        <v>-4392613.8164510168</v>
      </c>
      <c r="Y38" s="689">
        <f t="shared" si="7"/>
        <v>-2751654.15</v>
      </c>
      <c r="Z38" s="652" t="s">
        <v>681</v>
      </c>
      <c r="AA38" s="652" t="s">
        <v>35</v>
      </c>
      <c r="AB38" s="666" t="s">
        <v>1756</v>
      </c>
      <c r="AD38" s="665"/>
    </row>
    <row r="39" spans="2:30" ht="10.5" hidden="1" thickTop="1" x14ac:dyDescent="0.2">
      <c r="B39" s="673" t="s">
        <v>1771</v>
      </c>
      <c r="C39" s="666" t="s">
        <v>1772</v>
      </c>
      <c r="D39" s="666" t="s">
        <v>3</v>
      </c>
      <c r="E39" s="684">
        <v>-24048879.489999998</v>
      </c>
      <c r="F39" s="652">
        <f>SUMIFS(OBE!$H:$H,OBE!$C:$C,'Standalone TB'!$B39,OBE!$B:$B,"A21")</f>
        <v>846292</v>
      </c>
      <c r="G39" s="652">
        <f>SUMIFS('Elimination - BS'!I:I,'Elimination - BS'!D:D,'Standalone TB'!B39,'Elimination - BS'!A:A,"EA21")</f>
        <v>0</v>
      </c>
      <c r="H39" s="652">
        <f t="shared" si="1"/>
        <v>-23202587.489999998</v>
      </c>
      <c r="I39" s="652">
        <v>-63586459.469999999</v>
      </c>
      <c r="J39" s="684">
        <v>31157.35</v>
      </c>
      <c r="K39" s="652">
        <f>SUMIFS(OBE!$H:$H,OBE!$C:$C,'Standalone TB'!$B39,OBE!$B:$B,"A22")</f>
        <v>0</v>
      </c>
      <c r="L39" s="652">
        <f>SUMIFS('Elimination - BS'!I:I,'Elimination - BS'!D:D,'Standalone TB'!B39,'Elimination - BS'!A:A,"EA22")</f>
        <v>0</v>
      </c>
      <c r="M39" s="652">
        <f t="shared" si="2"/>
        <v>31157.35</v>
      </c>
      <c r="N39" s="652">
        <f t="shared" si="3"/>
        <v>725776.20092421432</v>
      </c>
      <c r="O39" s="652">
        <v>117857.9</v>
      </c>
      <c r="P39" s="685">
        <v>2674113.2504699999</v>
      </c>
      <c r="Q39" s="684">
        <v>-32249.69</v>
      </c>
      <c r="R39" s="652">
        <f>SUMIFS(OBE!$H:$H,OBE!$C:$C,'Standalone TB'!$B39,OBE!$B:$B,"A20")</f>
        <v>0</v>
      </c>
      <c r="S39" s="652">
        <f>SUMIFS('Elimination - BS'!I:I,'Elimination - BS'!D:D,'Standalone TB'!B39,'Elimination - BS'!A:A,"EA20")</f>
        <v>0</v>
      </c>
      <c r="T39" s="652">
        <f t="shared" si="4"/>
        <v>-32249.69</v>
      </c>
      <c r="U39" s="652">
        <f t="shared" si="5"/>
        <v>-2759405.0833641407</v>
      </c>
      <c r="V39" s="652">
        <v>-32200</v>
      </c>
      <c r="W39" s="685">
        <v>-2683583.42</v>
      </c>
      <c r="X39" s="689">
        <f t="shared" si="6"/>
        <v>-25236216.372439925</v>
      </c>
      <c r="Y39" s="689">
        <f t="shared" si="7"/>
        <v>-63595929.639530003</v>
      </c>
      <c r="Z39" s="652" t="s">
        <v>681</v>
      </c>
      <c r="AA39" s="652" t="s">
        <v>35</v>
      </c>
      <c r="AB39" s="666" t="s">
        <v>1756</v>
      </c>
      <c r="AD39" s="665"/>
    </row>
    <row r="40" spans="2:30" ht="10.5" hidden="1" thickTop="1" x14ac:dyDescent="0.2">
      <c r="B40" s="673" t="s">
        <v>1773</v>
      </c>
      <c r="C40" s="666" t="s">
        <v>1774</v>
      </c>
      <c r="D40" s="666" t="s">
        <v>3</v>
      </c>
      <c r="E40" s="684">
        <v>0</v>
      </c>
      <c r="F40" s="652">
        <f>SUMIFS(OBE!$H:$H,OBE!$C:$C,'Standalone TB'!$B40,OBE!$B:$B,"A21")</f>
        <v>0</v>
      </c>
      <c r="G40" s="652">
        <f>SUMIFS('Elimination - BS'!I:I,'Elimination - BS'!D:D,'Standalone TB'!B40,'Elimination - BS'!A:A,"EA21")</f>
        <v>0</v>
      </c>
      <c r="H40" s="652">
        <f t="shared" ref="H40:H71" si="8">SUM(E40:G40)</f>
        <v>0</v>
      </c>
      <c r="I40" s="652">
        <v>0</v>
      </c>
      <c r="J40" s="684">
        <v>3372301.93</v>
      </c>
      <c r="K40" s="652">
        <f>SUMIFS(OBE!$H:$H,OBE!$C:$C,'Standalone TB'!$B40,OBE!$B:$B,"A22")</f>
        <v>0</v>
      </c>
      <c r="L40" s="652">
        <f>SUMIFS('Elimination - BS'!I:I,'Elimination - BS'!D:D,'Standalone TB'!B40,'Elimination - BS'!A:A,"EA22")</f>
        <v>0</v>
      </c>
      <c r="M40" s="652">
        <f t="shared" si="2"/>
        <v>3372301.93</v>
      </c>
      <c r="N40" s="652">
        <f t="shared" si="3"/>
        <v>78554064.550573021</v>
      </c>
      <c r="O40" s="652">
        <v>3372301.93</v>
      </c>
      <c r="P40" s="685">
        <v>76515170.180349007</v>
      </c>
      <c r="Q40" s="684">
        <v>0</v>
      </c>
      <c r="R40" s="652">
        <f>SUMIFS(OBE!$H:$H,OBE!$C:$C,'Standalone TB'!$B40,OBE!$B:$B,"A20")</f>
        <v>0</v>
      </c>
      <c r="S40" s="652">
        <f>SUMIFS('Elimination - BS'!I:I,'Elimination - BS'!D:D,'Standalone TB'!B40,'Elimination - BS'!A:A,"EA20")</f>
        <v>0</v>
      </c>
      <c r="T40" s="652">
        <f t="shared" si="4"/>
        <v>0</v>
      </c>
      <c r="U40" s="652">
        <f t="shared" si="5"/>
        <v>0</v>
      </c>
      <c r="V40" s="652">
        <v>0</v>
      </c>
      <c r="W40" s="685">
        <v>0</v>
      </c>
      <c r="X40" s="689">
        <f t="shared" si="6"/>
        <v>78554064.550573021</v>
      </c>
      <c r="Y40" s="689">
        <f t="shared" si="7"/>
        <v>76515170.180349007</v>
      </c>
      <c r="Z40" s="652" t="s">
        <v>681</v>
      </c>
      <c r="AA40" s="652" t="s">
        <v>35</v>
      </c>
      <c r="AB40" s="666" t="s">
        <v>1756</v>
      </c>
      <c r="AD40" s="665"/>
    </row>
    <row r="41" spans="2:30" ht="10.5" hidden="1" thickTop="1" x14ac:dyDescent="0.2">
      <c r="B41" s="673" t="s">
        <v>1775</v>
      </c>
      <c r="C41" s="666" t="s">
        <v>1776</v>
      </c>
      <c r="D41" s="666" t="s">
        <v>3</v>
      </c>
      <c r="E41" s="684">
        <v>0</v>
      </c>
      <c r="F41" s="652">
        <f>SUMIFS(OBE!$H:$H,OBE!$C:$C,'Standalone TB'!$B41,OBE!$B:$B,"A21")</f>
        <v>0</v>
      </c>
      <c r="G41" s="652">
        <f>SUMIFS('Elimination - BS'!I:I,'Elimination - BS'!D:D,'Standalone TB'!B41,'Elimination - BS'!A:A,"EA21")</f>
        <v>0</v>
      </c>
      <c r="H41" s="652">
        <f t="shared" si="8"/>
        <v>0</v>
      </c>
      <c r="I41" s="652">
        <v>0</v>
      </c>
      <c r="J41" s="684">
        <v>0</v>
      </c>
      <c r="K41" s="652">
        <f>SUMIFS(OBE!$H:$H,OBE!$C:$C,'Standalone TB'!$B41,OBE!$B:$B,"A22")</f>
        <v>0</v>
      </c>
      <c r="L41" s="652">
        <f>SUMIFS('Elimination - BS'!I:I,'Elimination - BS'!D:D,'Standalone TB'!B41,'Elimination - BS'!A:A,"EA22")</f>
        <v>0</v>
      </c>
      <c r="M41" s="652">
        <f t="shared" si="2"/>
        <v>0</v>
      </c>
      <c r="N41" s="652">
        <f t="shared" si="3"/>
        <v>0</v>
      </c>
      <c r="O41" s="652">
        <v>21054.030000000002</v>
      </c>
      <c r="P41" s="685">
        <v>477701.20287900005</v>
      </c>
      <c r="Q41" s="684">
        <v>0</v>
      </c>
      <c r="R41" s="652">
        <f>SUMIFS(OBE!$H:$H,OBE!$C:$C,'Standalone TB'!$B41,OBE!$B:$B,"A20")</f>
        <v>0</v>
      </c>
      <c r="S41" s="652">
        <f>SUMIFS('Elimination - BS'!I:I,'Elimination - BS'!D:D,'Standalone TB'!B41,'Elimination - BS'!A:A,"EA20")</f>
        <v>0</v>
      </c>
      <c r="T41" s="652">
        <f t="shared" si="4"/>
        <v>0</v>
      </c>
      <c r="U41" s="652">
        <f t="shared" si="5"/>
        <v>0</v>
      </c>
      <c r="V41" s="652">
        <v>0</v>
      </c>
      <c r="W41" s="685">
        <v>0</v>
      </c>
      <c r="X41" s="689">
        <f t="shared" si="6"/>
        <v>0</v>
      </c>
      <c r="Y41" s="689">
        <f t="shared" si="7"/>
        <v>477701.20287900005</v>
      </c>
      <c r="Z41" s="652" t="s">
        <v>681</v>
      </c>
      <c r="AA41" s="652" t="s">
        <v>35</v>
      </c>
      <c r="AB41" s="666" t="s">
        <v>1756</v>
      </c>
      <c r="AD41" s="665"/>
    </row>
    <row r="42" spans="2:30" ht="10.5" hidden="1" thickTop="1" x14ac:dyDescent="0.2">
      <c r="B42" s="673" t="s">
        <v>1652</v>
      </c>
      <c r="C42" s="666" t="s">
        <v>1777</v>
      </c>
      <c r="D42" s="666" t="s">
        <v>3</v>
      </c>
      <c r="E42" s="684">
        <v>366248.07</v>
      </c>
      <c r="F42" s="652">
        <f>SUMIFS(OBE!$H:$H,OBE!$C:$C,'Standalone TB'!$B42,OBE!$B:$B,"A21")</f>
        <v>1267006</v>
      </c>
      <c r="G42" s="652">
        <f>SUMIFS('Elimination - BS'!I:I,'Elimination - BS'!D:D,'Standalone TB'!B42,'Elimination - BS'!A:A,"EA21")</f>
        <v>0</v>
      </c>
      <c r="H42" s="652">
        <f t="shared" si="8"/>
        <v>1633254.07</v>
      </c>
      <c r="I42" s="652">
        <v>0</v>
      </c>
      <c r="J42" s="684">
        <v>4795.18</v>
      </c>
      <c r="K42" s="652">
        <f>SUMIFS(OBE!$H:$H,OBE!$C:$C,'Standalone TB'!$B42,OBE!$B:$B,"A22")</f>
        <v>0</v>
      </c>
      <c r="L42" s="652">
        <f>SUMIFS('Elimination - BS'!I:I,'Elimination - BS'!D:D,'Standalone TB'!B42,'Elimination - BS'!A:A,"EA22")</f>
        <v>0</v>
      </c>
      <c r="M42" s="652">
        <f t="shared" si="2"/>
        <v>4795.18</v>
      </c>
      <c r="N42" s="652">
        <f t="shared" si="3"/>
        <v>111698.44428835491</v>
      </c>
      <c r="O42" s="652">
        <v>0</v>
      </c>
      <c r="P42" s="685">
        <v>0</v>
      </c>
      <c r="Q42" s="684">
        <v>0</v>
      </c>
      <c r="R42" s="652">
        <f>SUMIFS(OBE!$H:$H,OBE!$C:$C,'Standalone TB'!$B42,OBE!$B:$B,"A20")</f>
        <v>0</v>
      </c>
      <c r="S42" s="652">
        <f>SUMIFS('Elimination - BS'!I:I,'Elimination - BS'!D:D,'Standalone TB'!B42,'Elimination - BS'!A:A,"EA20")</f>
        <v>0</v>
      </c>
      <c r="T42" s="652">
        <f t="shared" si="4"/>
        <v>0</v>
      </c>
      <c r="U42" s="652">
        <f t="shared" si="5"/>
        <v>0</v>
      </c>
      <c r="V42" s="652">
        <v>0</v>
      </c>
      <c r="W42" s="685">
        <v>0</v>
      </c>
      <c r="X42" s="689">
        <f t="shared" si="6"/>
        <v>1744952.5142883549</v>
      </c>
      <c r="Y42" s="689">
        <f t="shared" si="7"/>
        <v>0</v>
      </c>
      <c r="Z42" s="652" t="s">
        <v>681</v>
      </c>
      <c r="AA42" s="652" t="s">
        <v>35</v>
      </c>
      <c r="AB42" s="666" t="s">
        <v>1756</v>
      </c>
      <c r="AD42" s="665"/>
    </row>
    <row r="43" spans="2:30" ht="10.5" hidden="1" thickTop="1" x14ac:dyDescent="0.2">
      <c r="B43" s="673" t="s">
        <v>1504</v>
      </c>
      <c r="C43" s="666" t="s">
        <v>1505</v>
      </c>
      <c r="D43" s="666" t="s">
        <v>3</v>
      </c>
      <c r="E43" s="684">
        <v>-84551373.829999998</v>
      </c>
      <c r="F43" s="652">
        <f>SUMIFS(OBE!$H:$H,OBE!$C:$C,'Standalone TB'!$B43,OBE!$B:$B,"A21")</f>
        <v>85434002.939999998</v>
      </c>
      <c r="G43" s="652">
        <f>SUMIFS('Elimination - BS'!I:I,'Elimination - BS'!D:D,'Standalone TB'!B43,'Elimination - BS'!A:A,"EA21")</f>
        <v>0</v>
      </c>
      <c r="H43" s="652">
        <f t="shared" si="8"/>
        <v>882629.1099999994</v>
      </c>
      <c r="I43" s="652">
        <v>-1168247.4200000018</v>
      </c>
      <c r="J43" s="684">
        <v>-18.3</v>
      </c>
      <c r="K43" s="652">
        <f>SUMIFS(OBE!$H:$H,OBE!$C:$C,'Standalone TB'!$B43,OBE!$B:$B,"A22")</f>
        <v>0</v>
      </c>
      <c r="L43" s="652">
        <f>SUMIFS('Elimination - BS'!I:I,'Elimination - BS'!D:D,'Standalone TB'!B43,'Elimination - BS'!A:A,"EA22")</f>
        <v>0</v>
      </c>
      <c r="M43" s="652">
        <f t="shared" si="2"/>
        <v>-18.3</v>
      </c>
      <c r="N43" s="652">
        <f t="shared" si="3"/>
        <v>-426.27837338262475</v>
      </c>
      <c r="O43" s="652">
        <v>-14048.71</v>
      </c>
      <c r="P43" s="685">
        <v>-318755.39580299996</v>
      </c>
      <c r="Q43" s="684">
        <v>0</v>
      </c>
      <c r="R43" s="652">
        <f>SUMIFS(OBE!$H:$H,OBE!$C:$C,'Standalone TB'!$B43,OBE!$B:$B,"A20")</f>
        <v>0</v>
      </c>
      <c r="S43" s="652">
        <f>SUMIFS('Elimination - BS'!I:I,'Elimination - BS'!D:D,'Standalone TB'!B43,'Elimination - BS'!A:A,"EA20")</f>
        <v>0</v>
      </c>
      <c r="T43" s="652">
        <f t="shared" si="4"/>
        <v>0</v>
      </c>
      <c r="U43" s="652">
        <f t="shared" si="5"/>
        <v>0</v>
      </c>
      <c r="V43" s="652">
        <v>0</v>
      </c>
      <c r="W43" s="685">
        <v>0</v>
      </c>
      <c r="X43" s="689">
        <f t="shared" si="6"/>
        <v>882202.83162661677</v>
      </c>
      <c r="Y43" s="689">
        <f t="shared" si="7"/>
        <v>-1487002.8158030016</v>
      </c>
      <c r="Z43" s="652" t="s">
        <v>681</v>
      </c>
      <c r="AA43" s="652" t="s">
        <v>35</v>
      </c>
      <c r="AB43" s="666" t="s">
        <v>1756</v>
      </c>
      <c r="AD43" s="665"/>
    </row>
    <row r="44" spans="2:30" ht="10.5" hidden="1" thickTop="1" x14ac:dyDescent="0.2">
      <c r="B44" s="673" t="s">
        <v>1497</v>
      </c>
      <c r="C44" s="666" t="s">
        <v>1511</v>
      </c>
      <c r="D44" s="666" t="s">
        <v>3</v>
      </c>
      <c r="E44" s="684">
        <v>-955193314.59000003</v>
      </c>
      <c r="F44" s="652">
        <f>SUMIFS(OBE!$H:$H,OBE!$C:$C,'Standalone TB'!$B44,OBE!$B:$B,"A21")</f>
        <v>-2131502.1469556997</v>
      </c>
      <c r="G44" s="652">
        <f>SUMIFS('Elimination - BS'!I:I,'Elimination - BS'!D:D,'Standalone TB'!B44,'Elimination - BS'!A:A,"EA21")</f>
        <v>721282822.25999999</v>
      </c>
      <c r="H44" s="652">
        <f t="shared" si="8"/>
        <v>-236041994.47695577</v>
      </c>
      <c r="I44" s="652">
        <v>-363583150</v>
      </c>
      <c r="J44" s="684">
        <v>-2234093.6</v>
      </c>
      <c r="K44" s="652">
        <f>SUMIFS(OBE!$H:$H,OBE!$C:$C,'Standalone TB'!$B44,OBE!$B:$B,"A22")</f>
        <v>-3994.93</v>
      </c>
      <c r="L44" s="652">
        <f>SUMIFS('Elimination - BS'!I:I,'Elimination - BS'!D:D,'Standalone TB'!B44,'Elimination - BS'!A:A,"EA22")</f>
        <v>248959.3</v>
      </c>
      <c r="M44" s="652">
        <f t="shared" si="2"/>
        <v>-1989129.2300000002</v>
      </c>
      <c r="N44" s="652">
        <f t="shared" si="3"/>
        <v>-46334577.738373384</v>
      </c>
      <c r="O44" s="652">
        <v>-1754308.96</v>
      </c>
      <c r="P44" s="685">
        <v>-39804042.286127999</v>
      </c>
      <c r="Q44" s="684">
        <v>-69998.44</v>
      </c>
      <c r="R44" s="652">
        <f>SUMIFS(OBE!$H:$H,OBE!$C:$C,'Standalone TB'!$B44,OBE!$B:$B,"A20")</f>
        <v>-9435.7800000000007</v>
      </c>
      <c r="S44" s="652">
        <f>SUMIFS('Elimination - BS'!I:I,'Elimination - BS'!D:D,'Standalone TB'!B44,'Elimination - BS'!A:A,"EA20")</f>
        <v>79434.220000000103</v>
      </c>
      <c r="T44" s="652">
        <f t="shared" si="4"/>
        <v>0</v>
      </c>
      <c r="U44" s="652">
        <f t="shared" si="5"/>
        <v>0</v>
      </c>
      <c r="V44" s="652">
        <v>0</v>
      </c>
      <c r="W44" s="685">
        <v>0</v>
      </c>
      <c r="X44" s="689">
        <f t="shared" si="6"/>
        <v>-282376572.21532917</v>
      </c>
      <c r="Y44" s="689">
        <f t="shared" si="7"/>
        <v>-403387192.28612798</v>
      </c>
      <c r="Z44" s="652" t="s">
        <v>681</v>
      </c>
      <c r="AA44" s="652" t="s">
        <v>35</v>
      </c>
      <c r="AB44" s="666" t="s">
        <v>1756</v>
      </c>
      <c r="AD44" s="665"/>
    </row>
    <row r="45" spans="2:30" ht="10.5" hidden="1" thickTop="1" x14ac:dyDescent="0.2">
      <c r="B45" s="673" t="s">
        <v>1778</v>
      </c>
      <c r="C45" s="666" t="s">
        <v>1779</v>
      </c>
      <c r="D45" s="666" t="s">
        <v>3</v>
      </c>
      <c r="E45" s="684">
        <v>-0.04</v>
      </c>
      <c r="F45" s="652">
        <f>SUMIFS(OBE!$H:$H,OBE!$C:$C,'Standalone TB'!$B45,OBE!$B:$B,"A21")</f>
        <v>0</v>
      </c>
      <c r="G45" s="652">
        <f>SUMIFS('Elimination - BS'!I:I,'Elimination - BS'!D:D,'Standalone TB'!B45,'Elimination - BS'!A:A,"EA21")</f>
        <v>0</v>
      </c>
      <c r="H45" s="652">
        <f t="shared" si="8"/>
        <v>-0.04</v>
      </c>
      <c r="I45" s="652">
        <v>0</v>
      </c>
      <c r="J45" s="684">
        <v>0</v>
      </c>
      <c r="K45" s="652">
        <f>SUMIFS(OBE!$H:$H,OBE!$C:$C,'Standalone TB'!$B45,OBE!$B:$B,"A22")</f>
        <v>0</v>
      </c>
      <c r="L45" s="652">
        <f>SUMIFS('Elimination - BS'!I:I,'Elimination - BS'!D:D,'Standalone TB'!B45,'Elimination - BS'!A:A,"EA22")</f>
        <v>0</v>
      </c>
      <c r="M45" s="652">
        <f t="shared" si="2"/>
        <v>0</v>
      </c>
      <c r="N45" s="652">
        <f t="shared" si="3"/>
        <v>0</v>
      </c>
      <c r="O45" s="652">
        <v>0</v>
      </c>
      <c r="P45" s="685">
        <v>0</v>
      </c>
      <c r="Q45" s="684">
        <v>0</v>
      </c>
      <c r="R45" s="652">
        <f>SUMIFS(OBE!$H:$H,OBE!$C:$C,'Standalone TB'!$B45,OBE!$B:$B,"A20")</f>
        <v>0</v>
      </c>
      <c r="S45" s="652">
        <f>SUMIFS('Elimination - BS'!I:I,'Elimination - BS'!D:D,'Standalone TB'!B45,'Elimination - BS'!A:A,"EA20")</f>
        <v>0</v>
      </c>
      <c r="T45" s="652">
        <f t="shared" si="4"/>
        <v>0</v>
      </c>
      <c r="U45" s="652">
        <f t="shared" si="5"/>
        <v>0</v>
      </c>
      <c r="V45" s="652">
        <v>0</v>
      </c>
      <c r="W45" s="685">
        <v>0</v>
      </c>
      <c r="X45" s="689">
        <f t="shared" si="6"/>
        <v>-0.04</v>
      </c>
      <c r="Y45" s="689">
        <f t="shared" si="7"/>
        <v>0</v>
      </c>
      <c r="Z45" s="652" t="s">
        <v>681</v>
      </c>
      <c r="AA45" s="652" t="s">
        <v>35</v>
      </c>
      <c r="AB45" s="666" t="s">
        <v>1756</v>
      </c>
      <c r="AD45" s="665"/>
    </row>
    <row r="46" spans="2:30" ht="10.5" hidden="1" thickTop="1" x14ac:dyDescent="0.2">
      <c r="B46" s="673" t="s">
        <v>1780</v>
      </c>
      <c r="C46" s="666" t="s">
        <v>1781</v>
      </c>
      <c r="D46" s="666" t="s">
        <v>3</v>
      </c>
      <c r="E46" s="684">
        <v>0</v>
      </c>
      <c r="F46" s="652">
        <f>SUMIFS(OBE!$H:$H,OBE!$C:$C,'Standalone TB'!$B46,OBE!$B:$B,"A21")</f>
        <v>0</v>
      </c>
      <c r="G46" s="652">
        <f>SUMIFS('Elimination - BS'!I:I,'Elimination - BS'!D:D,'Standalone TB'!B46,'Elimination - BS'!A:A,"EA21")</f>
        <v>0</v>
      </c>
      <c r="H46" s="652">
        <f t="shared" si="8"/>
        <v>0</v>
      </c>
      <c r="I46" s="652">
        <v>0</v>
      </c>
      <c r="J46" s="684">
        <v>0</v>
      </c>
      <c r="K46" s="652">
        <f>SUMIFS(OBE!$H:$H,OBE!$C:$C,'Standalone TB'!$B46,OBE!$B:$B,"A22")</f>
        <v>0</v>
      </c>
      <c r="L46" s="652">
        <f>SUMIFS('Elimination - BS'!I:I,'Elimination - BS'!D:D,'Standalone TB'!B46,'Elimination - BS'!A:A,"EA22")</f>
        <v>0</v>
      </c>
      <c r="M46" s="652">
        <f t="shared" si="2"/>
        <v>0</v>
      </c>
      <c r="N46" s="652">
        <f t="shared" si="3"/>
        <v>0</v>
      </c>
      <c r="O46" s="652">
        <v>0</v>
      </c>
      <c r="P46" s="685">
        <v>0</v>
      </c>
      <c r="Q46" s="684">
        <v>0</v>
      </c>
      <c r="R46" s="652">
        <f>SUMIFS(OBE!$H:$H,OBE!$C:$C,'Standalone TB'!$B46,OBE!$B:$B,"A20")</f>
        <v>0</v>
      </c>
      <c r="S46" s="652">
        <f>SUMIFS('Elimination - BS'!I:I,'Elimination - BS'!D:D,'Standalone TB'!B46,'Elimination - BS'!A:A,"EA20")</f>
        <v>0</v>
      </c>
      <c r="T46" s="652">
        <f t="shared" si="4"/>
        <v>0</v>
      </c>
      <c r="U46" s="652">
        <f t="shared" si="5"/>
        <v>0</v>
      </c>
      <c r="V46" s="652">
        <v>-41504</v>
      </c>
      <c r="W46" s="685">
        <v>-3458989.0143999998</v>
      </c>
      <c r="X46" s="689">
        <f t="shared" si="6"/>
        <v>0</v>
      </c>
      <c r="Y46" s="689">
        <f t="shared" si="7"/>
        <v>-3458989.0143999998</v>
      </c>
      <c r="Z46" s="652" t="s">
        <v>681</v>
      </c>
      <c r="AA46" s="652" t="s">
        <v>35</v>
      </c>
      <c r="AB46" s="666" t="s">
        <v>1756</v>
      </c>
      <c r="AD46" s="665"/>
    </row>
    <row r="47" spans="2:30" ht="10.5" hidden="1" thickTop="1" x14ac:dyDescent="0.2">
      <c r="B47" s="673" t="s">
        <v>1782</v>
      </c>
      <c r="C47" s="666" t="s">
        <v>1783</v>
      </c>
      <c r="D47" s="666" t="s">
        <v>3</v>
      </c>
      <c r="E47" s="684">
        <v>0</v>
      </c>
      <c r="F47" s="652">
        <f>SUMIFS(OBE!$H:$H,OBE!$C:$C,'Standalone TB'!$B47,OBE!$B:$B,"A21")</f>
        <v>0</v>
      </c>
      <c r="G47" s="652">
        <f>SUMIFS('Elimination - BS'!I:I,'Elimination - BS'!D:D,'Standalone TB'!B47,'Elimination - BS'!A:A,"EA21")</f>
        <v>0</v>
      </c>
      <c r="H47" s="652">
        <f t="shared" si="8"/>
        <v>0</v>
      </c>
      <c r="I47" s="652">
        <v>0</v>
      </c>
      <c r="J47" s="684">
        <v>0</v>
      </c>
      <c r="K47" s="652">
        <f>SUMIFS(OBE!$H:$H,OBE!$C:$C,'Standalone TB'!$B47,OBE!$B:$B,"A22")</f>
        <v>0</v>
      </c>
      <c r="L47" s="652">
        <f>SUMIFS('Elimination - BS'!I:I,'Elimination - BS'!D:D,'Standalone TB'!B47,'Elimination - BS'!A:A,"EA22")</f>
        <v>0</v>
      </c>
      <c r="M47" s="652">
        <f t="shared" si="2"/>
        <v>0</v>
      </c>
      <c r="N47" s="652">
        <f t="shared" si="3"/>
        <v>0</v>
      </c>
      <c r="O47" s="652">
        <v>0</v>
      </c>
      <c r="P47" s="685">
        <v>0</v>
      </c>
      <c r="Q47" s="684">
        <v>0</v>
      </c>
      <c r="R47" s="652">
        <f>SUMIFS(OBE!$H:$H,OBE!$C:$C,'Standalone TB'!$B47,OBE!$B:$B,"A20")</f>
        <v>0</v>
      </c>
      <c r="S47" s="652">
        <f>SUMIFS('Elimination - BS'!I:I,'Elimination - BS'!D:D,'Standalone TB'!B47,'Elimination - BS'!A:A,"EA20")</f>
        <v>0</v>
      </c>
      <c r="T47" s="652">
        <f t="shared" si="4"/>
        <v>0</v>
      </c>
      <c r="U47" s="652">
        <f t="shared" si="5"/>
        <v>0</v>
      </c>
      <c r="V47" s="652">
        <v>0</v>
      </c>
      <c r="W47" s="685">
        <v>0</v>
      </c>
      <c r="X47" s="689">
        <f t="shared" si="6"/>
        <v>0</v>
      </c>
      <c r="Y47" s="689">
        <f t="shared" si="7"/>
        <v>0</v>
      </c>
      <c r="Z47" s="652" t="s">
        <v>681</v>
      </c>
      <c r="AA47" s="652" t="s">
        <v>35</v>
      </c>
      <c r="AB47" s="666" t="s">
        <v>1756</v>
      </c>
      <c r="AD47" s="665"/>
    </row>
    <row r="48" spans="2:30" ht="10.5" hidden="1" thickTop="1" x14ac:dyDescent="0.2">
      <c r="B48" s="673" t="s">
        <v>1784</v>
      </c>
      <c r="C48" s="666" t="s">
        <v>1785</v>
      </c>
      <c r="D48" s="666" t="s">
        <v>3</v>
      </c>
      <c r="E48" s="684">
        <v>0</v>
      </c>
      <c r="F48" s="652">
        <f>SUMIFS(OBE!$H:$H,OBE!$C:$C,'Standalone TB'!$B48,OBE!$B:$B,"A21")</f>
        <v>0</v>
      </c>
      <c r="G48" s="652">
        <f>SUMIFS('Elimination - BS'!I:I,'Elimination - BS'!D:D,'Standalone TB'!B48,'Elimination - BS'!A:A,"EA21")</f>
        <v>0</v>
      </c>
      <c r="H48" s="652">
        <f t="shared" si="8"/>
        <v>0</v>
      </c>
      <c r="I48" s="652">
        <v>0</v>
      </c>
      <c r="J48" s="684">
        <v>0</v>
      </c>
      <c r="K48" s="652">
        <f>SUMIFS(OBE!$H:$H,OBE!$C:$C,'Standalone TB'!$B48,OBE!$B:$B,"A22")</f>
        <v>0</v>
      </c>
      <c r="L48" s="652">
        <f>SUMIFS('Elimination - BS'!I:I,'Elimination - BS'!D:D,'Standalone TB'!B48,'Elimination - BS'!A:A,"EA22")</f>
        <v>0</v>
      </c>
      <c r="M48" s="652">
        <f t="shared" si="2"/>
        <v>0</v>
      </c>
      <c r="N48" s="652">
        <f t="shared" si="3"/>
        <v>0</v>
      </c>
      <c r="O48" s="652">
        <v>0</v>
      </c>
      <c r="P48" s="685">
        <v>0</v>
      </c>
      <c r="Q48" s="684">
        <v>0</v>
      </c>
      <c r="R48" s="652">
        <f>SUMIFS(OBE!$H:$H,OBE!$C:$C,'Standalone TB'!$B48,OBE!$B:$B,"A20")</f>
        <v>0</v>
      </c>
      <c r="S48" s="652">
        <f>SUMIFS('Elimination - BS'!I:I,'Elimination - BS'!D:D,'Standalone TB'!B48,'Elimination - BS'!A:A,"EA20")</f>
        <v>0</v>
      </c>
      <c r="T48" s="652">
        <f t="shared" si="4"/>
        <v>0</v>
      </c>
      <c r="U48" s="652">
        <f t="shared" si="5"/>
        <v>0</v>
      </c>
      <c r="V48" s="652">
        <v>0</v>
      </c>
      <c r="W48" s="685">
        <v>0</v>
      </c>
      <c r="X48" s="689">
        <f t="shared" si="6"/>
        <v>0</v>
      </c>
      <c r="Y48" s="689">
        <f t="shared" si="7"/>
        <v>0</v>
      </c>
      <c r="Z48" s="652"/>
      <c r="AA48" s="652"/>
      <c r="AD48" s="665"/>
    </row>
    <row r="49" spans="2:30" ht="10.5" hidden="1" thickTop="1" x14ac:dyDescent="0.2">
      <c r="B49" s="673" t="s">
        <v>1786</v>
      </c>
      <c r="C49" s="666" t="s">
        <v>1787</v>
      </c>
      <c r="D49" s="666" t="s">
        <v>3</v>
      </c>
      <c r="E49" s="684">
        <v>0</v>
      </c>
      <c r="F49" s="652">
        <f>SUMIFS(OBE!$H:$H,OBE!$C:$C,'Standalone TB'!$B49,OBE!$B:$B,"A21")</f>
        <v>0</v>
      </c>
      <c r="G49" s="652">
        <f>SUMIFS('Elimination - BS'!I:I,'Elimination - BS'!D:D,'Standalone TB'!B49,'Elimination - BS'!A:A,"EA21")</f>
        <v>0</v>
      </c>
      <c r="H49" s="652">
        <f t="shared" si="8"/>
        <v>0</v>
      </c>
      <c r="I49" s="652">
        <v>0</v>
      </c>
      <c r="J49" s="684">
        <v>0</v>
      </c>
      <c r="K49" s="652">
        <f>SUMIFS(OBE!$H:$H,OBE!$C:$C,'Standalone TB'!$B49,OBE!$B:$B,"A22")</f>
        <v>0</v>
      </c>
      <c r="L49" s="652">
        <f>SUMIFS('Elimination - BS'!I:I,'Elimination - BS'!D:D,'Standalone TB'!B49,'Elimination - BS'!A:A,"EA22")</f>
        <v>0</v>
      </c>
      <c r="M49" s="652">
        <f t="shared" si="2"/>
        <v>0</v>
      </c>
      <c r="N49" s="652">
        <f t="shared" si="3"/>
        <v>0</v>
      </c>
      <c r="O49" s="652">
        <v>0</v>
      </c>
      <c r="P49" s="685">
        <v>0</v>
      </c>
      <c r="Q49" s="684">
        <v>0</v>
      </c>
      <c r="R49" s="652">
        <f>SUMIFS(OBE!$H:$H,OBE!$C:$C,'Standalone TB'!$B49,OBE!$B:$B,"A20")</f>
        <v>0</v>
      </c>
      <c r="S49" s="652">
        <f>SUMIFS('Elimination - BS'!I:I,'Elimination - BS'!D:D,'Standalone TB'!B49,'Elimination - BS'!A:A,"EA20")</f>
        <v>0</v>
      </c>
      <c r="T49" s="652">
        <f t="shared" si="4"/>
        <v>0</v>
      </c>
      <c r="U49" s="652">
        <f t="shared" si="5"/>
        <v>0</v>
      </c>
      <c r="V49" s="652">
        <v>0</v>
      </c>
      <c r="W49" s="685">
        <v>0</v>
      </c>
      <c r="X49" s="689">
        <f t="shared" si="6"/>
        <v>0</v>
      </c>
      <c r="Y49" s="689">
        <f t="shared" si="7"/>
        <v>0</v>
      </c>
      <c r="Z49" s="652"/>
      <c r="AA49" s="652"/>
      <c r="AD49" s="665"/>
    </row>
    <row r="50" spans="2:30" ht="10.5" hidden="1" thickTop="1" x14ac:dyDescent="0.2">
      <c r="B50" s="673" t="s">
        <v>1788</v>
      </c>
      <c r="C50" s="666" t="s">
        <v>1785</v>
      </c>
      <c r="D50" s="666" t="s">
        <v>3</v>
      </c>
      <c r="E50" s="684">
        <v>0</v>
      </c>
      <c r="F50" s="652">
        <f>SUMIFS(OBE!$H:$H,OBE!$C:$C,'Standalone TB'!$B50,OBE!$B:$B,"A21")</f>
        <v>0</v>
      </c>
      <c r="G50" s="652">
        <f>SUMIFS('Elimination - BS'!I:I,'Elimination - BS'!D:D,'Standalone TB'!B50,'Elimination - BS'!A:A,"EA21")</f>
        <v>0</v>
      </c>
      <c r="H50" s="652">
        <f t="shared" si="8"/>
        <v>0</v>
      </c>
      <c r="I50" s="652">
        <v>0</v>
      </c>
      <c r="J50" s="684">
        <v>0</v>
      </c>
      <c r="K50" s="652">
        <f>SUMIFS(OBE!$H:$H,OBE!$C:$C,'Standalone TB'!$B50,OBE!$B:$B,"A22")</f>
        <v>0</v>
      </c>
      <c r="L50" s="652">
        <f>SUMIFS('Elimination - BS'!I:I,'Elimination - BS'!D:D,'Standalone TB'!B50,'Elimination - BS'!A:A,"EA22")</f>
        <v>0</v>
      </c>
      <c r="M50" s="652">
        <f t="shared" si="2"/>
        <v>0</v>
      </c>
      <c r="N50" s="652">
        <f t="shared" si="3"/>
        <v>0</v>
      </c>
      <c r="O50" s="652">
        <v>0</v>
      </c>
      <c r="P50" s="685">
        <v>0</v>
      </c>
      <c r="Q50" s="684">
        <v>0</v>
      </c>
      <c r="R50" s="652">
        <f>SUMIFS(OBE!$H:$H,OBE!$C:$C,'Standalone TB'!$B50,OBE!$B:$B,"A20")</f>
        <v>0</v>
      </c>
      <c r="S50" s="652">
        <f>SUMIFS('Elimination - BS'!I:I,'Elimination - BS'!D:D,'Standalone TB'!B50,'Elimination - BS'!A:A,"EA20")</f>
        <v>0</v>
      </c>
      <c r="T50" s="652">
        <f t="shared" si="4"/>
        <v>0</v>
      </c>
      <c r="U50" s="652">
        <f t="shared" si="5"/>
        <v>0</v>
      </c>
      <c r="V50" s="652">
        <v>0</v>
      </c>
      <c r="W50" s="685">
        <v>0</v>
      </c>
      <c r="X50" s="689">
        <f t="shared" si="6"/>
        <v>0</v>
      </c>
      <c r="Y50" s="689">
        <f t="shared" si="7"/>
        <v>0</v>
      </c>
      <c r="Z50" s="652"/>
      <c r="AA50" s="652"/>
      <c r="AD50" s="665"/>
    </row>
    <row r="51" spans="2:30" ht="10.5" hidden="1" thickTop="1" x14ac:dyDescent="0.2">
      <c r="B51" s="673" t="s">
        <v>1789</v>
      </c>
      <c r="C51" s="666" t="s">
        <v>1790</v>
      </c>
      <c r="D51" s="666" t="s">
        <v>3</v>
      </c>
      <c r="E51" s="684">
        <v>0</v>
      </c>
      <c r="F51" s="652">
        <f>SUMIFS(OBE!$H:$H,OBE!$C:$C,'Standalone TB'!$B51,OBE!$B:$B,"A21")</f>
        <v>0</v>
      </c>
      <c r="G51" s="652">
        <f>SUMIFS('Elimination - BS'!I:I,'Elimination - BS'!D:D,'Standalone TB'!B51,'Elimination - BS'!A:A,"EA21")</f>
        <v>0</v>
      </c>
      <c r="H51" s="652">
        <f t="shared" si="8"/>
        <v>0</v>
      </c>
      <c r="I51" s="652">
        <v>0</v>
      </c>
      <c r="J51" s="684">
        <v>0</v>
      </c>
      <c r="K51" s="652">
        <f>SUMIFS(OBE!$H:$H,OBE!$C:$C,'Standalone TB'!$B51,OBE!$B:$B,"A22")</f>
        <v>0</v>
      </c>
      <c r="L51" s="652">
        <f>SUMIFS('Elimination - BS'!I:I,'Elimination - BS'!D:D,'Standalone TB'!B51,'Elimination - BS'!A:A,"EA22")</f>
        <v>0</v>
      </c>
      <c r="M51" s="652">
        <f t="shared" si="2"/>
        <v>0</v>
      </c>
      <c r="N51" s="652">
        <f t="shared" si="3"/>
        <v>0</v>
      </c>
      <c r="O51" s="652">
        <v>0</v>
      </c>
      <c r="P51" s="685">
        <v>0</v>
      </c>
      <c r="Q51" s="684">
        <v>0</v>
      </c>
      <c r="R51" s="652">
        <f>SUMIFS(OBE!$H:$H,OBE!$C:$C,'Standalone TB'!$B51,OBE!$B:$B,"A20")</f>
        <v>0</v>
      </c>
      <c r="S51" s="652">
        <f>SUMIFS('Elimination - BS'!I:I,'Elimination - BS'!D:D,'Standalone TB'!B51,'Elimination - BS'!A:A,"EA20")</f>
        <v>0</v>
      </c>
      <c r="T51" s="652">
        <f t="shared" si="4"/>
        <v>0</v>
      </c>
      <c r="U51" s="652">
        <f t="shared" si="5"/>
        <v>0</v>
      </c>
      <c r="V51" s="652">
        <v>0</v>
      </c>
      <c r="W51" s="685">
        <v>0</v>
      </c>
      <c r="X51" s="689">
        <f t="shared" si="6"/>
        <v>0</v>
      </c>
      <c r="Y51" s="689">
        <f t="shared" si="7"/>
        <v>0</v>
      </c>
      <c r="Z51" s="652"/>
      <c r="AA51" s="652"/>
      <c r="AD51" s="665"/>
    </row>
    <row r="52" spans="2:30" ht="10.5" hidden="1" thickTop="1" x14ac:dyDescent="0.2">
      <c r="B52" s="673" t="s">
        <v>1791</v>
      </c>
      <c r="C52" s="666" t="s">
        <v>1792</v>
      </c>
      <c r="D52" s="666" t="s">
        <v>3</v>
      </c>
      <c r="E52" s="684">
        <v>0</v>
      </c>
      <c r="F52" s="652">
        <f>SUMIFS(OBE!$H:$H,OBE!$C:$C,'Standalone TB'!$B52,OBE!$B:$B,"A21")</f>
        <v>0</v>
      </c>
      <c r="G52" s="652">
        <f>SUMIFS('Elimination - BS'!I:I,'Elimination - BS'!D:D,'Standalone TB'!B52,'Elimination - BS'!A:A,"EA21")</f>
        <v>0</v>
      </c>
      <c r="H52" s="652">
        <f t="shared" si="8"/>
        <v>0</v>
      </c>
      <c r="I52" s="652">
        <v>0</v>
      </c>
      <c r="J52" s="684">
        <v>0</v>
      </c>
      <c r="K52" s="652">
        <f>SUMIFS(OBE!$H:$H,OBE!$C:$C,'Standalone TB'!$B52,OBE!$B:$B,"A22")</f>
        <v>0</v>
      </c>
      <c r="L52" s="652">
        <f>SUMIFS('Elimination - BS'!I:I,'Elimination - BS'!D:D,'Standalone TB'!B52,'Elimination - BS'!A:A,"EA22")</f>
        <v>0</v>
      </c>
      <c r="M52" s="652">
        <f t="shared" si="2"/>
        <v>0</v>
      </c>
      <c r="N52" s="652">
        <f t="shared" si="3"/>
        <v>0</v>
      </c>
      <c r="O52" s="652">
        <v>0</v>
      </c>
      <c r="P52" s="685">
        <v>0</v>
      </c>
      <c r="Q52" s="684">
        <v>0</v>
      </c>
      <c r="R52" s="652">
        <f>SUMIFS(OBE!$H:$H,OBE!$C:$C,'Standalone TB'!$B52,OBE!$B:$B,"A20")</f>
        <v>0</v>
      </c>
      <c r="S52" s="652">
        <f>SUMIFS('Elimination - BS'!I:I,'Elimination - BS'!D:D,'Standalone TB'!B52,'Elimination - BS'!A:A,"EA20")</f>
        <v>0</v>
      </c>
      <c r="T52" s="652">
        <f t="shared" si="4"/>
        <v>0</v>
      </c>
      <c r="U52" s="652">
        <f t="shared" si="5"/>
        <v>0</v>
      </c>
      <c r="V52" s="652">
        <v>0</v>
      </c>
      <c r="W52" s="685">
        <v>0</v>
      </c>
      <c r="X52" s="689">
        <f t="shared" si="6"/>
        <v>0</v>
      </c>
      <c r="Y52" s="689">
        <f t="shared" si="7"/>
        <v>0</v>
      </c>
      <c r="Z52" s="652"/>
      <c r="AA52" s="652"/>
      <c r="AD52" s="665"/>
    </row>
    <row r="53" spans="2:30" ht="10.5" thickTop="1" x14ac:dyDescent="0.2">
      <c r="B53" s="673" t="s">
        <v>1793</v>
      </c>
      <c r="C53" s="666" t="s">
        <v>1794</v>
      </c>
      <c r="D53" s="666" t="s">
        <v>3</v>
      </c>
      <c r="E53" s="684">
        <v>0</v>
      </c>
      <c r="F53" s="652">
        <f>SUMIFS(OBE!$H:$H,OBE!$C:$C,'Standalone TB'!$B53,OBE!$B:$B,"A21")</f>
        <v>0</v>
      </c>
      <c r="G53" s="652">
        <f>SUMIFS('Elimination - BS'!I:I,'Elimination - BS'!D:D,'Standalone TB'!B53,'Elimination - BS'!A:A,"EA21")</f>
        <v>0</v>
      </c>
      <c r="H53" s="652">
        <f t="shared" si="8"/>
        <v>0</v>
      </c>
      <c r="I53" s="652">
        <v>0</v>
      </c>
      <c r="J53" s="684">
        <v>0</v>
      </c>
      <c r="K53" s="652">
        <f>SUMIFS(OBE!$H:$H,OBE!$C:$C,'Standalone TB'!$B53,OBE!$B:$B,"A22")</f>
        <v>0</v>
      </c>
      <c r="L53" s="652">
        <f>SUMIFS('Elimination - BS'!I:I,'Elimination - BS'!D:D,'Standalone TB'!B53,'Elimination - BS'!A:A,"EA22")</f>
        <v>0</v>
      </c>
      <c r="M53" s="652">
        <f t="shared" si="2"/>
        <v>0</v>
      </c>
      <c r="N53" s="652">
        <f t="shared" si="3"/>
        <v>0</v>
      </c>
      <c r="O53" s="652">
        <v>0</v>
      </c>
      <c r="P53" s="685">
        <v>0</v>
      </c>
      <c r="Q53" s="684">
        <v>-753040</v>
      </c>
      <c r="R53" s="652">
        <f>SUMIFS(OBE!$H:$H,OBE!$C:$C,'Standalone TB'!$B53,OBE!$B:$B,"A20")</f>
        <v>0</v>
      </c>
      <c r="S53" s="652">
        <f>SUMIFS('Elimination - BS'!I:I,'Elimination - BS'!D:D,'Standalone TB'!B53,'Elimination - BS'!A:A,"EA20")</f>
        <v>0</v>
      </c>
      <c r="T53" s="652">
        <f t="shared" si="4"/>
        <v>-753040</v>
      </c>
      <c r="U53" s="652">
        <f t="shared" si="5"/>
        <v>-64432941.959334575</v>
      </c>
      <c r="V53" s="652">
        <v>-753040</v>
      </c>
      <c r="W53" s="685">
        <v>-62759181.943999998</v>
      </c>
      <c r="X53" s="689">
        <f t="shared" si="6"/>
        <v>-64432941.959334575</v>
      </c>
      <c r="Y53" s="689">
        <f t="shared" si="7"/>
        <v>-62759181.943999998</v>
      </c>
      <c r="Z53" s="652" t="s">
        <v>714</v>
      </c>
      <c r="AA53" s="652" t="s">
        <v>35</v>
      </c>
      <c r="AB53" s="666" t="s">
        <v>1270</v>
      </c>
      <c r="AD53" s="665"/>
    </row>
    <row r="54" spans="2:30" x14ac:dyDescent="0.2">
      <c r="B54" s="673" t="s">
        <v>1795</v>
      </c>
      <c r="C54" s="666" t="s">
        <v>1796</v>
      </c>
      <c r="D54" s="666" t="s">
        <v>3</v>
      </c>
      <c r="E54" s="684">
        <v>0</v>
      </c>
      <c r="F54" s="652">
        <f>SUMIFS(OBE!$H:$H,OBE!$C:$C,'Standalone TB'!$B54,OBE!$B:$B,"A21")</f>
        <v>0</v>
      </c>
      <c r="G54" s="652">
        <f>SUMIFS('Elimination - BS'!I:I,'Elimination - BS'!D:D,'Standalone TB'!B54,'Elimination - BS'!A:A,"EA21")</f>
        <v>0</v>
      </c>
      <c r="H54" s="652">
        <f t="shared" si="8"/>
        <v>0</v>
      </c>
      <c r="I54" s="652">
        <v>0</v>
      </c>
      <c r="J54" s="684">
        <v>0</v>
      </c>
      <c r="K54" s="652">
        <f>SUMIFS(OBE!$H:$H,OBE!$C:$C,'Standalone TB'!$B54,OBE!$B:$B,"A22")</f>
        <v>0</v>
      </c>
      <c r="L54" s="652">
        <f>SUMIFS('Elimination - BS'!I:I,'Elimination - BS'!D:D,'Standalone TB'!B54,'Elimination - BS'!A:A,"EA22")</f>
        <v>0</v>
      </c>
      <c r="M54" s="652">
        <f t="shared" si="2"/>
        <v>0</v>
      </c>
      <c r="N54" s="652">
        <f t="shared" si="3"/>
        <v>0</v>
      </c>
      <c r="O54" s="652">
        <v>0</v>
      </c>
      <c r="P54" s="685">
        <v>0</v>
      </c>
      <c r="Q54" s="684">
        <v>-19500</v>
      </c>
      <c r="R54" s="652">
        <f>SUMIFS(OBE!$H:$H,OBE!$C:$C,'Standalone TB'!$B54,OBE!$B:$B,"A20")</f>
        <v>0</v>
      </c>
      <c r="S54" s="652">
        <f>SUMIFS('Elimination - BS'!I:I,'Elimination - BS'!D:D,'Standalone TB'!B54,'Elimination - BS'!A:A,"EA20")</f>
        <v>0</v>
      </c>
      <c r="T54" s="652">
        <f t="shared" si="4"/>
        <v>-19500</v>
      </c>
      <c r="U54" s="652">
        <f t="shared" si="5"/>
        <v>-1668493.530499076</v>
      </c>
      <c r="V54" s="652">
        <v>-19500</v>
      </c>
      <c r="W54" s="685">
        <v>-1625151.45</v>
      </c>
      <c r="X54" s="689">
        <f t="shared" si="6"/>
        <v>-1668493.530499076</v>
      </c>
      <c r="Y54" s="689">
        <f t="shared" si="7"/>
        <v>-1625151.45</v>
      </c>
      <c r="Z54" s="652" t="s">
        <v>714</v>
      </c>
      <c r="AA54" s="652" t="s">
        <v>35</v>
      </c>
      <c r="AB54" s="666" t="s">
        <v>1270</v>
      </c>
      <c r="AD54" s="665"/>
    </row>
    <row r="55" spans="2:30" x14ac:dyDescent="0.2">
      <c r="B55" s="673" t="s">
        <v>1797</v>
      </c>
      <c r="C55" s="666" t="s">
        <v>1798</v>
      </c>
      <c r="D55" s="666" t="s">
        <v>3</v>
      </c>
      <c r="E55" s="684">
        <v>0</v>
      </c>
      <c r="F55" s="652">
        <f>SUMIFS(OBE!$H:$H,OBE!$C:$C,'Standalone TB'!$B55,OBE!$B:$B,"A21")</f>
        <v>0</v>
      </c>
      <c r="G55" s="652">
        <f>SUMIFS('Elimination - BS'!I:I,'Elimination - BS'!D:D,'Standalone TB'!B55,'Elimination - BS'!A:A,"EA21")</f>
        <v>0</v>
      </c>
      <c r="H55" s="652">
        <f t="shared" si="8"/>
        <v>0</v>
      </c>
      <c r="I55" s="652">
        <v>0</v>
      </c>
      <c r="J55" s="684">
        <v>0</v>
      </c>
      <c r="K55" s="652">
        <f>SUMIFS(OBE!$H:$H,OBE!$C:$C,'Standalone TB'!$B55,OBE!$B:$B,"A22")</f>
        <v>0</v>
      </c>
      <c r="L55" s="652">
        <f>SUMIFS('Elimination - BS'!I:I,'Elimination - BS'!D:D,'Standalone TB'!B55,'Elimination - BS'!A:A,"EA22")</f>
        <v>0</v>
      </c>
      <c r="M55" s="652">
        <f t="shared" si="2"/>
        <v>0</v>
      </c>
      <c r="N55" s="652">
        <f t="shared" si="3"/>
        <v>0</v>
      </c>
      <c r="O55" s="652">
        <v>0</v>
      </c>
      <c r="P55" s="685">
        <v>0</v>
      </c>
      <c r="Q55" s="684">
        <v>-1873561</v>
      </c>
      <c r="R55" s="652">
        <f>SUMIFS(OBE!$H:$H,OBE!$C:$C,'Standalone TB'!$B55,OBE!$B:$B,"A20")</f>
        <v>0</v>
      </c>
      <c r="S55" s="652">
        <f>SUMIFS('Elimination - BS'!I:I,'Elimination - BS'!D:D,'Standalone TB'!B55,'Elimination - BS'!A:A,"EA20")</f>
        <v>0</v>
      </c>
      <c r="T55" s="652">
        <f t="shared" si="4"/>
        <v>-1873561</v>
      </c>
      <c r="U55" s="652">
        <f t="shared" si="5"/>
        <v>-160308943.97412202</v>
      </c>
      <c r="V55" s="652">
        <v>2129533.5099999998</v>
      </c>
      <c r="W55" s="685">
        <v>177477665.21026099</v>
      </c>
      <c r="X55" s="689">
        <f t="shared" si="6"/>
        <v>-160308943.97412202</v>
      </c>
      <c r="Y55" s="689">
        <f t="shared" si="7"/>
        <v>177477665.21026099</v>
      </c>
      <c r="Z55" s="652" t="s">
        <v>714</v>
      </c>
      <c r="AA55" s="652" t="s">
        <v>35</v>
      </c>
      <c r="AB55" s="666" t="s">
        <v>1270</v>
      </c>
      <c r="AD55" s="665"/>
    </row>
    <row r="56" spans="2:30" x14ac:dyDescent="0.2">
      <c r="B56" s="673" t="s">
        <v>1622</v>
      </c>
      <c r="C56" s="666" t="s">
        <v>1799</v>
      </c>
      <c r="D56" s="666" t="s">
        <v>3</v>
      </c>
      <c r="E56" s="684">
        <v>0</v>
      </c>
      <c r="F56" s="652">
        <f>SUMIFS(OBE!$H:$H,OBE!$C:$C,'Standalone TB'!$B56,OBE!$B:$B,"A21")</f>
        <v>0</v>
      </c>
      <c r="G56" s="652">
        <f>SUMIFS('Elimination - BS'!I:I,'Elimination - BS'!D:D,'Standalone TB'!B56,'Elimination - BS'!A:A,"EA21")</f>
        <v>0</v>
      </c>
      <c r="H56" s="652">
        <f t="shared" si="8"/>
        <v>0</v>
      </c>
      <c r="I56" s="652">
        <v>0</v>
      </c>
      <c r="J56" s="684">
        <v>0</v>
      </c>
      <c r="K56" s="652">
        <f>SUMIFS(OBE!$H:$H,OBE!$C:$C,'Standalone TB'!$B56,OBE!$B:$B,"A22")</f>
        <v>0</v>
      </c>
      <c r="L56" s="652">
        <f>SUMIFS('Elimination - BS'!I:I,'Elimination - BS'!D:D,'Standalone TB'!B56,'Elimination - BS'!A:A,"EA22")</f>
        <v>0</v>
      </c>
      <c r="M56" s="652">
        <f t="shared" si="2"/>
        <v>0</v>
      </c>
      <c r="N56" s="652">
        <f t="shared" si="3"/>
        <v>0</v>
      </c>
      <c r="O56" s="652">
        <v>0</v>
      </c>
      <c r="P56" s="685">
        <v>0</v>
      </c>
      <c r="Q56" s="684">
        <v>-1758298.82</v>
      </c>
      <c r="R56" s="652">
        <f>SUMIFS(OBE!$H:$H,OBE!$C:$C,'Standalone TB'!$B56,OBE!$B:$B,"A20")</f>
        <v>1136665.3517500001</v>
      </c>
      <c r="S56" s="652">
        <f>SUMIFS('Elimination - BS'!I:I,'Elimination - BS'!D:D,'Standalone TB'!B56,'Elimination - BS'!A:A,"EA20")</f>
        <v>0</v>
      </c>
      <c r="T56" s="652">
        <f t="shared" si="4"/>
        <v>-621633.46824999992</v>
      </c>
      <c r="U56" s="652">
        <f t="shared" si="5"/>
        <v>-53189303.595734745</v>
      </c>
      <c r="V56" s="652">
        <v>7501.78</v>
      </c>
      <c r="W56" s="685">
        <v>625206.59715799999</v>
      </c>
      <c r="X56" s="689">
        <f t="shared" si="6"/>
        <v>-53189303.595734745</v>
      </c>
      <c r="Y56" s="689">
        <f t="shared" si="7"/>
        <v>625206.59715799999</v>
      </c>
      <c r="Z56" s="652" t="s">
        <v>714</v>
      </c>
      <c r="AA56" s="652" t="s">
        <v>35</v>
      </c>
      <c r="AB56" s="666" t="s">
        <v>1270</v>
      </c>
      <c r="AD56" s="665"/>
    </row>
    <row r="57" spans="2:30" x14ac:dyDescent="0.2">
      <c r="B57" s="673" t="s">
        <v>1800</v>
      </c>
      <c r="C57" s="666" t="s">
        <v>2875</v>
      </c>
      <c r="D57" s="666" t="s">
        <v>3</v>
      </c>
      <c r="E57" s="684">
        <v>-14656106</v>
      </c>
      <c r="F57" s="652">
        <f>SUMIFS(OBE!$H:$H,OBE!$C:$C,'Standalone TB'!$B57,OBE!$B:$B,"A21")</f>
        <v>-130275</v>
      </c>
      <c r="G57" s="652">
        <f>SUMIFS('Elimination - BS'!I:I,'Elimination - BS'!D:D,'Standalone TB'!B57,'Elimination - BS'!A:A,"EA21")</f>
        <v>0</v>
      </c>
      <c r="H57" s="652">
        <f t="shared" si="8"/>
        <v>-14786381</v>
      </c>
      <c r="I57" s="652">
        <v>-14656106</v>
      </c>
      <c r="J57" s="684">
        <v>0</v>
      </c>
      <c r="K57" s="652">
        <f>SUMIFS(OBE!$H:$H,OBE!$C:$C,'Standalone TB'!$B57,OBE!$B:$B,"A22")</f>
        <v>0</v>
      </c>
      <c r="L57" s="652">
        <f>SUMIFS('Elimination - BS'!I:I,'Elimination - BS'!D:D,'Standalone TB'!B57,'Elimination - BS'!A:A,"EA22")</f>
        <v>0</v>
      </c>
      <c r="M57" s="652">
        <f t="shared" si="2"/>
        <v>0</v>
      </c>
      <c r="N57" s="652">
        <f t="shared" si="3"/>
        <v>0</v>
      </c>
      <c r="O57" s="652">
        <v>0</v>
      </c>
      <c r="P57" s="685">
        <v>0</v>
      </c>
      <c r="Q57" s="684">
        <v>-800000</v>
      </c>
      <c r="R57" s="652">
        <f>SUMIFS(OBE!$H:$H,OBE!$C:$C,'Standalone TB'!$B57,OBE!$B:$B,"A20")</f>
        <v>0</v>
      </c>
      <c r="S57" s="652">
        <f>SUMIFS('Elimination - BS'!I:I,'Elimination - BS'!D:D,'Standalone TB'!B57,'Elimination - BS'!A:A,"EA20")</f>
        <v>0</v>
      </c>
      <c r="T57" s="652">
        <f t="shared" si="4"/>
        <v>-800000</v>
      </c>
      <c r="U57" s="652">
        <f>T57*$V$2</f>
        <v>-68451016.635859519</v>
      </c>
      <c r="V57" s="652">
        <v>-4510242.51</v>
      </c>
      <c r="W57" s="685">
        <v>-375888572.05016094</v>
      </c>
      <c r="X57" s="689">
        <f t="shared" si="6"/>
        <v>-83237397.635859519</v>
      </c>
      <c r="Y57" s="689">
        <f t="shared" si="7"/>
        <v>-390544678.05016094</v>
      </c>
      <c r="Z57" s="652" t="s">
        <v>714</v>
      </c>
      <c r="AA57" s="652" t="s">
        <v>35</v>
      </c>
      <c r="AB57" s="666" t="s">
        <v>1270</v>
      </c>
      <c r="AD57" s="665"/>
    </row>
    <row r="58" spans="2:30" hidden="1" x14ac:dyDescent="0.2">
      <c r="B58" s="673" t="s">
        <v>1660</v>
      </c>
      <c r="C58" s="666" t="s">
        <v>1801</v>
      </c>
      <c r="D58" s="666" t="s">
        <v>3</v>
      </c>
      <c r="E58" s="684">
        <v>0</v>
      </c>
      <c r="F58" s="652">
        <f>SUMIFS(OBE!$H:$H,OBE!$C:$C,'Standalone TB'!$B58,OBE!$B:$B,"A21")</f>
        <v>-5583481.5700000077</v>
      </c>
      <c r="G58" s="652">
        <f>SUMIFS('Elimination - BS'!I:I,'Elimination - BS'!D:D,'Standalone TB'!B58,'Elimination - BS'!A:A,"EA21")</f>
        <v>0</v>
      </c>
      <c r="H58" s="652">
        <f t="shared" si="8"/>
        <v>-5583481.5700000077</v>
      </c>
      <c r="I58" s="652">
        <v>-2905729.32</v>
      </c>
      <c r="J58" s="684">
        <v>-41111.65</v>
      </c>
      <c r="K58" s="652">
        <f>SUMIFS(OBE!$H:$H,OBE!$C:$C,'Standalone TB'!$B58,OBE!$B:$B,"A22")</f>
        <v>-1206024.3900000001</v>
      </c>
      <c r="L58" s="652">
        <f>SUMIFS('Elimination - BS'!I:I,'Elimination - BS'!D:D,'Standalone TB'!B58,'Elimination - BS'!A:A,"EA22")</f>
        <v>0</v>
      </c>
      <c r="M58" s="652">
        <f t="shared" si="2"/>
        <v>-1247136.04</v>
      </c>
      <c r="N58" s="652">
        <f t="shared" si="3"/>
        <v>-29050662.432680223</v>
      </c>
      <c r="O58" s="652">
        <v>-1770766.88</v>
      </c>
      <c r="P58" s="685">
        <v>-40177460.970383994</v>
      </c>
      <c r="Q58" s="684">
        <v>-54969.68</v>
      </c>
      <c r="R58" s="652">
        <f>SUMIFS(OBE!$H:$H,OBE!$C:$C,'Standalone TB'!$B58,OBE!$B:$B,"A20")</f>
        <v>-29511</v>
      </c>
      <c r="S58" s="652">
        <f>SUMIFS('Elimination - BS'!I:I,'Elimination - BS'!D:D,'Standalone TB'!B58,'Elimination - BS'!A:A,"EA20")</f>
        <v>0</v>
      </c>
      <c r="T58" s="652">
        <f t="shared" si="4"/>
        <v>-84480.68</v>
      </c>
      <c r="U58" s="652">
        <f t="shared" si="5"/>
        <v>-7228485.5401109057</v>
      </c>
      <c r="V58" s="652">
        <v>-78748.600000000006</v>
      </c>
      <c r="W58" s="685">
        <v>-6562994.9474600004</v>
      </c>
      <c r="X58" s="689">
        <f t="shared" si="6"/>
        <v>-41862629.542791136</v>
      </c>
      <c r="Y58" s="689">
        <f t="shared" si="7"/>
        <v>-49646185.237843998</v>
      </c>
      <c r="Z58" s="652" t="s">
        <v>727</v>
      </c>
      <c r="AA58" s="652" t="s">
        <v>35</v>
      </c>
      <c r="AB58" s="666" t="s">
        <v>1729</v>
      </c>
      <c r="AD58" s="665">
        <v>1286027.45</v>
      </c>
    </row>
    <row r="59" spans="2:30" hidden="1" x14ac:dyDescent="0.2">
      <c r="B59" s="673" t="s">
        <v>1802</v>
      </c>
      <c r="C59" s="666" t="s">
        <v>1803</v>
      </c>
      <c r="D59" s="666" t="s">
        <v>3</v>
      </c>
      <c r="E59" s="684">
        <v>0</v>
      </c>
      <c r="F59" s="652">
        <f>SUMIFS(OBE!$H:$H,OBE!$C:$C,'Standalone TB'!$B59,OBE!$B:$B,"A21")</f>
        <v>0</v>
      </c>
      <c r="G59" s="652">
        <f>SUMIFS('Elimination - BS'!I:I,'Elimination - BS'!D:D,'Standalone TB'!B59,'Elimination - BS'!A:A,"EA21")</f>
        <v>0</v>
      </c>
      <c r="H59" s="652">
        <f t="shared" si="8"/>
        <v>0</v>
      </c>
      <c r="I59" s="652">
        <v>0</v>
      </c>
      <c r="J59" s="684">
        <v>-434565</v>
      </c>
      <c r="K59" s="652">
        <f>SUMIFS(OBE!$H:$H,OBE!$C:$C,'Standalone TB'!$B59,OBE!$B:$B,"A22")</f>
        <v>434565</v>
      </c>
      <c r="L59" s="652">
        <f>SUMIFS('Elimination - BS'!I:I,'Elimination - BS'!D:D,'Standalone TB'!B59,'Elimination - BS'!A:A,"EA22")</f>
        <v>0</v>
      </c>
      <c r="M59" s="652">
        <f t="shared" si="2"/>
        <v>0</v>
      </c>
      <c r="N59" s="652">
        <f t="shared" si="3"/>
        <v>0</v>
      </c>
      <c r="O59" s="652">
        <v>-688486.05</v>
      </c>
      <c r="P59" s="685">
        <v>-15621266.534265</v>
      </c>
      <c r="Q59" s="684">
        <v>0</v>
      </c>
      <c r="R59" s="652">
        <f>SUMIFS(OBE!$H:$H,OBE!$C:$C,'Standalone TB'!$B59,OBE!$B:$B,"A20")</f>
        <v>0</v>
      </c>
      <c r="S59" s="652">
        <f>SUMIFS('Elimination - BS'!I:I,'Elimination - BS'!D:D,'Standalone TB'!B59,'Elimination - BS'!A:A,"EA20")</f>
        <v>0</v>
      </c>
      <c r="T59" s="652">
        <f t="shared" si="4"/>
        <v>0</v>
      </c>
      <c r="U59" s="652">
        <f t="shared" si="5"/>
        <v>0</v>
      </c>
      <c r="V59" s="652">
        <v>0</v>
      </c>
      <c r="W59" s="685">
        <v>0</v>
      </c>
      <c r="X59" s="689">
        <f t="shared" si="6"/>
        <v>0</v>
      </c>
      <c r="Y59" s="689">
        <f t="shared" si="7"/>
        <v>-15621266.534265</v>
      </c>
      <c r="Z59" s="652" t="s">
        <v>726</v>
      </c>
      <c r="AA59" s="652" t="s">
        <v>35</v>
      </c>
      <c r="AB59" s="666" t="s">
        <v>1729</v>
      </c>
      <c r="AD59" s="665"/>
    </row>
    <row r="60" spans="2:30" hidden="1" x14ac:dyDescent="0.2">
      <c r="B60" s="673" t="s">
        <v>1804</v>
      </c>
      <c r="C60" s="666" t="s">
        <v>1805</v>
      </c>
      <c r="D60" s="666" t="s">
        <v>3</v>
      </c>
      <c r="E60" s="684">
        <v>0</v>
      </c>
      <c r="F60" s="652">
        <f>SUMIFS(OBE!$H:$H,OBE!$C:$C,'Standalone TB'!$B60,OBE!$B:$B,"A21")</f>
        <v>0</v>
      </c>
      <c r="G60" s="652">
        <f>SUMIFS('Elimination - BS'!I:I,'Elimination - BS'!D:D,'Standalone TB'!B60,'Elimination - BS'!A:A,"EA21")</f>
        <v>0</v>
      </c>
      <c r="H60" s="652">
        <f t="shared" si="8"/>
        <v>0</v>
      </c>
      <c r="I60" s="652">
        <v>0</v>
      </c>
      <c r="J60" s="684">
        <v>0</v>
      </c>
      <c r="K60" s="652">
        <f>SUMIFS(OBE!$H:$H,OBE!$C:$C,'Standalone TB'!$B60,OBE!$B:$B,"A22")</f>
        <v>0</v>
      </c>
      <c r="L60" s="652">
        <f>SUMIFS('Elimination - BS'!I:I,'Elimination - BS'!D:D,'Standalone TB'!B60,'Elimination - BS'!A:A,"EA22")</f>
        <v>0</v>
      </c>
      <c r="M60" s="652">
        <f t="shared" si="2"/>
        <v>0</v>
      </c>
      <c r="N60" s="652">
        <f t="shared" si="3"/>
        <v>0</v>
      </c>
      <c r="O60" s="652">
        <v>0</v>
      </c>
      <c r="P60" s="685">
        <v>0</v>
      </c>
      <c r="Q60" s="684">
        <v>0</v>
      </c>
      <c r="R60" s="652">
        <f>SUMIFS(OBE!$H:$H,OBE!$C:$C,'Standalone TB'!$B60,OBE!$B:$B,"A20")</f>
        <v>0</v>
      </c>
      <c r="S60" s="652">
        <f>SUMIFS('Elimination - BS'!I:I,'Elimination - BS'!D:D,'Standalone TB'!B60,'Elimination - BS'!A:A,"EA20")</f>
        <v>0</v>
      </c>
      <c r="T60" s="652">
        <f t="shared" si="4"/>
        <v>0</v>
      </c>
      <c r="U60" s="652">
        <f t="shared" si="5"/>
        <v>0</v>
      </c>
      <c r="V60" s="652">
        <v>0</v>
      </c>
      <c r="W60" s="685">
        <v>0</v>
      </c>
      <c r="X60" s="689">
        <f t="shared" si="6"/>
        <v>0</v>
      </c>
      <c r="Y60" s="689">
        <f t="shared" si="7"/>
        <v>0</v>
      </c>
      <c r="Z60" s="652" t="s">
        <v>1806</v>
      </c>
      <c r="AA60" s="652" t="s">
        <v>35</v>
      </c>
      <c r="AD60" s="665">
        <f>AD58+O58</f>
        <v>-484739.42999999993</v>
      </c>
    </row>
    <row r="61" spans="2:30" hidden="1" x14ac:dyDescent="0.2">
      <c r="B61" s="673" t="s">
        <v>1807</v>
      </c>
      <c r="C61" s="666" t="s">
        <v>1808</v>
      </c>
      <c r="D61" s="666" t="s">
        <v>3</v>
      </c>
      <c r="E61" s="684">
        <v>0</v>
      </c>
      <c r="F61" s="652">
        <f>SUMIFS(OBE!$H:$H,OBE!$C:$C,'Standalone TB'!$B61,OBE!$B:$B,"A21")</f>
        <v>0</v>
      </c>
      <c r="G61" s="652">
        <f>SUMIFS('Elimination - BS'!I:I,'Elimination - BS'!D:D,'Standalone TB'!B61,'Elimination - BS'!A:A,"EA21")</f>
        <v>0</v>
      </c>
      <c r="H61" s="652">
        <f t="shared" si="8"/>
        <v>0</v>
      </c>
      <c r="I61" s="652">
        <v>0</v>
      </c>
      <c r="J61" s="684">
        <v>0</v>
      </c>
      <c r="K61" s="652">
        <f>SUMIFS(OBE!$H:$H,OBE!$C:$C,'Standalone TB'!$B61,OBE!$B:$B,"A22")</f>
        <v>0</v>
      </c>
      <c r="L61" s="652">
        <f>SUMIFS('Elimination - BS'!I:I,'Elimination - BS'!D:D,'Standalone TB'!B61,'Elimination - BS'!A:A,"EA22")</f>
        <v>0</v>
      </c>
      <c r="M61" s="652">
        <f t="shared" si="2"/>
        <v>0</v>
      </c>
      <c r="N61" s="652">
        <f t="shared" si="3"/>
        <v>0</v>
      </c>
      <c r="O61" s="652">
        <v>0</v>
      </c>
      <c r="P61" s="685">
        <v>0</v>
      </c>
      <c r="Q61" s="684">
        <v>0</v>
      </c>
      <c r="R61" s="652">
        <f>SUMIFS(OBE!$H:$H,OBE!$C:$C,'Standalone TB'!$B61,OBE!$B:$B,"A20")</f>
        <v>0</v>
      </c>
      <c r="S61" s="652">
        <f>SUMIFS('Elimination - BS'!I:I,'Elimination - BS'!D:D,'Standalone TB'!B61,'Elimination - BS'!A:A,"EA20")</f>
        <v>0</v>
      </c>
      <c r="T61" s="652">
        <f t="shared" si="4"/>
        <v>0</v>
      </c>
      <c r="U61" s="652">
        <f t="shared" si="5"/>
        <v>0</v>
      </c>
      <c r="V61" s="652">
        <v>0</v>
      </c>
      <c r="W61" s="685">
        <v>0</v>
      </c>
      <c r="X61" s="689">
        <f t="shared" si="6"/>
        <v>0</v>
      </c>
      <c r="Y61" s="689">
        <f t="shared" si="7"/>
        <v>0</v>
      </c>
      <c r="Z61" s="652" t="s">
        <v>687</v>
      </c>
      <c r="AA61" s="652" t="s">
        <v>35</v>
      </c>
      <c r="AB61" s="666" t="s">
        <v>1756</v>
      </c>
      <c r="AD61" s="665"/>
    </row>
    <row r="62" spans="2:30" hidden="1" x14ac:dyDescent="0.2">
      <c r="B62" s="673" t="s">
        <v>1619</v>
      </c>
      <c r="C62" s="666" t="s">
        <v>1809</v>
      </c>
      <c r="D62" s="666" t="s">
        <v>3</v>
      </c>
      <c r="E62" s="684">
        <v>-76482931.370000005</v>
      </c>
      <c r="F62" s="652">
        <f>SUMIFS(OBE!$H:$H,OBE!$C:$C,'Standalone TB'!$B62,OBE!$B:$B,"A21")</f>
        <v>9640553.4127801619</v>
      </c>
      <c r="G62" s="652">
        <f>SUMIFS('Elimination - BS'!I:I,'Elimination - BS'!D:D,'Standalone TB'!B62,'Elimination - BS'!A:A,"EA21")</f>
        <v>0</v>
      </c>
      <c r="H62" s="652">
        <f t="shared" si="8"/>
        <v>-66842377.957219839</v>
      </c>
      <c r="I62" s="652">
        <v>-70373043.890000001</v>
      </c>
      <c r="J62" s="684">
        <v>-3406551.06</v>
      </c>
      <c r="K62" s="652">
        <f>SUMIFS(OBE!$H:$H,OBE!$C:$C,'Standalone TB'!$B62,OBE!$B:$B,"A22")</f>
        <v>125883.84722444401</v>
      </c>
      <c r="L62" s="652">
        <f>SUMIFS('Elimination - BS'!I:I,'Elimination - BS'!D:D,'Standalone TB'!B62,'Elimination - BS'!A:A,"EA22")</f>
        <v>0</v>
      </c>
      <c r="M62" s="652">
        <f t="shared" si="2"/>
        <v>-3280667.2127755559</v>
      </c>
      <c r="N62" s="652">
        <f t="shared" si="3"/>
        <v>-76419534.594080508</v>
      </c>
      <c r="O62" s="652">
        <v>-2905947.33</v>
      </c>
      <c r="P62" s="685">
        <v>-65933910.754569001</v>
      </c>
      <c r="Q62" s="684">
        <v>0</v>
      </c>
      <c r="R62" s="652">
        <f>SUMIFS(OBE!$H:$H,OBE!$C:$C,'Standalone TB'!$B62,OBE!$B:$B,"A20")</f>
        <v>0</v>
      </c>
      <c r="S62" s="652">
        <f>SUMIFS('Elimination - BS'!I:I,'Elimination - BS'!D:D,'Standalone TB'!B62,'Elimination - BS'!A:A,"EA20")</f>
        <v>0</v>
      </c>
      <c r="T62" s="652">
        <f t="shared" si="4"/>
        <v>0</v>
      </c>
      <c r="U62" s="652">
        <f t="shared" si="5"/>
        <v>0</v>
      </c>
      <c r="V62" s="652">
        <v>0</v>
      </c>
      <c r="W62" s="685">
        <v>0</v>
      </c>
      <c r="X62" s="689">
        <f t="shared" si="6"/>
        <v>-143261912.55130035</v>
      </c>
      <c r="Y62" s="689">
        <f t="shared" si="7"/>
        <v>-136306954.64456901</v>
      </c>
      <c r="Z62" s="652" t="s">
        <v>687</v>
      </c>
      <c r="AA62" s="652" t="s">
        <v>35</v>
      </c>
      <c r="AB62" s="666" t="s">
        <v>1756</v>
      </c>
      <c r="AD62" s="665"/>
    </row>
    <row r="63" spans="2:30" hidden="1" x14ac:dyDescent="0.2">
      <c r="B63" s="673" t="s">
        <v>1810</v>
      </c>
      <c r="C63" s="666" t="s">
        <v>1811</v>
      </c>
      <c r="D63" s="666" t="s">
        <v>3</v>
      </c>
      <c r="E63" s="684">
        <v>-1244760</v>
      </c>
      <c r="F63" s="652">
        <f>SUMIFS(OBE!$H:$H,OBE!$C:$C,'Standalone TB'!$B63,OBE!$B:$B,"A21")</f>
        <v>0</v>
      </c>
      <c r="G63" s="652">
        <f>SUMIFS('Elimination - BS'!I:I,'Elimination - BS'!D:D,'Standalone TB'!B63,'Elimination - BS'!A:A,"EA21")</f>
        <v>0</v>
      </c>
      <c r="H63" s="652">
        <f t="shared" si="8"/>
        <v>-1244760</v>
      </c>
      <c r="I63" s="652">
        <v>-1244760</v>
      </c>
      <c r="J63" s="684">
        <v>0</v>
      </c>
      <c r="K63" s="652">
        <f>SUMIFS(OBE!$H:$H,OBE!$C:$C,'Standalone TB'!$B63,OBE!$B:$B,"A22")</f>
        <v>0</v>
      </c>
      <c r="L63" s="652">
        <f>SUMIFS('Elimination - BS'!I:I,'Elimination - BS'!D:D,'Standalone TB'!B63,'Elimination - BS'!A:A,"EA22")</f>
        <v>0</v>
      </c>
      <c r="M63" s="652">
        <f t="shared" si="2"/>
        <v>0</v>
      </c>
      <c r="N63" s="652">
        <f t="shared" si="3"/>
        <v>0</v>
      </c>
      <c r="O63" s="652">
        <v>0</v>
      </c>
      <c r="P63" s="685">
        <v>0</v>
      </c>
      <c r="Q63" s="684">
        <v>0</v>
      </c>
      <c r="R63" s="652">
        <f>SUMIFS(OBE!$H:$H,OBE!$C:$C,'Standalone TB'!$B63,OBE!$B:$B,"A20")</f>
        <v>0</v>
      </c>
      <c r="S63" s="652">
        <f>SUMIFS('Elimination - BS'!I:I,'Elimination - BS'!D:D,'Standalone TB'!B63,'Elimination - BS'!A:A,"EA20")</f>
        <v>0</v>
      </c>
      <c r="T63" s="652">
        <f t="shared" si="4"/>
        <v>0</v>
      </c>
      <c r="U63" s="652">
        <f t="shared" si="5"/>
        <v>0</v>
      </c>
      <c r="V63" s="652">
        <v>0</v>
      </c>
      <c r="W63" s="685">
        <v>0</v>
      </c>
      <c r="X63" s="689">
        <f t="shared" si="6"/>
        <v>-1244760</v>
      </c>
      <c r="Y63" s="689">
        <f t="shared" si="7"/>
        <v>-1244760</v>
      </c>
      <c r="Z63" s="652" t="s">
        <v>687</v>
      </c>
      <c r="AA63" s="652" t="s">
        <v>35</v>
      </c>
      <c r="AB63" s="666" t="s">
        <v>1756</v>
      </c>
      <c r="AD63" s="665"/>
    </row>
    <row r="64" spans="2:30" hidden="1" x14ac:dyDescent="0.2">
      <c r="B64" s="673" t="s">
        <v>1812</v>
      </c>
      <c r="C64" s="666" t="s">
        <v>1811</v>
      </c>
      <c r="D64" s="666" t="s">
        <v>3</v>
      </c>
      <c r="E64" s="684">
        <v>-24768</v>
      </c>
      <c r="F64" s="652">
        <f>SUMIFS(OBE!$H:$H,OBE!$C:$C,'Standalone TB'!$B64,OBE!$B:$B,"A21")</f>
        <v>0</v>
      </c>
      <c r="G64" s="652">
        <f>SUMIFS('Elimination - BS'!I:I,'Elimination - BS'!D:D,'Standalone TB'!B64,'Elimination - BS'!A:A,"EA21")</f>
        <v>0</v>
      </c>
      <c r="H64" s="652">
        <f t="shared" si="8"/>
        <v>-24768</v>
      </c>
      <c r="I64" s="652">
        <v>-24768</v>
      </c>
      <c r="J64" s="684">
        <v>0</v>
      </c>
      <c r="K64" s="652">
        <f>SUMIFS(OBE!$H:$H,OBE!$C:$C,'Standalone TB'!$B64,OBE!$B:$B,"A22")</f>
        <v>0</v>
      </c>
      <c r="L64" s="652">
        <f>SUMIFS('Elimination - BS'!I:I,'Elimination - BS'!D:D,'Standalone TB'!B64,'Elimination - BS'!A:A,"EA22")</f>
        <v>0</v>
      </c>
      <c r="M64" s="652">
        <f t="shared" si="2"/>
        <v>0</v>
      </c>
      <c r="N64" s="652">
        <f t="shared" si="3"/>
        <v>0</v>
      </c>
      <c r="O64" s="652">
        <v>0</v>
      </c>
      <c r="P64" s="685">
        <v>0</v>
      </c>
      <c r="Q64" s="684">
        <v>0</v>
      </c>
      <c r="R64" s="652">
        <f>SUMIFS(OBE!$H:$H,OBE!$C:$C,'Standalone TB'!$B64,OBE!$B:$B,"A20")</f>
        <v>0</v>
      </c>
      <c r="S64" s="652">
        <f>SUMIFS('Elimination - BS'!I:I,'Elimination - BS'!D:D,'Standalone TB'!B64,'Elimination - BS'!A:A,"EA20")</f>
        <v>0</v>
      </c>
      <c r="T64" s="652">
        <f t="shared" si="4"/>
        <v>0</v>
      </c>
      <c r="U64" s="652">
        <f t="shared" si="5"/>
        <v>0</v>
      </c>
      <c r="V64" s="652">
        <v>0</v>
      </c>
      <c r="W64" s="685">
        <v>0</v>
      </c>
      <c r="X64" s="689">
        <f t="shared" si="6"/>
        <v>-24768</v>
      </c>
      <c r="Y64" s="689">
        <f t="shared" si="7"/>
        <v>-24768</v>
      </c>
      <c r="Z64" s="652" t="s">
        <v>687</v>
      </c>
      <c r="AA64" s="652" t="s">
        <v>35</v>
      </c>
      <c r="AB64" s="666" t="s">
        <v>1756</v>
      </c>
      <c r="AD64" s="665"/>
    </row>
    <row r="65" spans="1:30" hidden="1" x14ac:dyDescent="0.2">
      <c r="B65" s="673" t="s">
        <v>1813</v>
      </c>
      <c r="C65" s="666" t="s">
        <v>1814</v>
      </c>
      <c r="D65" s="666" t="s">
        <v>3</v>
      </c>
      <c r="E65" s="684">
        <v>-4384.43</v>
      </c>
      <c r="F65" s="652">
        <f>SUMIFS(OBE!$H:$H,OBE!$C:$C,'Standalone TB'!$B65,OBE!$B:$B,"A21")</f>
        <v>0</v>
      </c>
      <c r="G65" s="652">
        <f>SUMIFS('Elimination - BS'!I:I,'Elimination - BS'!D:D,'Standalone TB'!B65,'Elimination - BS'!A:A,"EA21")</f>
        <v>0</v>
      </c>
      <c r="H65" s="652">
        <f t="shared" si="8"/>
        <v>-4384.43</v>
      </c>
      <c r="I65" s="652">
        <v>-1752665.16</v>
      </c>
      <c r="J65" s="684">
        <v>-76891.95</v>
      </c>
      <c r="K65" s="652">
        <f>SUMIFS(OBE!$H:$H,OBE!$C:$C,'Standalone TB'!$B65,OBE!$B:$B,"A22")</f>
        <v>0</v>
      </c>
      <c r="L65" s="652">
        <f>SUMIFS('Elimination - BS'!I:I,'Elimination - BS'!D:D,'Standalone TB'!B65,'Elimination - BS'!A:A,"EA22")</f>
        <v>0</v>
      </c>
      <c r="M65" s="652">
        <f t="shared" si="2"/>
        <v>-76891.95</v>
      </c>
      <c r="N65" s="652">
        <f t="shared" si="3"/>
        <v>-1791113.4083179296</v>
      </c>
      <c r="O65" s="652">
        <v>528467.02</v>
      </c>
      <c r="P65" s="685">
        <v>11990546.756886</v>
      </c>
      <c r="Q65" s="684">
        <v>-2956.66</v>
      </c>
      <c r="R65" s="652">
        <f>SUMIFS(OBE!$H:$H,OBE!$C:$C,'Standalone TB'!$B65,OBE!$B:$B,"A20")</f>
        <v>0</v>
      </c>
      <c r="S65" s="652">
        <f>SUMIFS('Elimination - BS'!I:I,'Elimination - BS'!D:D,'Standalone TB'!B65,'Elimination - BS'!A:A,"EA20")</f>
        <v>0</v>
      </c>
      <c r="T65" s="652">
        <f t="shared" si="4"/>
        <v>-2956.66</v>
      </c>
      <c r="U65" s="652">
        <f t="shared" si="5"/>
        <v>-252982.97855822553</v>
      </c>
      <c r="V65" s="652">
        <v>-241181.85</v>
      </c>
      <c r="W65" s="685">
        <v>-20100360.679035001</v>
      </c>
      <c r="X65" s="689">
        <f t="shared" si="6"/>
        <v>-2048480.8168761551</v>
      </c>
      <c r="Y65" s="689">
        <f t="shared" si="7"/>
        <v>-9862479.0821490008</v>
      </c>
      <c r="Z65" s="652" t="s">
        <v>687</v>
      </c>
      <c r="AA65" s="652" t="s">
        <v>35</v>
      </c>
      <c r="AB65" s="666" t="s">
        <v>1756</v>
      </c>
      <c r="AD65" s="665"/>
    </row>
    <row r="66" spans="1:30" hidden="1" x14ac:dyDescent="0.2">
      <c r="A66" s="652" t="e">
        <f>#REF!+#REF!</f>
        <v>#REF!</v>
      </c>
      <c r="B66" s="673" t="s">
        <v>1815</v>
      </c>
      <c r="C66" s="666" t="s">
        <v>1816</v>
      </c>
      <c r="D66" s="666" t="s">
        <v>3</v>
      </c>
      <c r="E66" s="684">
        <v>0</v>
      </c>
      <c r="F66" s="652">
        <f>SUMIFS(OBE!$H:$H,OBE!$C:$C,'Standalone TB'!$B66,OBE!$B:$B,"A21")</f>
        <v>0</v>
      </c>
      <c r="G66" s="652">
        <f>SUMIFS('Elimination - BS'!I:I,'Elimination - BS'!D:D,'Standalone TB'!B66,'Elimination - BS'!A:A,"EA21")</f>
        <v>0</v>
      </c>
      <c r="H66" s="652">
        <f t="shared" si="8"/>
        <v>0</v>
      </c>
      <c r="I66" s="652">
        <v>0</v>
      </c>
      <c r="J66" s="684">
        <v>0</v>
      </c>
      <c r="K66" s="652">
        <f>SUMIFS(OBE!$H:$H,OBE!$C:$C,'Standalone TB'!$B66,OBE!$B:$B,"A22")</f>
        <v>0</v>
      </c>
      <c r="L66" s="652">
        <f>SUMIFS('Elimination - BS'!I:I,'Elimination - BS'!D:D,'Standalone TB'!B66,'Elimination - BS'!A:A,"EA22")</f>
        <v>0</v>
      </c>
      <c r="M66" s="652">
        <f t="shared" si="2"/>
        <v>0</v>
      </c>
      <c r="N66" s="652">
        <f t="shared" si="3"/>
        <v>0</v>
      </c>
      <c r="O66" s="652">
        <v>0</v>
      </c>
      <c r="P66" s="685">
        <v>0</v>
      </c>
      <c r="Q66" s="684">
        <v>0</v>
      </c>
      <c r="R66" s="652">
        <f>SUMIFS(OBE!$H:$H,OBE!$C:$C,'Standalone TB'!$B66,OBE!$B:$B,"A20")</f>
        <v>0</v>
      </c>
      <c r="S66" s="652">
        <f>SUMIFS('Elimination - BS'!I:I,'Elimination - BS'!D:D,'Standalone TB'!B66,'Elimination - BS'!A:A,"EA20")</f>
        <v>0</v>
      </c>
      <c r="T66" s="652">
        <f t="shared" si="4"/>
        <v>0</v>
      </c>
      <c r="U66" s="652">
        <f t="shared" si="5"/>
        <v>0</v>
      </c>
      <c r="V66" s="652">
        <v>0</v>
      </c>
      <c r="W66" s="685">
        <v>0</v>
      </c>
      <c r="X66" s="689">
        <f t="shared" si="6"/>
        <v>0</v>
      </c>
      <c r="Y66" s="689">
        <f t="shared" si="7"/>
        <v>0</v>
      </c>
      <c r="Z66" s="652" t="s">
        <v>687</v>
      </c>
      <c r="AA66" s="652" t="s">
        <v>35</v>
      </c>
      <c r="AB66" s="666" t="s">
        <v>1756</v>
      </c>
      <c r="AD66" s="665"/>
    </row>
    <row r="67" spans="1:30" hidden="1" x14ac:dyDescent="0.2">
      <c r="B67" s="673" t="s">
        <v>1817</v>
      </c>
      <c r="C67" s="666" t="s">
        <v>1818</v>
      </c>
      <c r="D67" s="666" t="s">
        <v>3</v>
      </c>
      <c r="E67" s="684">
        <v>0</v>
      </c>
      <c r="F67" s="652">
        <f>SUMIFS(OBE!$H:$H,OBE!$C:$C,'Standalone TB'!$B67,OBE!$B:$B,"A21")</f>
        <v>0</v>
      </c>
      <c r="G67" s="652">
        <f>SUMIFS('Elimination - BS'!I:I,'Elimination - BS'!D:D,'Standalone TB'!B67,'Elimination - BS'!A:A,"EA21")</f>
        <v>0</v>
      </c>
      <c r="H67" s="652">
        <f t="shared" si="8"/>
        <v>0</v>
      </c>
      <c r="I67" s="652">
        <v>0</v>
      </c>
      <c r="J67" s="684">
        <v>0</v>
      </c>
      <c r="K67" s="652">
        <f>SUMIFS(OBE!$H:$H,OBE!$C:$C,'Standalone TB'!$B67,OBE!$B:$B,"A22")</f>
        <v>0</v>
      </c>
      <c r="L67" s="652">
        <f>SUMIFS('Elimination - BS'!I:I,'Elimination - BS'!D:D,'Standalone TB'!B67,'Elimination - BS'!A:A,"EA22")</f>
        <v>0</v>
      </c>
      <c r="M67" s="652">
        <f t="shared" si="2"/>
        <v>0</v>
      </c>
      <c r="N67" s="652">
        <f t="shared" si="3"/>
        <v>0</v>
      </c>
      <c r="O67" s="652">
        <v>0</v>
      </c>
      <c r="P67" s="685">
        <v>0</v>
      </c>
      <c r="Q67" s="684">
        <v>0</v>
      </c>
      <c r="R67" s="652">
        <f>SUMIFS(OBE!$H:$H,OBE!$C:$C,'Standalone TB'!$B67,OBE!$B:$B,"A20")</f>
        <v>0</v>
      </c>
      <c r="S67" s="652">
        <f>SUMIFS('Elimination - BS'!I:I,'Elimination - BS'!D:D,'Standalone TB'!B67,'Elimination - BS'!A:A,"EA20")</f>
        <v>0</v>
      </c>
      <c r="T67" s="652">
        <f t="shared" si="4"/>
        <v>0</v>
      </c>
      <c r="U67" s="652">
        <f t="shared" si="5"/>
        <v>0</v>
      </c>
      <c r="V67" s="652">
        <v>0</v>
      </c>
      <c r="W67" s="685">
        <v>0</v>
      </c>
      <c r="X67" s="689">
        <f t="shared" si="6"/>
        <v>0</v>
      </c>
      <c r="Y67" s="689">
        <f t="shared" si="7"/>
        <v>0</v>
      </c>
      <c r="Z67" s="652" t="s">
        <v>687</v>
      </c>
      <c r="AA67" s="652" t="s">
        <v>35</v>
      </c>
      <c r="AB67" s="666" t="s">
        <v>1756</v>
      </c>
      <c r="AD67" s="665"/>
    </row>
    <row r="68" spans="1:30" hidden="1" x14ac:dyDescent="0.2">
      <c r="B68" s="673" t="s">
        <v>1819</v>
      </c>
      <c r="C68" s="666" t="s">
        <v>1820</v>
      </c>
      <c r="D68" s="666" t="s">
        <v>3</v>
      </c>
      <c r="E68" s="684">
        <v>-6056086</v>
      </c>
      <c r="F68" s="652">
        <f>SUMIFS(OBE!$H:$H,OBE!$C:$C,'Standalone TB'!$B68,OBE!$B:$B,"A21")</f>
        <v>0</v>
      </c>
      <c r="G68" s="652">
        <f>SUMIFS('Elimination - BS'!I:I,'Elimination - BS'!D:D,'Standalone TB'!B68,'Elimination - BS'!A:A,"EA21")</f>
        <v>0</v>
      </c>
      <c r="H68" s="652">
        <f t="shared" si="8"/>
        <v>-6056086</v>
      </c>
      <c r="I68" s="652">
        <v>-5739822</v>
      </c>
      <c r="J68" s="684">
        <v>0</v>
      </c>
      <c r="K68" s="652">
        <f>SUMIFS(OBE!$H:$H,OBE!$C:$C,'Standalone TB'!$B68,OBE!$B:$B,"A22")</f>
        <v>0</v>
      </c>
      <c r="L68" s="652">
        <f>SUMIFS('Elimination - BS'!I:I,'Elimination - BS'!D:D,'Standalone TB'!B68,'Elimination - BS'!A:A,"EA22")</f>
        <v>0</v>
      </c>
      <c r="M68" s="652">
        <f t="shared" si="2"/>
        <v>0</v>
      </c>
      <c r="N68" s="652">
        <f t="shared" si="3"/>
        <v>0</v>
      </c>
      <c r="O68" s="652">
        <v>0</v>
      </c>
      <c r="P68" s="685">
        <v>0</v>
      </c>
      <c r="Q68" s="684">
        <v>0</v>
      </c>
      <c r="R68" s="652">
        <f>SUMIFS(OBE!$H:$H,OBE!$C:$C,'Standalone TB'!$B68,OBE!$B:$B,"A20")</f>
        <v>0</v>
      </c>
      <c r="S68" s="652">
        <f>SUMIFS('Elimination - BS'!I:I,'Elimination - BS'!D:D,'Standalone TB'!B68,'Elimination - BS'!A:A,"EA20")</f>
        <v>0</v>
      </c>
      <c r="T68" s="652">
        <f t="shared" si="4"/>
        <v>0</v>
      </c>
      <c r="U68" s="652">
        <f t="shared" si="5"/>
        <v>0</v>
      </c>
      <c r="V68" s="652">
        <v>0</v>
      </c>
      <c r="W68" s="685">
        <v>0</v>
      </c>
      <c r="X68" s="1087">
        <f t="shared" si="6"/>
        <v>-6056086</v>
      </c>
      <c r="Y68" s="689">
        <f t="shared" si="7"/>
        <v>-5739822</v>
      </c>
      <c r="Z68" s="652" t="s">
        <v>712</v>
      </c>
      <c r="AA68" s="652" t="s">
        <v>35</v>
      </c>
      <c r="AB68" s="666" t="s">
        <v>1270</v>
      </c>
      <c r="AD68" s="665"/>
    </row>
    <row r="69" spans="1:30" hidden="1" x14ac:dyDescent="0.2">
      <c r="B69" s="673" t="s">
        <v>1821</v>
      </c>
      <c r="C69" s="666" t="s">
        <v>1822</v>
      </c>
      <c r="D69" s="666" t="s">
        <v>3</v>
      </c>
      <c r="E69" s="684">
        <v>-156082</v>
      </c>
      <c r="F69" s="652">
        <f>SUMIFS(OBE!$H:$H,OBE!$C:$C,'Standalone TB'!$B69,OBE!$B:$B,"A21")</f>
        <v>0</v>
      </c>
      <c r="G69" s="652">
        <f>SUMIFS('Elimination - BS'!I:I,'Elimination - BS'!D:D,'Standalone TB'!B69,'Elimination - BS'!A:A,"EA21")</f>
        <v>0</v>
      </c>
      <c r="H69" s="652">
        <f t="shared" si="8"/>
        <v>-156082</v>
      </c>
      <c r="I69" s="652">
        <v>-156082</v>
      </c>
      <c r="J69" s="684">
        <v>0</v>
      </c>
      <c r="K69" s="652">
        <f>SUMIFS(OBE!$H:$H,OBE!$C:$C,'Standalone TB'!$B69,OBE!$B:$B,"A22")</f>
        <v>0</v>
      </c>
      <c r="L69" s="652">
        <f>SUMIFS('Elimination - BS'!I:I,'Elimination - BS'!D:D,'Standalone TB'!B69,'Elimination - BS'!A:A,"EA22")</f>
        <v>0</v>
      </c>
      <c r="M69" s="652">
        <f t="shared" si="2"/>
        <v>0</v>
      </c>
      <c r="N69" s="652">
        <f t="shared" si="3"/>
        <v>0</v>
      </c>
      <c r="O69" s="652">
        <v>0</v>
      </c>
      <c r="P69" s="685">
        <v>0</v>
      </c>
      <c r="Q69" s="684">
        <v>0</v>
      </c>
      <c r="R69" s="652">
        <f>SUMIFS(OBE!$H:$H,OBE!$C:$C,'Standalone TB'!$B69,OBE!$B:$B,"A20")</f>
        <v>0</v>
      </c>
      <c r="S69" s="652">
        <f>SUMIFS('Elimination - BS'!I:I,'Elimination - BS'!D:D,'Standalone TB'!B69,'Elimination - BS'!A:A,"EA20")</f>
        <v>0</v>
      </c>
      <c r="T69" s="652">
        <f t="shared" si="4"/>
        <v>0</v>
      </c>
      <c r="U69" s="652">
        <f t="shared" si="5"/>
        <v>0</v>
      </c>
      <c r="V69" s="652">
        <v>0</v>
      </c>
      <c r="W69" s="685">
        <v>0</v>
      </c>
      <c r="X69" s="1087">
        <f t="shared" si="6"/>
        <v>-156082</v>
      </c>
      <c r="Y69" s="689">
        <f t="shared" si="7"/>
        <v>-156082</v>
      </c>
      <c r="Z69" s="652" t="s">
        <v>712</v>
      </c>
      <c r="AA69" s="652" t="s">
        <v>35</v>
      </c>
      <c r="AB69" s="666" t="s">
        <v>1270</v>
      </c>
      <c r="AD69" s="665"/>
    </row>
    <row r="70" spans="1:30" hidden="1" x14ac:dyDescent="0.2">
      <c r="B70" s="673" t="s">
        <v>1823</v>
      </c>
      <c r="C70" s="666" t="s">
        <v>1824</v>
      </c>
      <c r="D70" s="666" t="s">
        <v>3</v>
      </c>
      <c r="E70" s="684">
        <v>1789305</v>
      </c>
      <c r="F70" s="652">
        <f>SUMIFS(OBE!$H:$H,OBE!$C:$C,'Standalone TB'!$B70,OBE!$B:$B,"A21")</f>
        <v>0</v>
      </c>
      <c r="G70" s="652">
        <f>SUMIFS('Elimination - BS'!I:I,'Elimination - BS'!D:D,'Standalone TB'!B70,'Elimination - BS'!A:A,"EA21")</f>
        <v>0</v>
      </c>
      <c r="H70" s="652">
        <f t="shared" si="8"/>
        <v>1789305</v>
      </c>
      <c r="I70" s="652">
        <v>2332881</v>
      </c>
      <c r="J70" s="684">
        <v>0</v>
      </c>
      <c r="K70" s="652">
        <f>SUMIFS(OBE!$H:$H,OBE!$C:$C,'Standalone TB'!$B70,OBE!$B:$B,"A22")</f>
        <v>0</v>
      </c>
      <c r="L70" s="652">
        <f>SUMIFS('Elimination - BS'!I:I,'Elimination - BS'!D:D,'Standalone TB'!B70,'Elimination - BS'!A:A,"EA22")</f>
        <v>0</v>
      </c>
      <c r="M70" s="652">
        <f t="shared" si="2"/>
        <v>0</v>
      </c>
      <c r="N70" s="652">
        <f t="shared" si="3"/>
        <v>0</v>
      </c>
      <c r="O70" s="652">
        <v>0</v>
      </c>
      <c r="P70" s="685">
        <v>0</v>
      </c>
      <c r="Q70" s="684">
        <v>0</v>
      </c>
      <c r="R70" s="652">
        <f>SUMIFS(OBE!$H:$H,OBE!$C:$C,'Standalone TB'!$B70,OBE!$B:$B,"A20")</f>
        <v>0</v>
      </c>
      <c r="S70" s="652">
        <f>SUMIFS('Elimination - BS'!I:I,'Elimination - BS'!D:D,'Standalone TB'!B70,'Elimination - BS'!A:A,"EA20")</f>
        <v>0</v>
      </c>
      <c r="T70" s="652">
        <f t="shared" si="4"/>
        <v>0</v>
      </c>
      <c r="U70" s="652">
        <f t="shared" si="5"/>
        <v>0</v>
      </c>
      <c r="V70" s="652">
        <v>0</v>
      </c>
      <c r="W70" s="685">
        <v>0</v>
      </c>
      <c r="X70" s="689">
        <f t="shared" si="6"/>
        <v>1789305</v>
      </c>
      <c r="Y70" s="689">
        <f t="shared" si="7"/>
        <v>2332881</v>
      </c>
      <c r="Z70" s="652" t="s">
        <v>712</v>
      </c>
      <c r="AA70" s="652" t="s">
        <v>35</v>
      </c>
      <c r="AB70" s="666" t="s">
        <v>1270</v>
      </c>
      <c r="AD70" s="665"/>
    </row>
    <row r="71" spans="1:30" hidden="1" x14ac:dyDescent="0.2">
      <c r="B71" s="673" t="s">
        <v>1825</v>
      </c>
      <c r="C71" s="666" t="s">
        <v>1826</v>
      </c>
      <c r="D71" s="666" t="s">
        <v>3</v>
      </c>
      <c r="E71" s="684">
        <v>-701617</v>
      </c>
      <c r="F71" s="652">
        <f>SUMIFS(OBE!$H:$H,OBE!$C:$C,'Standalone TB'!$B71,OBE!$B:$B,"A21")</f>
        <v>0</v>
      </c>
      <c r="G71" s="652">
        <f>SUMIFS('Elimination - BS'!I:I,'Elimination - BS'!D:D,'Standalone TB'!B71,'Elimination - BS'!A:A,"EA21")</f>
        <v>0</v>
      </c>
      <c r="H71" s="652">
        <f t="shared" si="8"/>
        <v>-701617</v>
      </c>
      <c r="I71" s="652">
        <v>-491278</v>
      </c>
      <c r="J71" s="684">
        <v>0</v>
      </c>
      <c r="K71" s="652">
        <f>SUMIFS(OBE!$H:$H,OBE!$C:$C,'Standalone TB'!$B71,OBE!$B:$B,"A22")</f>
        <v>0</v>
      </c>
      <c r="L71" s="652">
        <f>SUMIFS('Elimination - BS'!I:I,'Elimination - BS'!D:D,'Standalone TB'!B71,'Elimination - BS'!A:A,"EA22")</f>
        <v>0</v>
      </c>
      <c r="M71" s="652">
        <f t="shared" si="2"/>
        <v>0</v>
      </c>
      <c r="N71" s="652">
        <f t="shared" si="3"/>
        <v>0</v>
      </c>
      <c r="O71" s="652">
        <v>0</v>
      </c>
      <c r="P71" s="685">
        <v>0</v>
      </c>
      <c r="Q71" s="684">
        <v>0</v>
      </c>
      <c r="R71" s="652">
        <f>SUMIFS(OBE!$H:$H,OBE!$C:$C,'Standalone TB'!$B71,OBE!$B:$B,"A20")</f>
        <v>0</v>
      </c>
      <c r="S71" s="652">
        <f>SUMIFS('Elimination - BS'!I:I,'Elimination - BS'!D:D,'Standalone TB'!B71,'Elimination - BS'!A:A,"EA20")</f>
        <v>0</v>
      </c>
      <c r="T71" s="652">
        <f t="shared" si="4"/>
        <v>0</v>
      </c>
      <c r="U71" s="652">
        <f t="shared" si="5"/>
        <v>0</v>
      </c>
      <c r="V71" s="652">
        <v>0</v>
      </c>
      <c r="W71" s="685">
        <v>0</v>
      </c>
      <c r="X71" s="689">
        <f t="shared" si="6"/>
        <v>-701617</v>
      </c>
      <c r="Y71" s="689">
        <f t="shared" si="7"/>
        <v>-491278</v>
      </c>
      <c r="Z71" s="652" t="s">
        <v>712</v>
      </c>
      <c r="AA71" s="652" t="s">
        <v>35</v>
      </c>
      <c r="AB71" s="666" t="s">
        <v>1270</v>
      </c>
      <c r="AD71" s="665"/>
    </row>
    <row r="72" spans="1:30" hidden="1" x14ac:dyDescent="0.2">
      <c r="B72" s="673" t="s">
        <v>1827</v>
      </c>
      <c r="C72" s="666" t="s">
        <v>1828</v>
      </c>
      <c r="D72" s="666" t="s">
        <v>3</v>
      </c>
      <c r="E72" s="684">
        <v>-4567524</v>
      </c>
      <c r="F72" s="652">
        <f>SUMIFS(OBE!$H:$H,OBE!$C:$C,'Standalone TB'!$B72,OBE!$B:$B,"A21")</f>
        <v>0</v>
      </c>
      <c r="G72" s="652">
        <f>SUMIFS('Elimination - BS'!I:I,'Elimination - BS'!D:D,'Standalone TB'!B72,'Elimination - BS'!A:A,"EA21")</f>
        <v>0</v>
      </c>
      <c r="H72" s="652">
        <f t="shared" ref="H72:H73" si="9">SUM(E72:G72)</f>
        <v>-4567524</v>
      </c>
      <c r="I72" s="652">
        <v>-3806702</v>
      </c>
      <c r="J72" s="684">
        <v>0</v>
      </c>
      <c r="K72" s="652">
        <f>SUMIFS(OBE!$H:$H,OBE!$C:$C,'Standalone TB'!$B72,OBE!$B:$B,"A22")</f>
        <v>0</v>
      </c>
      <c r="L72" s="652">
        <f>SUMIFS('Elimination - BS'!I:I,'Elimination - BS'!D:D,'Standalone TB'!B72,'Elimination - BS'!A:A,"EA22")</f>
        <v>0</v>
      </c>
      <c r="M72" s="652">
        <f t="shared" ref="M72:M135" si="10">SUM(J72:L72)</f>
        <v>0</v>
      </c>
      <c r="N72" s="652">
        <f t="shared" ref="N72:N135" si="11">M72*$O$2</f>
        <v>0</v>
      </c>
      <c r="O72" s="652">
        <v>0</v>
      </c>
      <c r="P72" s="685">
        <v>0</v>
      </c>
      <c r="Q72" s="684">
        <v>0</v>
      </c>
      <c r="R72" s="652">
        <f>SUMIFS(OBE!$H:$H,OBE!$C:$C,'Standalone TB'!$B72,OBE!$B:$B,"A20")</f>
        <v>0</v>
      </c>
      <c r="S72" s="652">
        <f>SUMIFS('Elimination - BS'!I:I,'Elimination - BS'!D:D,'Standalone TB'!B72,'Elimination - BS'!A:A,"EA20")</f>
        <v>0</v>
      </c>
      <c r="T72" s="652">
        <f t="shared" ref="T72:T135" si="12">SUM(Q72:S72)</f>
        <v>0</v>
      </c>
      <c r="U72" s="652">
        <f t="shared" ref="U72:U135" si="13">T72*$V$2</f>
        <v>0</v>
      </c>
      <c r="V72" s="652">
        <v>0</v>
      </c>
      <c r="W72" s="685">
        <v>0</v>
      </c>
      <c r="X72" s="1087">
        <f t="shared" ref="X72:X135" si="14">H72+N72+U72</f>
        <v>-4567524</v>
      </c>
      <c r="Y72" s="689">
        <f t="shared" ref="Y72:Y135" si="15">I72+P72+W72</f>
        <v>-3806702</v>
      </c>
      <c r="Z72" s="652" t="s">
        <v>712</v>
      </c>
      <c r="AA72" s="652" t="s">
        <v>35</v>
      </c>
      <c r="AB72" s="666" t="s">
        <v>1270</v>
      </c>
      <c r="AD72" s="665"/>
    </row>
    <row r="73" spans="1:30" hidden="1" x14ac:dyDescent="0.2">
      <c r="B73" s="673" t="s">
        <v>1645</v>
      </c>
      <c r="C73" s="666" t="s">
        <v>1829</v>
      </c>
      <c r="D73" s="666" t="s">
        <v>3</v>
      </c>
      <c r="E73" s="684">
        <v>839531.59</v>
      </c>
      <c r="F73" s="652">
        <f>SUMIFS(OBE!$H:$H,OBE!$C:$C,'Standalone TB'!$B73,OBE!$B:$B,"A21")</f>
        <v>-1237041</v>
      </c>
      <c r="G73" s="652">
        <f>SUMIFS('Elimination - BS'!I:I,'Elimination - BS'!D:D,'Standalone TB'!B73,'Elimination - BS'!A:A,"EA21")</f>
        <v>0</v>
      </c>
      <c r="H73" s="652">
        <f t="shared" si="9"/>
        <v>-397509.41000000003</v>
      </c>
      <c r="I73" s="652">
        <v>-3037588</v>
      </c>
      <c r="J73" s="684">
        <v>0</v>
      </c>
      <c r="K73" s="652">
        <f>SUMIFS(OBE!$H:$H,OBE!$C:$C,'Standalone TB'!$B73,OBE!$B:$B,"A22")</f>
        <v>0</v>
      </c>
      <c r="L73" s="652">
        <f>SUMIFS('Elimination - BS'!I:I,'Elimination - BS'!D:D,'Standalone TB'!B73,'Elimination - BS'!A:A,"EA22")</f>
        <v>0</v>
      </c>
      <c r="M73" s="652">
        <f t="shared" si="10"/>
        <v>0</v>
      </c>
      <c r="N73" s="652">
        <f t="shared" si="11"/>
        <v>0</v>
      </c>
      <c r="O73" s="652">
        <v>0</v>
      </c>
      <c r="P73" s="685">
        <v>0</v>
      </c>
      <c r="Q73" s="684">
        <v>0</v>
      </c>
      <c r="R73" s="652">
        <f>SUMIFS(OBE!$H:$H,OBE!$C:$C,'Standalone TB'!$B73,OBE!$B:$B,"A20")</f>
        <v>0</v>
      </c>
      <c r="S73" s="652">
        <f>SUMIFS('Elimination - BS'!I:I,'Elimination - BS'!D:D,'Standalone TB'!B73,'Elimination - BS'!A:A,"EA20")</f>
        <v>0</v>
      </c>
      <c r="T73" s="652">
        <f t="shared" si="12"/>
        <v>0</v>
      </c>
      <c r="U73" s="652">
        <f t="shared" si="13"/>
        <v>0</v>
      </c>
      <c r="V73" s="652">
        <v>0</v>
      </c>
      <c r="W73" s="685">
        <v>0</v>
      </c>
      <c r="X73" s="689">
        <f t="shared" si="14"/>
        <v>-397509.41000000003</v>
      </c>
      <c r="Y73" s="689">
        <f t="shared" si="15"/>
        <v>-3037588</v>
      </c>
      <c r="Z73" s="652" t="s">
        <v>712</v>
      </c>
      <c r="AA73" s="652" t="s">
        <v>35</v>
      </c>
      <c r="AB73" s="666" t="s">
        <v>1270</v>
      </c>
      <c r="AD73" s="665"/>
    </row>
    <row r="74" spans="1:30" hidden="1" x14ac:dyDescent="0.2">
      <c r="B74" s="673" t="s">
        <v>1830</v>
      </c>
      <c r="C74" s="666" t="s">
        <v>1831</v>
      </c>
      <c r="D74" s="666" t="s">
        <v>3</v>
      </c>
      <c r="E74" s="684"/>
      <c r="F74" s="652">
        <f>SUMIFS(OBE!$H:$H,OBE!$C:$C,'Standalone TB'!$B74,OBE!$B:$B,"A21")</f>
        <v>0</v>
      </c>
      <c r="G74" s="652">
        <f>SUMIFS('Elimination - BS'!I:I,'Elimination - BS'!D:D,'Standalone TB'!B74,'Elimination - BS'!A:A,"EA21")</f>
        <v>0</v>
      </c>
      <c r="J74" s="684">
        <v>-11125.06</v>
      </c>
      <c r="K74" s="652">
        <f>SUMIFS(OBE!$H:$H,OBE!$C:$C,'Standalone TB'!$B74,OBE!$B:$B,"A22")</f>
        <v>0</v>
      </c>
      <c r="L74" s="652">
        <f>SUMIFS('Elimination - BS'!I:I,'Elimination - BS'!D:D,'Standalone TB'!B74,'Elimination - BS'!A:A,"EA22")</f>
        <v>0</v>
      </c>
      <c r="M74" s="652">
        <f t="shared" si="10"/>
        <v>-11125.06</v>
      </c>
      <c r="N74" s="652">
        <f t="shared" si="11"/>
        <v>-259146.03719038816</v>
      </c>
      <c r="P74" s="685"/>
      <c r="Q74" s="684">
        <v>0</v>
      </c>
      <c r="R74" s="652">
        <f>SUMIFS(OBE!$H:$H,OBE!$C:$C,'Standalone TB'!$B74,OBE!$B:$B,"A20")</f>
        <v>0</v>
      </c>
      <c r="S74" s="652">
        <f>SUMIFS('Elimination - BS'!I:I,'Elimination - BS'!D:D,'Standalone TB'!B74,'Elimination - BS'!A:A,"EA20")</f>
        <v>0</v>
      </c>
      <c r="T74" s="652">
        <f t="shared" si="12"/>
        <v>0</v>
      </c>
      <c r="U74" s="652">
        <f t="shared" si="13"/>
        <v>0</v>
      </c>
      <c r="W74" s="685"/>
      <c r="X74" s="689">
        <f t="shared" si="14"/>
        <v>-259146.03719038816</v>
      </c>
      <c r="Y74" s="689">
        <f t="shared" si="15"/>
        <v>0</v>
      </c>
      <c r="Z74" s="652" t="s">
        <v>687</v>
      </c>
      <c r="AA74" s="652" t="s">
        <v>35</v>
      </c>
      <c r="AB74" s="666" t="s">
        <v>1756</v>
      </c>
      <c r="AD74" s="665"/>
    </row>
    <row r="75" spans="1:30" hidden="1" x14ac:dyDescent="0.2">
      <c r="B75" s="673" t="s">
        <v>1832</v>
      </c>
      <c r="C75" s="666" t="s">
        <v>1833</v>
      </c>
      <c r="D75" s="666" t="s">
        <v>3</v>
      </c>
      <c r="E75" s="684">
        <v>-23412268.859999999</v>
      </c>
      <c r="F75" s="652">
        <f>SUMIFS(OBE!$H:$H,OBE!$C:$C,'Standalone TB'!$B75,OBE!$B:$B,"A21")</f>
        <v>-2644855</v>
      </c>
      <c r="G75" s="652">
        <f>SUMIFS('Elimination - BS'!I:I,'Elimination - BS'!D:D,'Standalone TB'!B75,'Elimination - BS'!A:A,"EA21")</f>
        <v>0</v>
      </c>
      <c r="H75" s="652">
        <f t="shared" ref="H75:H111" si="16">SUM(E75:G75)</f>
        <v>-26057123.859999999</v>
      </c>
      <c r="I75" s="652">
        <v>-29362286.859999999</v>
      </c>
      <c r="J75" s="684">
        <v>4000</v>
      </c>
      <c r="K75" s="652">
        <f>SUMIFS(OBE!$H:$H,OBE!$C:$C,'Standalone TB'!$B75,OBE!$B:$B,"A22")</f>
        <v>0</v>
      </c>
      <c r="L75" s="652">
        <f>SUMIFS('Elimination - BS'!I:I,'Elimination - BS'!D:D,'Standalone TB'!B75,'Elimination - BS'!A:A,"EA22")</f>
        <v>0</v>
      </c>
      <c r="M75" s="652">
        <f t="shared" si="10"/>
        <v>4000</v>
      </c>
      <c r="N75" s="652">
        <f t="shared" si="11"/>
        <v>93175.600739371526</v>
      </c>
      <c r="O75" s="652">
        <v>0</v>
      </c>
      <c r="P75" s="685">
        <v>0</v>
      </c>
      <c r="Q75" s="684">
        <v>0</v>
      </c>
      <c r="R75" s="652">
        <f>SUMIFS(OBE!$H:$H,OBE!$C:$C,'Standalone TB'!$B75,OBE!$B:$B,"A20")</f>
        <v>0</v>
      </c>
      <c r="S75" s="652">
        <f>SUMIFS('Elimination - BS'!I:I,'Elimination - BS'!D:D,'Standalone TB'!B75,'Elimination - BS'!A:A,"EA20")</f>
        <v>0</v>
      </c>
      <c r="T75" s="652">
        <f t="shared" si="12"/>
        <v>0</v>
      </c>
      <c r="U75" s="652">
        <f t="shared" si="13"/>
        <v>0</v>
      </c>
      <c r="V75" s="652">
        <v>0</v>
      </c>
      <c r="W75" s="685">
        <v>0</v>
      </c>
      <c r="X75" s="1087">
        <f t="shared" si="14"/>
        <v>-25963948.259260628</v>
      </c>
      <c r="Y75" s="689">
        <f t="shared" si="15"/>
        <v>-29362286.859999999</v>
      </c>
      <c r="Z75" s="652" t="s">
        <v>712</v>
      </c>
      <c r="AA75" s="652" t="s">
        <v>35</v>
      </c>
      <c r="AB75" s="666" t="s">
        <v>1270</v>
      </c>
      <c r="AD75" s="665"/>
    </row>
    <row r="76" spans="1:30" hidden="1" x14ac:dyDescent="0.2">
      <c r="B76" s="673" t="s">
        <v>1834</v>
      </c>
      <c r="C76" s="666" t="s">
        <v>1835</v>
      </c>
      <c r="D76" s="666" t="s">
        <v>3</v>
      </c>
      <c r="E76" s="684">
        <v>-144382</v>
      </c>
      <c r="F76" s="652">
        <f>SUMIFS(OBE!$H:$H,OBE!$C:$C,'Standalone TB'!$B76,OBE!$B:$B,"A21")</f>
        <v>0</v>
      </c>
      <c r="G76" s="652">
        <f>SUMIFS('Elimination - BS'!I:I,'Elimination - BS'!D:D,'Standalone TB'!B76,'Elimination - BS'!A:A,"EA21")</f>
        <v>0</v>
      </c>
      <c r="H76" s="652">
        <f t="shared" si="16"/>
        <v>-144382</v>
      </c>
      <c r="I76" s="652">
        <v>-327192</v>
      </c>
      <c r="J76" s="684">
        <v>-355874.24</v>
      </c>
      <c r="K76" s="652">
        <f>SUMIFS(OBE!$H:$H,OBE!$C:$C,'Standalone TB'!$B76,OBE!$B:$B,"A22")</f>
        <v>0</v>
      </c>
      <c r="L76" s="652">
        <f>SUMIFS('Elimination - BS'!I:I,'Elimination - BS'!D:D,'Standalone TB'!B76,'Elimination - BS'!A:A,"EA22")</f>
        <v>0</v>
      </c>
      <c r="M76" s="652">
        <f t="shared" si="10"/>
        <v>-355874.24</v>
      </c>
      <c r="N76" s="652">
        <f t="shared" si="11"/>
        <v>-8289699.0249168202</v>
      </c>
      <c r="O76" s="652">
        <v>-211433.99</v>
      </c>
      <c r="P76" s="685">
        <v>-4797289.2293069996</v>
      </c>
      <c r="Q76" s="684">
        <v>0</v>
      </c>
      <c r="R76" s="652">
        <f>SUMIFS(OBE!$H:$H,OBE!$C:$C,'Standalone TB'!$B76,OBE!$B:$B,"A20")</f>
        <v>0</v>
      </c>
      <c r="S76" s="652">
        <f>SUMIFS('Elimination - BS'!I:I,'Elimination - BS'!D:D,'Standalone TB'!B76,'Elimination - BS'!A:A,"EA20")</f>
        <v>0</v>
      </c>
      <c r="T76" s="652">
        <f t="shared" si="12"/>
        <v>0</v>
      </c>
      <c r="U76" s="652">
        <f t="shared" si="13"/>
        <v>0</v>
      </c>
      <c r="V76" s="652">
        <v>0</v>
      </c>
      <c r="W76" s="685">
        <v>0</v>
      </c>
      <c r="X76" s="1087">
        <f t="shared" si="14"/>
        <v>-8434081.0249168202</v>
      </c>
      <c r="Y76" s="689">
        <f t="shared" si="15"/>
        <v>-5124481.2293069996</v>
      </c>
      <c r="Z76" s="652" t="s">
        <v>712</v>
      </c>
      <c r="AA76" s="652" t="s">
        <v>35</v>
      </c>
      <c r="AB76" s="666" t="s">
        <v>1270</v>
      </c>
      <c r="AD76" s="665"/>
    </row>
    <row r="77" spans="1:30" hidden="1" x14ac:dyDescent="0.2">
      <c r="B77" s="673" t="s">
        <v>1836</v>
      </c>
      <c r="C77" s="666" t="s">
        <v>1837</v>
      </c>
      <c r="D77" s="666" t="s">
        <v>3</v>
      </c>
      <c r="E77" s="684">
        <v>0</v>
      </c>
      <c r="F77" s="652">
        <f>SUMIFS(OBE!$H:$H,OBE!$C:$C,'Standalone TB'!$B77,OBE!$B:$B,"A21")</f>
        <v>0</v>
      </c>
      <c r="G77" s="652">
        <f>SUMIFS('Elimination - BS'!I:I,'Elimination - BS'!D:D,'Standalone TB'!B77,'Elimination - BS'!A:A,"EA21")</f>
        <v>0</v>
      </c>
      <c r="H77" s="652">
        <f t="shared" si="16"/>
        <v>0</v>
      </c>
      <c r="I77" s="652">
        <v>0</v>
      </c>
      <c r="J77" s="684">
        <v>0</v>
      </c>
      <c r="K77" s="652">
        <f>SUMIFS(OBE!$H:$H,OBE!$C:$C,'Standalone TB'!$B77,OBE!$B:$B,"A22")</f>
        <v>0</v>
      </c>
      <c r="L77" s="652">
        <f>SUMIFS('Elimination - BS'!I:I,'Elimination - BS'!D:D,'Standalone TB'!B77,'Elimination - BS'!A:A,"EA22")</f>
        <v>0</v>
      </c>
      <c r="M77" s="652">
        <f t="shared" si="10"/>
        <v>0</v>
      </c>
      <c r="N77" s="652">
        <f t="shared" si="11"/>
        <v>0</v>
      </c>
      <c r="O77" s="652">
        <v>0</v>
      </c>
      <c r="P77" s="685">
        <v>0</v>
      </c>
      <c r="Q77" s="684">
        <v>0</v>
      </c>
      <c r="R77" s="652">
        <f>SUMIFS(OBE!$H:$H,OBE!$C:$C,'Standalone TB'!$B77,OBE!$B:$B,"A20")</f>
        <v>0</v>
      </c>
      <c r="S77" s="652">
        <f>SUMIFS('Elimination - BS'!I:I,'Elimination - BS'!D:D,'Standalone TB'!B77,'Elimination - BS'!A:A,"EA20")</f>
        <v>0</v>
      </c>
      <c r="T77" s="652">
        <f t="shared" si="12"/>
        <v>0</v>
      </c>
      <c r="U77" s="652">
        <f t="shared" si="13"/>
        <v>0</v>
      </c>
      <c r="V77" s="652">
        <v>0</v>
      </c>
      <c r="W77" s="685">
        <v>0</v>
      </c>
      <c r="X77" s="1087">
        <f t="shared" si="14"/>
        <v>0</v>
      </c>
      <c r="Y77" s="689">
        <f t="shared" si="15"/>
        <v>0</v>
      </c>
      <c r="Z77" s="652" t="s">
        <v>712</v>
      </c>
      <c r="AA77" s="652" t="s">
        <v>35</v>
      </c>
      <c r="AB77" s="666" t="s">
        <v>1270</v>
      </c>
      <c r="AD77" s="665"/>
    </row>
    <row r="78" spans="1:30" hidden="1" x14ac:dyDescent="0.2">
      <c r="B78" s="673" t="s">
        <v>1838</v>
      </c>
      <c r="C78" s="666" t="s">
        <v>1839</v>
      </c>
      <c r="D78" s="666" t="s">
        <v>3</v>
      </c>
      <c r="E78" s="684">
        <v>0</v>
      </c>
      <c r="F78" s="652">
        <f>SUMIFS(OBE!$H:$H,OBE!$C:$C,'Standalone TB'!$B78,OBE!$B:$B,"A21")</f>
        <v>0</v>
      </c>
      <c r="G78" s="652">
        <f>SUMIFS('Elimination - BS'!I:I,'Elimination - BS'!D:D,'Standalone TB'!B78,'Elimination - BS'!A:A,"EA21")</f>
        <v>0</v>
      </c>
      <c r="H78" s="652">
        <f t="shared" si="16"/>
        <v>0</v>
      </c>
      <c r="I78" s="652">
        <v>0</v>
      </c>
      <c r="J78" s="684">
        <v>-281206.34000000003</v>
      </c>
      <c r="K78" s="652">
        <f>SUMIFS(OBE!$H:$H,OBE!$C:$C,'Standalone TB'!$B78,OBE!$B:$B,"A22")</f>
        <v>0</v>
      </c>
      <c r="L78" s="652">
        <f>SUMIFS('Elimination - BS'!I:I,'Elimination - BS'!D:D,'Standalone TB'!B78,'Elimination - BS'!A:A,"EA22")</f>
        <v>0</v>
      </c>
      <c r="M78" s="652">
        <f t="shared" si="10"/>
        <v>-281206.34000000003</v>
      </c>
      <c r="N78" s="652">
        <f t="shared" si="11"/>
        <v>-6550392.4153049914</v>
      </c>
      <c r="O78" s="652">
        <v>-214922.02</v>
      </c>
      <c r="P78" s="685">
        <v>-4876430.1883859998</v>
      </c>
      <c r="Q78" s="684">
        <v>0</v>
      </c>
      <c r="R78" s="652">
        <f>SUMIFS(OBE!$H:$H,OBE!$C:$C,'Standalone TB'!$B78,OBE!$B:$B,"A20")</f>
        <v>0</v>
      </c>
      <c r="S78" s="652">
        <f>SUMIFS('Elimination - BS'!I:I,'Elimination - BS'!D:D,'Standalone TB'!B78,'Elimination - BS'!A:A,"EA20")</f>
        <v>0</v>
      </c>
      <c r="T78" s="652">
        <f t="shared" si="12"/>
        <v>0</v>
      </c>
      <c r="U78" s="652">
        <f t="shared" si="13"/>
        <v>0</v>
      </c>
      <c r="V78" s="652">
        <v>0</v>
      </c>
      <c r="W78" s="685">
        <v>0</v>
      </c>
      <c r="X78" s="1087">
        <f t="shared" si="14"/>
        <v>-6550392.4153049914</v>
      </c>
      <c r="Y78" s="689">
        <f t="shared" si="15"/>
        <v>-4876430.1883859998</v>
      </c>
      <c r="Z78" s="652" t="s">
        <v>712</v>
      </c>
      <c r="AA78" s="652" t="s">
        <v>35</v>
      </c>
      <c r="AB78" s="666" t="s">
        <v>1270</v>
      </c>
      <c r="AD78" s="665"/>
    </row>
    <row r="79" spans="1:30" hidden="1" x14ac:dyDescent="0.2">
      <c r="B79" s="673" t="s">
        <v>1840</v>
      </c>
      <c r="C79" s="666" t="s">
        <v>1841</v>
      </c>
      <c r="D79" s="666" t="s">
        <v>3</v>
      </c>
      <c r="E79" s="684">
        <v>-3284159</v>
      </c>
      <c r="F79" s="652">
        <f>SUMIFS(OBE!$H:$H,OBE!$C:$C,'Standalone TB'!$B79,OBE!$B:$B,"A21")</f>
        <v>1809161</v>
      </c>
      <c r="G79" s="652">
        <f>SUMIFS('Elimination - BS'!I:I,'Elimination - BS'!D:D,'Standalone TB'!B79,'Elimination - BS'!A:A,"EA21")</f>
        <v>0</v>
      </c>
      <c r="H79" s="652">
        <f t="shared" si="16"/>
        <v>-1474998</v>
      </c>
      <c r="I79" s="652">
        <v>-18000519</v>
      </c>
      <c r="J79" s="684">
        <v>0</v>
      </c>
      <c r="K79" s="652">
        <f>SUMIFS(OBE!$H:$H,OBE!$C:$C,'Standalone TB'!$B79,OBE!$B:$B,"A22")</f>
        <v>0</v>
      </c>
      <c r="L79" s="652">
        <f>SUMIFS('Elimination - BS'!I:I,'Elimination - BS'!D:D,'Standalone TB'!B79,'Elimination - BS'!A:A,"EA22")</f>
        <v>0</v>
      </c>
      <c r="M79" s="652">
        <f t="shared" si="10"/>
        <v>0</v>
      </c>
      <c r="N79" s="652">
        <f t="shared" si="11"/>
        <v>0</v>
      </c>
      <c r="O79" s="652">
        <v>0</v>
      </c>
      <c r="P79" s="685">
        <v>0</v>
      </c>
      <c r="Q79" s="684">
        <v>0</v>
      </c>
      <c r="R79" s="652">
        <f>SUMIFS(OBE!$H:$H,OBE!$C:$C,'Standalone TB'!$B79,OBE!$B:$B,"A20")</f>
        <v>0</v>
      </c>
      <c r="S79" s="652">
        <f>SUMIFS('Elimination - BS'!I:I,'Elimination - BS'!D:D,'Standalone TB'!B79,'Elimination - BS'!A:A,"EA20")</f>
        <v>0</v>
      </c>
      <c r="T79" s="652">
        <f t="shared" si="12"/>
        <v>0</v>
      </c>
      <c r="U79" s="652">
        <f t="shared" si="13"/>
        <v>0</v>
      </c>
      <c r="V79" s="652">
        <v>0</v>
      </c>
      <c r="W79" s="685">
        <v>0</v>
      </c>
      <c r="X79" s="689">
        <f t="shared" si="14"/>
        <v>-1474998</v>
      </c>
      <c r="Y79" s="689">
        <f t="shared" si="15"/>
        <v>-18000519</v>
      </c>
      <c r="Z79" s="652" t="s">
        <v>712</v>
      </c>
      <c r="AA79" s="652" t="s">
        <v>35</v>
      </c>
      <c r="AB79" s="666" t="s">
        <v>1270</v>
      </c>
      <c r="AD79" s="665"/>
    </row>
    <row r="80" spans="1:30" hidden="1" x14ac:dyDescent="0.2">
      <c r="B80" s="673" t="s">
        <v>1677</v>
      </c>
      <c r="C80" s="666" t="s">
        <v>1842</v>
      </c>
      <c r="D80" s="666" t="s">
        <v>3</v>
      </c>
      <c r="E80" s="684">
        <v>-1405842.27</v>
      </c>
      <c r="F80" s="652">
        <f>SUMIFS(OBE!$H:$H,OBE!$C:$C,'Standalone TB'!$B80,OBE!$B:$B,"A21")</f>
        <v>0</v>
      </c>
      <c r="G80" s="652">
        <f>SUMIFS('Elimination - BS'!I:I,'Elimination - BS'!D:D,'Standalone TB'!B80,'Elimination - BS'!A:A,"EA21")</f>
        <v>0</v>
      </c>
      <c r="H80" s="652">
        <f t="shared" si="16"/>
        <v>-1405842.27</v>
      </c>
      <c r="I80" s="652">
        <v>-712128.11</v>
      </c>
      <c r="J80" s="684">
        <v>-26604.16</v>
      </c>
      <c r="K80" s="652">
        <f>SUMIFS(OBE!$H:$H,OBE!$C:$C,'Standalone TB'!$B80,OBE!$B:$B,"A22")</f>
        <v>20000</v>
      </c>
      <c r="L80" s="652">
        <f>SUMIFS('Elimination - BS'!I:I,'Elimination - BS'!D:D,'Standalone TB'!B80,'Elimination - BS'!A:A,"EA22")</f>
        <v>0</v>
      </c>
      <c r="M80" s="652">
        <f t="shared" si="10"/>
        <v>-6604.16</v>
      </c>
      <c r="N80" s="652">
        <f t="shared" si="11"/>
        <v>-153836.64384473197</v>
      </c>
      <c r="O80" s="652">
        <v>-41884.25</v>
      </c>
      <c r="P80" s="685">
        <v>-950324.31352500001</v>
      </c>
      <c r="Q80" s="684">
        <v>0</v>
      </c>
      <c r="R80" s="652">
        <f>SUMIFS(OBE!$H:$H,OBE!$C:$C,'Standalone TB'!$B80,OBE!$B:$B,"A20")</f>
        <v>0</v>
      </c>
      <c r="S80" s="652">
        <f>SUMIFS('Elimination - BS'!I:I,'Elimination - BS'!D:D,'Standalone TB'!B80,'Elimination - BS'!A:A,"EA20")</f>
        <v>0</v>
      </c>
      <c r="T80" s="652">
        <f t="shared" si="12"/>
        <v>0</v>
      </c>
      <c r="U80" s="652">
        <f t="shared" si="13"/>
        <v>0</v>
      </c>
      <c r="V80" s="652">
        <v>0</v>
      </c>
      <c r="W80" s="685">
        <v>0</v>
      </c>
      <c r="X80" s="689">
        <f t="shared" si="14"/>
        <v>-1559678.9138447321</v>
      </c>
      <c r="Y80" s="689">
        <f t="shared" si="15"/>
        <v>-1662452.423525</v>
      </c>
      <c r="Z80" s="652" t="s">
        <v>712</v>
      </c>
      <c r="AA80" s="652" t="s">
        <v>35</v>
      </c>
      <c r="AB80" s="666" t="s">
        <v>1270</v>
      </c>
      <c r="AD80" s="665"/>
    </row>
    <row r="81" spans="1:30" hidden="1" x14ac:dyDescent="0.2">
      <c r="B81" s="673" t="s">
        <v>1843</v>
      </c>
      <c r="C81" s="666" t="s">
        <v>1844</v>
      </c>
      <c r="D81" s="666" t="s">
        <v>3</v>
      </c>
      <c r="E81" s="684">
        <v>1103263.3500000001</v>
      </c>
      <c r="F81" s="652">
        <f>SUMIFS(OBE!$H:$H,OBE!$C:$C,'Standalone TB'!$B81,OBE!$B:$B,"A21")</f>
        <v>562883.37297267746</v>
      </c>
      <c r="G81" s="652">
        <f>SUMIFS('Elimination - BS'!I:I,'Elimination - BS'!D:D,'Standalone TB'!B81,'Elimination - BS'!A:A,"EA21")</f>
        <v>0</v>
      </c>
      <c r="H81" s="652">
        <f t="shared" si="16"/>
        <v>1666146.7229726776</v>
      </c>
      <c r="I81" s="652">
        <v>1093548.6200000001</v>
      </c>
      <c r="J81" s="684">
        <v>0</v>
      </c>
      <c r="K81" s="652">
        <f>SUMIFS(OBE!$H:$H,OBE!$C:$C,'Standalone TB'!$B81,OBE!$B:$B,"A22")</f>
        <v>0</v>
      </c>
      <c r="L81" s="652">
        <f>SUMIFS('Elimination - BS'!I:I,'Elimination - BS'!D:D,'Standalone TB'!B81,'Elimination - BS'!A:A,"EA22")</f>
        <v>0</v>
      </c>
      <c r="M81" s="652">
        <f t="shared" si="10"/>
        <v>0</v>
      </c>
      <c r="N81" s="652">
        <f t="shared" si="11"/>
        <v>0</v>
      </c>
      <c r="O81" s="652">
        <v>0</v>
      </c>
      <c r="P81" s="685">
        <v>0</v>
      </c>
      <c r="Q81" s="684">
        <v>0</v>
      </c>
      <c r="R81" s="652">
        <f>SUMIFS(OBE!$H:$H,OBE!$C:$C,'Standalone TB'!$B81,OBE!$B:$B,"A20")</f>
        <v>0</v>
      </c>
      <c r="S81" s="652">
        <f>SUMIFS('Elimination - BS'!I:I,'Elimination - BS'!D:D,'Standalone TB'!B81,'Elimination - BS'!A:A,"EA20")</f>
        <v>0</v>
      </c>
      <c r="T81" s="652">
        <f t="shared" si="12"/>
        <v>0</v>
      </c>
      <c r="U81" s="652">
        <f t="shared" si="13"/>
        <v>0</v>
      </c>
      <c r="V81" s="652">
        <v>0</v>
      </c>
      <c r="W81" s="685">
        <v>0</v>
      </c>
      <c r="X81" s="689">
        <f t="shared" si="14"/>
        <v>1666146.7229726776</v>
      </c>
      <c r="Y81" s="689">
        <f t="shared" si="15"/>
        <v>1093548.6200000001</v>
      </c>
      <c r="Z81" s="652" t="s">
        <v>712</v>
      </c>
      <c r="AA81" s="652" t="s">
        <v>35</v>
      </c>
      <c r="AB81" s="666" t="s">
        <v>1270</v>
      </c>
      <c r="AD81" s="665"/>
    </row>
    <row r="82" spans="1:30" hidden="1" x14ac:dyDescent="0.2">
      <c r="B82" s="673" t="s">
        <v>1845</v>
      </c>
      <c r="C82" s="666" t="s">
        <v>1846</v>
      </c>
      <c r="D82" s="666" t="s">
        <v>3</v>
      </c>
      <c r="E82" s="684">
        <v>0</v>
      </c>
      <c r="F82" s="652">
        <f>SUMIFS(OBE!$H:$H,OBE!$C:$C,'Standalone TB'!$B82,OBE!$B:$B,"A21")</f>
        <v>0</v>
      </c>
      <c r="G82" s="652">
        <f>SUMIFS('Elimination - BS'!I:I,'Elimination - BS'!D:D,'Standalone TB'!B82,'Elimination - BS'!A:A,"EA21")</f>
        <v>0</v>
      </c>
      <c r="H82" s="652">
        <f t="shared" si="16"/>
        <v>0</v>
      </c>
      <c r="I82" s="652">
        <v>-7624</v>
      </c>
      <c r="J82" s="684">
        <v>0</v>
      </c>
      <c r="K82" s="652">
        <f>SUMIFS(OBE!$H:$H,OBE!$C:$C,'Standalone TB'!$B82,OBE!$B:$B,"A22")</f>
        <v>0</v>
      </c>
      <c r="L82" s="652">
        <f>SUMIFS('Elimination - BS'!I:I,'Elimination - BS'!D:D,'Standalone TB'!B82,'Elimination - BS'!A:A,"EA22")</f>
        <v>0</v>
      </c>
      <c r="M82" s="652">
        <f t="shared" si="10"/>
        <v>0</v>
      </c>
      <c r="N82" s="652">
        <f t="shared" si="11"/>
        <v>0</v>
      </c>
      <c r="O82" s="652">
        <v>0</v>
      </c>
      <c r="P82" s="685">
        <v>0</v>
      </c>
      <c r="Q82" s="684">
        <v>0</v>
      </c>
      <c r="R82" s="652">
        <f>SUMIFS(OBE!$H:$H,OBE!$C:$C,'Standalone TB'!$B82,OBE!$B:$B,"A20")</f>
        <v>0</v>
      </c>
      <c r="S82" s="652">
        <f>SUMIFS('Elimination - BS'!I:I,'Elimination - BS'!D:D,'Standalone TB'!B82,'Elimination - BS'!A:A,"EA20")</f>
        <v>0</v>
      </c>
      <c r="T82" s="652">
        <f t="shared" si="12"/>
        <v>0</v>
      </c>
      <c r="U82" s="652">
        <f t="shared" si="13"/>
        <v>0</v>
      </c>
      <c r="V82" s="652">
        <v>0</v>
      </c>
      <c r="W82" s="685">
        <v>0</v>
      </c>
      <c r="X82" s="689">
        <f t="shared" si="14"/>
        <v>0</v>
      </c>
      <c r="Y82" s="689">
        <f t="shared" si="15"/>
        <v>-7624</v>
      </c>
      <c r="Z82" s="652" t="s">
        <v>712</v>
      </c>
      <c r="AA82" s="652" t="s">
        <v>35</v>
      </c>
      <c r="AB82" s="666" t="s">
        <v>1270</v>
      </c>
      <c r="AD82" s="665"/>
    </row>
    <row r="83" spans="1:30" hidden="1" x14ac:dyDescent="0.2">
      <c r="B83" s="673" t="s">
        <v>1847</v>
      </c>
      <c r="C83" s="666" t="s">
        <v>1848</v>
      </c>
      <c r="D83" s="666" t="s">
        <v>3</v>
      </c>
      <c r="E83" s="684">
        <v>0</v>
      </c>
      <c r="F83" s="652">
        <f>SUMIFS(OBE!$H:$H,OBE!$C:$C,'Standalone TB'!$B83,OBE!$B:$B,"A21")</f>
        <v>0</v>
      </c>
      <c r="G83" s="652">
        <f>SUMIFS('Elimination - BS'!I:I,'Elimination - BS'!D:D,'Standalone TB'!B83,'Elimination - BS'!A:A,"EA21")</f>
        <v>0</v>
      </c>
      <c r="H83" s="652">
        <f t="shared" si="16"/>
        <v>0</v>
      </c>
      <c r="I83" s="652">
        <v>-42600</v>
      </c>
      <c r="J83" s="684">
        <v>0</v>
      </c>
      <c r="K83" s="652">
        <f>SUMIFS(OBE!$H:$H,OBE!$C:$C,'Standalone TB'!$B83,OBE!$B:$B,"A22")</f>
        <v>0</v>
      </c>
      <c r="L83" s="652">
        <f>SUMIFS('Elimination - BS'!I:I,'Elimination - BS'!D:D,'Standalone TB'!B83,'Elimination - BS'!A:A,"EA22")</f>
        <v>0</v>
      </c>
      <c r="M83" s="652">
        <f t="shared" si="10"/>
        <v>0</v>
      </c>
      <c r="N83" s="652">
        <f t="shared" si="11"/>
        <v>0</v>
      </c>
      <c r="O83" s="652">
        <v>0</v>
      </c>
      <c r="P83" s="685">
        <v>0</v>
      </c>
      <c r="Q83" s="684">
        <v>0</v>
      </c>
      <c r="R83" s="652">
        <f>SUMIFS(OBE!$H:$H,OBE!$C:$C,'Standalone TB'!$B83,OBE!$B:$B,"A20")</f>
        <v>0</v>
      </c>
      <c r="S83" s="652">
        <f>SUMIFS('Elimination - BS'!I:I,'Elimination - BS'!D:D,'Standalone TB'!B83,'Elimination - BS'!A:A,"EA20")</f>
        <v>0</v>
      </c>
      <c r="T83" s="652">
        <f t="shared" si="12"/>
        <v>0</v>
      </c>
      <c r="U83" s="652">
        <f t="shared" si="13"/>
        <v>0</v>
      </c>
      <c r="V83" s="652">
        <v>0</v>
      </c>
      <c r="W83" s="685">
        <v>0</v>
      </c>
      <c r="X83" s="689">
        <f t="shared" si="14"/>
        <v>0</v>
      </c>
      <c r="Y83" s="689">
        <f t="shared" si="15"/>
        <v>-42600</v>
      </c>
      <c r="Z83" s="652" t="s">
        <v>712</v>
      </c>
      <c r="AA83" s="652" t="s">
        <v>35</v>
      </c>
      <c r="AB83" s="666" t="s">
        <v>1270</v>
      </c>
      <c r="AD83" s="665"/>
    </row>
    <row r="84" spans="1:30" hidden="1" x14ac:dyDescent="0.2">
      <c r="B84" s="673" t="s">
        <v>1849</v>
      </c>
      <c r="C84" s="666" t="s">
        <v>1850</v>
      </c>
      <c r="D84" s="666" t="s">
        <v>3</v>
      </c>
      <c r="E84" s="684">
        <v>738579</v>
      </c>
      <c r="F84" s="652">
        <f>SUMIFS(OBE!$H:$H,OBE!$C:$C,'Standalone TB'!$B84,OBE!$B:$B,"A21")</f>
        <v>-738579</v>
      </c>
      <c r="G84" s="652">
        <f>SUMIFS('Elimination - BS'!I:I,'Elimination - BS'!D:D,'Standalone TB'!B84,'Elimination - BS'!A:A,"EA21")</f>
        <v>0</v>
      </c>
      <c r="H84" s="652">
        <f t="shared" si="16"/>
        <v>0</v>
      </c>
      <c r="I84" s="652">
        <v>-65478</v>
      </c>
      <c r="J84" s="684">
        <v>0</v>
      </c>
      <c r="K84" s="652">
        <f>SUMIFS(OBE!$H:$H,OBE!$C:$C,'Standalone TB'!$B84,OBE!$B:$B,"A22")</f>
        <v>0</v>
      </c>
      <c r="L84" s="652">
        <f>SUMIFS('Elimination - BS'!I:I,'Elimination - BS'!D:D,'Standalone TB'!B84,'Elimination - BS'!A:A,"EA22")</f>
        <v>0</v>
      </c>
      <c r="M84" s="652">
        <f t="shared" si="10"/>
        <v>0</v>
      </c>
      <c r="N84" s="652">
        <f t="shared" si="11"/>
        <v>0</v>
      </c>
      <c r="O84" s="652">
        <v>0</v>
      </c>
      <c r="P84" s="685">
        <v>0</v>
      </c>
      <c r="Q84" s="684">
        <v>0</v>
      </c>
      <c r="R84" s="652">
        <f>SUMIFS(OBE!$H:$H,OBE!$C:$C,'Standalone TB'!$B84,OBE!$B:$B,"A20")</f>
        <v>0</v>
      </c>
      <c r="S84" s="652">
        <f>SUMIFS('Elimination - BS'!I:I,'Elimination - BS'!D:D,'Standalone TB'!B84,'Elimination - BS'!A:A,"EA20")</f>
        <v>0</v>
      </c>
      <c r="T84" s="652">
        <f t="shared" si="12"/>
        <v>0</v>
      </c>
      <c r="U84" s="652">
        <f t="shared" si="13"/>
        <v>0</v>
      </c>
      <c r="V84" s="652">
        <v>0</v>
      </c>
      <c r="W84" s="685">
        <v>0</v>
      </c>
      <c r="X84" s="689">
        <f t="shared" si="14"/>
        <v>0</v>
      </c>
      <c r="Y84" s="689">
        <f t="shared" si="15"/>
        <v>-65478</v>
      </c>
      <c r="Z84" s="652" t="s">
        <v>712</v>
      </c>
      <c r="AA84" s="652" t="s">
        <v>35</v>
      </c>
      <c r="AB84" s="666" t="s">
        <v>1270</v>
      </c>
      <c r="AD84" s="665"/>
    </row>
    <row r="85" spans="1:30" hidden="1" x14ac:dyDescent="0.2">
      <c r="B85" s="673" t="s">
        <v>1650</v>
      </c>
      <c r="C85" s="666" t="s">
        <v>1851</v>
      </c>
      <c r="D85" s="666" t="s">
        <v>3</v>
      </c>
      <c r="E85" s="684">
        <v>-8001.98</v>
      </c>
      <c r="F85" s="652">
        <f>SUMIFS(OBE!$H:$H,OBE!$C:$C,'Standalone TB'!$B85,OBE!$B:$B,"A21")</f>
        <v>-254694</v>
      </c>
      <c r="G85" s="652">
        <f>SUMIFS('Elimination - BS'!I:I,'Elimination - BS'!D:D,'Standalone TB'!B85,'Elimination - BS'!A:A,"EA21")</f>
        <v>0</v>
      </c>
      <c r="H85" s="652">
        <f t="shared" si="16"/>
        <v>-262695.98</v>
      </c>
      <c r="I85" s="652">
        <v>-22570.2</v>
      </c>
      <c r="J85" s="684">
        <v>0</v>
      </c>
      <c r="K85" s="652">
        <f>SUMIFS(OBE!$H:$H,OBE!$C:$C,'Standalone TB'!$B85,OBE!$B:$B,"A22")</f>
        <v>0</v>
      </c>
      <c r="L85" s="652">
        <f>SUMIFS('Elimination - BS'!I:I,'Elimination - BS'!D:D,'Standalone TB'!B85,'Elimination - BS'!A:A,"EA22")</f>
        <v>0</v>
      </c>
      <c r="M85" s="652">
        <f t="shared" si="10"/>
        <v>0</v>
      </c>
      <c r="N85" s="652">
        <f t="shared" si="11"/>
        <v>0</v>
      </c>
      <c r="O85" s="652">
        <v>0</v>
      </c>
      <c r="P85" s="685">
        <v>0</v>
      </c>
      <c r="Q85" s="684">
        <v>0</v>
      </c>
      <c r="R85" s="652">
        <f>SUMIFS(OBE!$H:$H,OBE!$C:$C,'Standalone TB'!$B85,OBE!$B:$B,"A20")</f>
        <v>0</v>
      </c>
      <c r="S85" s="652">
        <f>SUMIFS('Elimination - BS'!I:I,'Elimination - BS'!D:D,'Standalone TB'!B85,'Elimination - BS'!A:A,"EA20")</f>
        <v>0</v>
      </c>
      <c r="T85" s="652">
        <f t="shared" si="12"/>
        <v>0</v>
      </c>
      <c r="U85" s="652">
        <f t="shared" si="13"/>
        <v>0</v>
      </c>
      <c r="V85" s="652">
        <v>0</v>
      </c>
      <c r="W85" s="685">
        <v>0</v>
      </c>
      <c r="X85" s="689">
        <f t="shared" si="14"/>
        <v>-262695.98</v>
      </c>
      <c r="Y85" s="689">
        <f t="shared" si="15"/>
        <v>-22570.2</v>
      </c>
      <c r="Z85" s="652" t="s">
        <v>718</v>
      </c>
      <c r="AA85" s="652" t="s">
        <v>35</v>
      </c>
      <c r="AB85" s="666" t="s">
        <v>1729</v>
      </c>
      <c r="AD85" s="665"/>
    </row>
    <row r="86" spans="1:30" hidden="1" x14ac:dyDescent="0.2">
      <c r="B86" s="673" t="s">
        <v>1852</v>
      </c>
      <c r="C86" s="666" t="s">
        <v>1853</v>
      </c>
      <c r="D86" s="666" t="s">
        <v>3</v>
      </c>
      <c r="E86" s="684">
        <v>0</v>
      </c>
      <c r="F86" s="652">
        <f>SUMIFS(OBE!$H:$H,OBE!$C:$C,'Standalone TB'!$B86,OBE!$B:$B,"A21")</f>
        <v>0</v>
      </c>
      <c r="G86" s="652">
        <f>SUMIFS('Elimination - BS'!I:I,'Elimination - BS'!D:D,'Standalone TB'!B86,'Elimination - BS'!A:A,"EA21")</f>
        <v>0</v>
      </c>
      <c r="H86" s="652">
        <f t="shared" si="16"/>
        <v>0</v>
      </c>
      <c r="I86" s="652">
        <v>0</v>
      </c>
      <c r="J86" s="684">
        <v>0</v>
      </c>
      <c r="K86" s="652">
        <f>SUMIFS(OBE!$H:$H,OBE!$C:$C,'Standalone TB'!$B86,OBE!$B:$B,"A22")</f>
        <v>0</v>
      </c>
      <c r="L86" s="652">
        <f>SUMIFS('Elimination - BS'!I:I,'Elimination - BS'!D:D,'Standalone TB'!B86,'Elimination - BS'!A:A,"EA22")</f>
        <v>0</v>
      </c>
      <c r="M86" s="652">
        <f t="shared" si="10"/>
        <v>0</v>
      </c>
      <c r="N86" s="652">
        <f t="shared" si="11"/>
        <v>0</v>
      </c>
      <c r="O86" s="652">
        <v>0</v>
      </c>
      <c r="P86" s="685">
        <v>0</v>
      </c>
      <c r="Q86" s="684">
        <v>0</v>
      </c>
      <c r="R86" s="652">
        <f>SUMIFS(OBE!$H:$H,OBE!$C:$C,'Standalone TB'!$B86,OBE!$B:$B,"A20")</f>
        <v>0</v>
      </c>
      <c r="S86" s="652">
        <f>SUMIFS('Elimination - BS'!I:I,'Elimination - BS'!D:D,'Standalone TB'!B86,'Elimination - BS'!A:A,"EA20")</f>
        <v>0</v>
      </c>
      <c r="T86" s="652">
        <f t="shared" si="12"/>
        <v>0</v>
      </c>
      <c r="U86" s="652">
        <f t="shared" si="13"/>
        <v>0</v>
      </c>
      <c r="V86" s="652">
        <v>0</v>
      </c>
      <c r="W86" s="685">
        <v>0</v>
      </c>
      <c r="X86" s="689">
        <f t="shared" si="14"/>
        <v>0</v>
      </c>
      <c r="Y86" s="689">
        <f t="shared" si="15"/>
        <v>0</v>
      </c>
      <c r="Z86" s="652" t="s">
        <v>718</v>
      </c>
      <c r="AA86" s="652" t="s">
        <v>35</v>
      </c>
      <c r="AB86" s="666" t="s">
        <v>1729</v>
      </c>
      <c r="AD86" s="665"/>
    </row>
    <row r="87" spans="1:30" hidden="1" x14ac:dyDescent="0.2">
      <c r="B87" s="673" t="s">
        <v>1854</v>
      </c>
      <c r="C87" s="666" t="s">
        <v>1855</v>
      </c>
      <c r="D87" s="666" t="s">
        <v>3</v>
      </c>
      <c r="E87" s="684">
        <v>40144.910000000003</v>
      </c>
      <c r="F87" s="652">
        <f>SUMIFS(OBE!$H:$H,OBE!$C:$C,'Standalone TB'!$B87,OBE!$B:$B,"A21")</f>
        <v>0</v>
      </c>
      <c r="G87" s="652">
        <f>SUMIFS('Elimination - BS'!I:I,'Elimination - BS'!D:D,'Standalone TB'!B87,'Elimination - BS'!A:A,"EA21")</f>
        <v>0</v>
      </c>
      <c r="H87" s="652">
        <f t="shared" si="16"/>
        <v>40144.910000000003</v>
      </c>
      <c r="I87" s="652">
        <v>-375297.85</v>
      </c>
      <c r="J87" s="684">
        <v>0</v>
      </c>
      <c r="K87" s="652">
        <f>SUMIFS(OBE!$H:$H,OBE!$C:$C,'Standalone TB'!$B87,OBE!$B:$B,"A22")</f>
        <v>0</v>
      </c>
      <c r="L87" s="652">
        <f>SUMIFS('Elimination - BS'!I:I,'Elimination - BS'!D:D,'Standalone TB'!B87,'Elimination - BS'!A:A,"EA22")</f>
        <v>0</v>
      </c>
      <c r="M87" s="652">
        <f t="shared" si="10"/>
        <v>0</v>
      </c>
      <c r="N87" s="652">
        <f t="shared" si="11"/>
        <v>0</v>
      </c>
      <c r="O87" s="652">
        <v>0</v>
      </c>
      <c r="P87" s="685">
        <v>0</v>
      </c>
      <c r="Q87" s="684">
        <v>0</v>
      </c>
      <c r="R87" s="652">
        <f>SUMIFS(OBE!$H:$H,OBE!$C:$C,'Standalone TB'!$B87,OBE!$B:$B,"A20")</f>
        <v>0</v>
      </c>
      <c r="S87" s="652">
        <f>SUMIFS('Elimination - BS'!I:I,'Elimination - BS'!D:D,'Standalone TB'!B87,'Elimination - BS'!A:A,"EA20")</f>
        <v>0</v>
      </c>
      <c r="T87" s="652">
        <f t="shared" si="12"/>
        <v>0</v>
      </c>
      <c r="U87" s="652">
        <f t="shared" si="13"/>
        <v>0</v>
      </c>
      <c r="V87" s="652">
        <v>0</v>
      </c>
      <c r="W87" s="685">
        <v>0</v>
      </c>
      <c r="X87" s="689">
        <f t="shared" si="14"/>
        <v>40144.910000000003</v>
      </c>
      <c r="Y87" s="689">
        <f t="shared" si="15"/>
        <v>-375297.85</v>
      </c>
      <c r="Z87" s="652" t="s">
        <v>718</v>
      </c>
      <c r="AA87" s="652" t="s">
        <v>35</v>
      </c>
      <c r="AB87" s="666" t="s">
        <v>1729</v>
      </c>
      <c r="AD87" s="665"/>
    </row>
    <row r="88" spans="1:30" hidden="1" x14ac:dyDescent="0.2">
      <c r="B88" s="673" t="s">
        <v>1654</v>
      </c>
      <c r="C88" s="666" t="s">
        <v>1856</v>
      </c>
      <c r="D88" s="666" t="s">
        <v>3</v>
      </c>
      <c r="E88" s="684">
        <v>-987863.14</v>
      </c>
      <c r="F88" s="652">
        <f>SUMIFS(OBE!$H:$H,OBE!$C:$C,'Standalone TB'!$B88,OBE!$B:$B,"A21")</f>
        <v>-1311391</v>
      </c>
      <c r="G88" s="652">
        <f>SUMIFS('Elimination - BS'!I:I,'Elimination - BS'!D:D,'Standalone TB'!B88,'Elimination - BS'!A:A,"EA21")</f>
        <v>0</v>
      </c>
      <c r="H88" s="652">
        <f t="shared" si="16"/>
        <v>-2299254.14</v>
      </c>
      <c r="I88" s="652">
        <v>-697086.54</v>
      </c>
      <c r="J88" s="684">
        <v>0</v>
      </c>
      <c r="K88" s="652">
        <f>SUMIFS(OBE!$H:$H,OBE!$C:$C,'Standalone TB'!$B88,OBE!$B:$B,"A22")</f>
        <v>0</v>
      </c>
      <c r="L88" s="652">
        <f>SUMIFS('Elimination - BS'!I:I,'Elimination - BS'!D:D,'Standalone TB'!B88,'Elimination - BS'!A:A,"EA22")</f>
        <v>0</v>
      </c>
      <c r="M88" s="652">
        <f t="shared" si="10"/>
        <v>0</v>
      </c>
      <c r="N88" s="652">
        <f t="shared" si="11"/>
        <v>0</v>
      </c>
      <c r="O88" s="652">
        <v>0</v>
      </c>
      <c r="P88" s="685">
        <v>0</v>
      </c>
      <c r="Q88" s="684">
        <v>0</v>
      </c>
      <c r="R88" s="652">
        <f>SUMIFS(OBE!$H:$H,OBE!$C:$C,'Standalone TB'!$B88,OBE!$B:$B,"A20")</f>
        <v>0</v>
      </c>
      <c r="S88" s="652">
        <f>SUMIFS('Elimination - BS'!I:I,'Elimination - BS'!D:D,'Standalone TB'!B88,'Elimination - BS'!A:A,"EA20")</f>
        <v>0</v>
      </c>
      <c r="T88" s="652">
        <f t="shared" si="12"/>
        <v>0</v>
      </c>
      <c r="U88" s="652">
        <f t="shared" si="13"/>
        <v>0</v>
      </c>
      <c r="V88" s="652">
        <v>0</v>
      </c>
      <c r="W88" s="685">
        <v>0</v>
      </c>
      <c r="X88" s="689">
        <f t="shared" si="14"/>
        <v>-2299254.14</v>
      </c>
      <c r="Y88" s="689">
        <f t="shared" si="15"/>
        <v>-697086.54</v>
      </c>
      <c r="Z88" s="652" t="s">
        <v>718</v>
      </c>
      <c r="AA88" s="652" t="s">
        <v>35</v>
      </c>
      <c r="AB88" s="666" t="s">
        <v>1729</v>
      </c>
      <c r="AD88" s="665"/>
    </row>
    <row r="89" spans="1:30" hidden="1" x14ac:dyDescent="0.2">
      <c r="B89" s="673" t="s">
        <v>1655</v>
      </c>
      <c r="C89" s="666" t="s">
        <v>1857</v>
      </c>
      <c r="D89" s="666" t="s">
        <v>3</v>
      </c>
      <c r="E89" s="684">
        <v>-14089856.800000001</v>
      </c>
      <c r="F89" s="652">
        <f>SUMIFS(OBE!$H:$H,OBE!$C:$C,'Standalone TB'!$B89,OBE!$B:$B,"A21")</f>
        <v>-6909919</v>
      </c>
      <c r="G89" s="652">
        <f>SUMIFS('Elimination - BS'!I:I,'Elimination - BS'!D:D,'Standalone TB'!B89,'Elimination - BS'!A:A,"EA21")</f>
        <v>0</v>
      </c>
      <c r="H89" s="652">
        <f t="shared" si="16"/>
        <v>-20999775.800000001</v>
      </c>
      <c r="I89" s="652">
        <v>-42504661.999999993</v>
      </c>
      <c r="J89" s="684">
        <v>0</v>
      </c>
      <c r="K89" s="652">
        <f>SUMIFS(OBE!$H:$H,OBE!$C:$C,'Standalone TB'!$B89,OBE!$B:$B,"A22")</f>
        <v>0</v>
      </c>
      <c r="L89" s="652">
        <f>SUMIFS('Elimination - BS'!I:I,'Elimination - BS'!D:D,'Standalone TB'!B89,'Elimination - BS'!A:A,"EA22")</f>
        <v>0</v>
      </c>
      <c r="M89" s="652">
        <f t="shared" si="10"/>
        <v>0</v>
      </c>
      <c r="N89" s="652">
        <f t="shared" si="11"/>
        <v>0</v>
      </c>
      <c r="O89" s="652">
        <v>0</v>
      </c>
      <c r="P89" s="685">
        <v>0</v>
      </c>
      <c r="Q89" s="684">
        <v>0</v>
      </c>
      <c r="R89" s="652">
        <f>SUMIFS(OBE!$H:$H,OBE!$C:$C,'Standalone TB'!$B89,OBE!$B:$B,"A20")</f>
        <v>0</v>
      </c>
      <c r="S89" s="652">
        <f>SUMIFS('Elimination - BS'!I:I,'Elimination - BS'!D:D,'Standalone TB'!B89,'Elimination - BS'!A:A,"EA20")</f>
        <v>0</v>
      </c>
      <c r="T89" s="652">
        <f t="shared" si="12"/>
        <v>0</v>
      </c>
      <c r="U89" s="652">
        <f t="shared" si="13"/>
        <v>0</v>
      </c>
      <c r="V89" s="652">
        <v>0</v>
      </c>
      <c r="W89" s="685">
        <v>0</v>
      </c>
      <c r="X89" s="689">
        <f t="shared" si="14"/>
        <v>-20999775.800000001</v>
      </c>
      <c r="Y89" s="689">
        <f t="shared" si="15"/>
        <v>-42504661.999999993</v>
      </c>
      <c r="Z89" s="652" t="s">
        <v>718</v>
      </c>
      <c r="AA89" s="652" t="s">
        <v>35</v>
      </c>
      <c r="AB89" s="666" t="s">
        <v>1729</v>
      </c>
      <c r="AD89" s="665"/>
    </row>
    <row r="90" spans="1:30" hidden="1" x14ac:dyDescent="0.2">
      <c r="B90" s="673" t="s">
        <v>1858</v>
      </c>
      <c r="C90" s="666" t="s">
        <v>1859</v>
      </c>
      <c r="D90" s="666" t="s">
        <v>3</v>
      </c>
      <c r="E90" s="684">
        <v>0</v>
      </c>
      <c r="F90" s="652">
        <f>SUMIFS(OBE!$H:$H,OBE!$C:$C,'Standalone TB'!$B90,OBE!$B:$B,"A21")</f>
        <v>0</v>
      </c>
      <c r="G90" s="652">
        <f>SUMIFS('Elimination - BS'!I:I,'Elimination - BS'!D:D,'Standalone TB'!B90,'Elimination - BS'!A:A,"EA21")</f>
        <v>0</v>
      </c>
      <c r="H90" s="652">
        <f t="shared" si="16"/>
        <v>0</v>
      </c>
      <c r="I90" s="652">
        <v>0</v>
      </c>
      <c r="J90" s="684">
        <v>0</v>
      </c>
      <c r="K90" s="652">
        <f>SUMIFS(OBE!$H:$H,OBE!$C:$C,'Standalone TB'!$B90,OBE!$B:$B,"A22")</f>
        <v>0</v>
      </c>
      <c r="L90" s="652">
        <f>SUMIFS('Elimination - BS'!I:I,'Elimination - BS'!D:D,'Standalone TB'!B90,'Elimination - BS'!A:A,"EA22")</f>
        <v>0</v>
      </c>
      <c r="M90" s="652">
        <f t="shared" si="10"/>
        <v>0</v>
      </c>
      <c r="N90" s="652">
        <f t="shared" si="11"/>
        <v>0</v>
      </c>
      <c r="O90" s="652">
        <v>0</v>
      </c>
      <c r="P90" s="685">
        <v>0</v>
      </c>
      <c r="Q90" s="684">
        <v>0</v>
      </c>
      <c r="R90" s="652">
        <f>SUMIFS(OBE!$H:$H,OBE!$C:$C,'Standalone TB'!$B90,OBE!$B:$B,"A20")</f>
        <v>0</v>
      </c>
      <c r="S90" s="652">
        <f>SUMIFS('Elimination - BS'!I:I,'Elimination - BS'!D:D,'Standalone TB'!B90,'Elimination - BS'!A:A,"EA20")</f>
        <v>0</v>
      </c>
      <c r="T90" s="652">
        <f t="shared" si="12"/>
        <v>0</v>
      </c>
      <c r="U90" s="652">
        <f t="shared" si="13"/>
        <v>0</v>
      </c>
      <c r="V90" s="652">
        <v>0</v>
      </c>
      <c r="W90" s="685">
        <v>0</v>
      </c>
      <c r="X90" s="689">
        <f t="shared" si="14"/>
        <v>0</v>
      </c>
      <c r="Y90" s="689">
        <f t="shared" si="15"/>
        <v>0</v>
      </c>
      <c r="Z90" s="652" t="s">
        <v>718</v>
      </c>
      <c r="AA90" s="652" t="s">
        <v>35</v>
      </c>
      <c r="AB90" s="666" t="s">
        <v>1729</v>
      </c>
      <c r="AD90" s="665"/>
    </row>
    <row r="91" spans="1:30" hidden="1" x14ac:dyDescent="0.2">
      <c r="A91" s="652" t="e">
        <f>#REF!+#REF!+#REF!+#REF!+#REF!+#REF!+#REF!</f>
        <v>#REF!</v>
      </c>
      <c r="B91" s="673" t="s">
        <v>1642</v>
      </c>
      <c r="C91" s="666" t="s">
        <v>1860</v>
      </c>
      <c r="D91" s="666" t="s">
        <v>3</v>
      </c>
      <c r="E91" s="684">
        <v>-6228670.3799999999</v>
      </c>
      <c r="F91" s="652">
        <f>SUMIFS(OBE!$H:$H,OBE!$C:$C,'Standalone TB'!$B91,OBE!$B:$B,"A21")</f>
        <v>-139974</v>
      </c>
      <c r="G91" s="652">
        <f>SUMIFS('Elimination - BS'!I:I,'Elimination - BS'!D:D,'Standalone TB'!B91,'Elimination - BS'!A:A,"EA21")</f>
        <v>0</v>
      </c>
      <c r="H91" s="652">
        <f t="shared" si="16"/>
        <v>-6368644.3799999999</v>
      </c>
      <c r="I91" s="652">
        <v>-8681017.3800000008</v>
      </c>
      <c r="J91" s="684">
        <v>0</v>
      </c>
      <c r="K91" s="652">
        <f>SUMIFS(OBE!$H:$H,OBE!$C:$C,'Standalone TB'!$B91,OBE!$B:$B,"A22")</f>
        <v>0</v>
      </c>
      <c r="L91" s="652">
        <f>SUMIFS('Elimination - BS'!I:I,'Elimination - BS'!D:D,'Standalone TB'!B91,'Elimination - BS'!A:A,"EA22")</f>
        <v>0</v>
      </c>
      <c r="M91" s="652">
        <f t="shared" si="10"/>
        <v>0</v>
      </c>
      <c r="N91" s="652">
        <f t="shared" si="11"/>
        <v>0</v>
      </c>
      <c r="O91" s="652">
        <v>0</v>
      </c>
      <c r="P91" s="685">
        <v>0</v>
      </c>
      <c r="Q91" s="684">
        <v>0</v>
      </c>
      <c r="R91" s="652">
        <f>SUMIFS(OBE!$H:$H,OBE!$C:$C,'Standalone TB'!$B91,OBE!$B:$B,"A20")</f>
        <v>0</v>
      </c>
      <c r="S91" s="652">
        <f>SUMIFS('Elimination - BS'!I:I,'Elimination - BS'!D:D,'Standalone TB'!B91,'Elimination - BS'!A:A,"EA20")</f>
        <v>0</v>
      </c>
      <c r="T91" s="652">
        <f t="shared" si="12"/>
        <v>0</v>
      </c>
      <c r="U91" s="652">
        <f t="shared" si="13"/>
        <v>0</v>
      </c>
      <c r="V91" s="652">
        <v>0</v>
      </c>
      <c r="W91" s="685">
        <v>0</v>
      </c>
      <c r="X91" s="689">
        <f t="shared" si="14"/>
        <v>-6368644.3799999999</v>
      </c>
      <c r="Y91" s="689">
        <f t="shared" si="15"/>
        <v>-8681017.3800000008</v>
      </c>
      <c r="Z91" s="652" t="s">
        <v>718</v>
      </c>
      <c r="AA91" s="652" t="s">
        <v>35</v>
      </c>
      <c r="AB91" s="666" t="s">
        <v>1729</v>
      </c>
      <c r="AD91" s="665"/>
    </row>
    <row r="92" spans="1:30" hidden="1" x14ac:dyDescent="0.2">
      <c r="B92" s="673" t="s">
        <v>1861</v>
      </c>
      <c r="C92" s="666" t="s">
        <v>1862</v>
      </c>
      <c r="D92" s="666" t="s">
        <v>3</v>
      </c>
      <c r="E92" s="684">
        <v>0</v>
      </c>
      <c r="F92" s="652">
        <f>SUMIFS(OBE!$H:$H,OBE!$C:$C,'Standalone TB'!$B92,OBE!$B:$B,"A21")</f>
        <v>0</v>
      </c>
      <c r="G92" s="652">
        <f>SUMIFS('Elimination - BS'!I:I,'Elimination - BS'!D:D,'Standalone TB'!B92,'Elimination - BS'!A:A,"EA21")</f>
        <v>0</v>
      </c>
      <c r="H92" s="652">
        <f t="shared" si="16"/>
        <v>0</v>
      </c>
      <c r="I92" s="652">
        <v>0</v>
      </c>
      <c r="J92" s="684">
        <v>0</v>
      </c>
      <c r="K92" s="652">
        <f>SUMIFS(OBE!$H:$H,OBE!$C:$C,'Standalone TB'!$B92,OBE!$B:$B,"A22")</f>
        <v>0</v>
      </c>
      <c r="L92" s="652">
        <f>SUMIFS('Elimination - BS'!I:I,'Elimination - BS'!D:D,'Standalone TB'!B92,'Elimination - BS'!A:A,"EA22")</f>
        <v>0</v>
      </c>
      <c r="M92" s="652">
        <f t="shared" si="10"/>
        <v>0</v>
      </c>
      <c r="N92" s="652">
        <f t="shared" si="11"/>
        <v>0</v>
      </c>
      <c r="O92" s="652">
        <v>0</v>
      </c>
      <c r="P92" s="685">
        <v>0</v>
      </c>
      <c r="Q92" s="684">
        <v>0</v>
      </c>
      <c r="R92" s="652">
        <f>SUMIFS(OBE!$H:$H,OBE!$C:$C,'Standalone TB'!$B92,OBE!$B:$B,"A20")</f>
        <v>0</v>
      </c>
      <c r="S92" s="652">
        <f>SUMIFS('Elimination - BS'!I:I,'Elimination - BS'!D:D,'Standalone TB'!B92,'Elimination - BS'!A:A,"EA20")</f>
        <v>0</v>
      </c>
      <c r="T92" s="652">
        <f t="shared" si="12"/>
        <v>0</v>
      </c>
      <c r="U92" s="652">
        <f t="shared" si="13"/>
        <v>0</v>
      </c>
      <c r="V92" s="652">
        <v>0</v>
      </c>
      <c r="W92" s="685">
        <v>0</v>
      </c>
      <c r="X92" s="689">
        <f t="shared" si="14"/>
        <v>0</v>
      </c>
      <c r="Y92" s="689">
        <f t="shared" si="15"/>
        <v>0</v>
      </c>
      <c r="Z92" s="652" t="s">
        <v>718</v>
      </c>
      <c r="AA92" s="652" t="s">
        <v>35</v>
      </c>
      <c r="AB92" s="666" t="s">
        <v>1729</v>
      </c>
      <c r="AD92" s="665"/>
    </row>
    <row r="93" spans="1:30" hidden="1" x14ac:dyDescent="0.2">
      <c r="B93" s="673" t="s">
        <v>1863</v>
      </c>
      <c r="C93" s="666" t="s">
        <v>1864</v>
      </c>
      <c r="D93" s="666" t="s">
        <v>3</v>
      </c>
      <c r="E93" s="684">
        <v>-0.2</v>
      </c>
      <c r="F93" s="652">
        <f>SUMIFS(OBE!$H:$H,OBE!$C:$C,'Standalone TB'!$B93,OBE!$B:$B,"A21")</f>
        <v>0</v>
      </c>
      <c r="G93" s="652">
        <f>SUMIFS('Elimination - BS'!I:I,'Elimination - BS'!D:D,'Standalone TB'!B93,'Elimination - BS'!A:A,"EA21")</f>
        <v>0</v>
      </c>
      <c r="H93" s="652">
        <f t="shared" si="16"/>
        <v>-0.2</v>
      </c>
      <c r="I93" s="652">
        <v>-0.20000000001164153</v>
      </c>
      <c r="J93" s="684">
        <v>0</v>
      </c>
      <c r="K93" s="652">
        <f>SUMIFS(OBE!$H:$H,OBE!$C:$C,'Standalone TB'!$B93,OBE!$B:$B,"A22")</f>
        <v>0</v>
      </c>
      <c r="L93" s="652">
        <f>SUMIFS('Elimination - BS'!I:I,'Elimination - BS'!D:D,'Standalone TB'!B93,'Elimination - BS'!A:A,"EA22")</f>
        <v>0</v>
      </c>
      <c r="M93" s="652">
        <f t="shared" si="10"/>
        <v>0</v>
      </c>
      <c r="N93" s="652">
        <f t="shared" si="11"/>
        <v>0</v>
      </c>
      <c r="O93" s="652">
        <v>0</v>
      </c>
      <c r="P93" s="685">
        <v>0</v>
      </c>
      <c r="Q93" s="684">
        <v>0</v>
      </c>
      <c r="R93" s="652">
        <f>SUMIFS(OBE!$H:$H,OBE!$C:$C,'Standalone TB'!$B93,OBE!$B:$B,"A20")</f>
        <v>0</v>
      </c>
      <c r="S93" s="652">
        <f>SUMIFS('Elimination - BS'!I:I,'Elimination - BS'!D:D,'Standalone TB'!B93,'Elimination - BS'!A:A,"EA20")</f>
        <v>0</v>
      </c>
      <c r="T93" s="652">
        <f t="shared" si="12"/>
        <v>0</v>
      </c>
      <c r="U93" s="652">
        <f t="shared" si="13"/>
        <v>0</v>
      </c>
      <c r="V93" s="652">
        <v>0</v>
      </c>
      <c r="W93" s="685">
        <v>0</v>
      </c>
      <c r="X93" s="689">
        <f t="shared" si="14"/>
        <v>-0.2</v>
      </c>
      <c r="Y93" s="689">
        <f t="shared" si="15"/>
        <v>-0.20000000001164153</v>
      </c>
      <c r="Z93" s="652" t="s">
        <v>718</v>
      </c>
      <c r="AA93" s="652" t="s">
        <v>35</v>
      </c>
      <c r="AB93" s="666" t="s">
        <v>1729</v>
      </c>
      <c r="AD93" s="665"/>
    </row>
    <row r="94" spans="1:30" hidden="1" x14ac:dyDescent="0.2">
      <c r="B94" s="673" t="s">
        <v>1865</v>
      </c>
      <c r="C94" s="666" t="s">
        <v>1866</v>
      </c>
      <c r="D94" s="666" t="s">
        <v>3</v>
      </c>
      <c r="E94" s="684">
        <v>-829813</v>
      </c>
      <c r="F94" s="652">
        <f>SUMIFS(OBE!$H:$H,OBE!$C:$C,'Standalone TB'!$B94,OBE!$B:$B,"A21")</f>
        <v>738579</v>
      </c>
      <c r="G94" s="652">
        <f>SUMIFS('Elimination - BS'!I:I,'Elimination - BS'!D:D,'Standalone TB'!B94,'Elimination - BS'!A:A,"EA21")</f>
        <v>0</v>
      </c>
      <c r="H94" s="652">
        <f t="shared" si="16"/>
        <v>-91234</v>
      </c>
      <c r="I94" s="652">
        <v>-0.20000000001164153</v>
      </c>
      <c r="J94" s="684">
        <v>0</v>
      </c>
      <c r="K94" s="652">
        <f>SUMIFS(OBE!$H:$H,OBE!$C:$C,'Standalone TB'!$B94,OBE!$B:$B,"A22")</f>
        <v>0</v>
      </c>
      <c r="L94" s="652">
        <f>SUMIFS('Elimination - BS'!I:I,'Elimination - BS'!D:D,'Standalone TB'!B94,'Elimination - BS'!A:A,"EA22")</f>
        <v>0</v>
      </c>
      <c r="M94" s="652">
        <f t="shared" si="10"/>
        <v>0</v>
      </c>
      <c r="N94" s="652">
        <f t="shared" si="11"/>
        <v>0</v>
      </c>
      <c r="P94" s="685"/>
      <c r="Q94" s="684">
        <v>0</v>
      </c>
      <c r="R94" s="652">
        <f>SUMIFS(OBE!$H:$H,OBE!$C:$C,'Standalone TB'!$B94,OBE!$B:$B,"A20")</f>
        <v>0</v>
      </c>
      <c r="S94" s="652">
        <f>SUMIFS('Elimination - BS'!I:I,'Elimination - BS'!D:D,'Standalone TB'!B94,'Elimination - BS'!A:A,"EA20")</f>
        <v>0</v>
      </c>
      <c r="T94" s="652">
        <f t="shared" si="12"/>
        <v>0</v>
      </c>
      <c r="U94" s="652">
        <f t="shared" si="13"/>
        <v>0</v>
      </c>
      <c r="W94" s="685"/>
      <c r="X94" s="689">
        <f t="shared" si="14"/>
        <v>-91234</v>
      </c>
      <c r="Y94" s="689">
        <f t="shared" si="15"/>
        <v>-0.20000000001164153</v>
      </c>
      <c r="Z94" s="652" t="s">
        <v>712</v>
      </c>
      <c r="AA94" s="652" t="s">
        <v>35</v>
      </c>
      <c r="AB94" s="666" t="s">
        <v>1729</v>
      </c>
      <c r="AC94" s="666" t="s">
        <v>1867</v>
      </c>
      <c r="AD94" s="665"/>
    </row>
    <row r="95" spans="1:30" hidden="1" x14ac:dyDescent="0.2">
      <c r="B95" s="673" t="s">
        <v>1868</v>
      </c>
      <c r="C95" s="666" t="s">
        <v>1869</v>
      </c>
      <c r="D95" s="666" t="s">
        <v>3</v>
      </c>
      <c r="E95" s="684">
        <v>0</v>
      </c>
      <c r="F95" s="652">
        <f>SUMIFS(OBE!$H:$H,OBE!$C:$C,'Standalone TB'!$B95,OBE!$B:$B,"A21")</f>
        <v>0</v>
      </c>
      <c r="G95" s="652">
        <f>SUMIFS('Elimination - BS'!I:I,'Elimination - BS'!D:D,'Standalone TB'!B95,'Elimination - BS'!A:A,"EA21")</f>
        <v>0</v>
      </c>
      <c r="H95" s="652">
        <f t="shared" si="16"/>
        <v>0</v>
      </c>
      <c r="I95" s="652">
        <v>0</v>
      </c>
      <c r="J95" s="684">
        <v>0</v>
      </c>
      <c r="K95" s="652">
        <f>SUMIFS(OBE!$H:$H,OBE!$C:$C,'Standalone TB'!$B95,OBE!$B:$B,"A22")</f>
        <v>0</v>
      </c>
      <c r="L95" s="652">
        <f>SUMIFS('Elimination - BS'!I:I,'Elimination - BS'!D:D,'Standalone TB'!B95,'Elimination - BS'!A:A,"EA22")</f>
        <v>0</v>
      </c>
      <c r="M95" s="652">
        <f t="shared" si="10"/>
        <v>0</v>
      </c>
      <c r="N95" s="652">
        <f t="shared" si="11"/>
        <v>0</v>
      </c>
      <c r="O95" s="652">
        <v>0</v>
      </c>
      <c r="P95" s="685">
        <v>0</v>
      </c>
      <c r="Q95" s="684">
        <v>0</v>
      </c>
      <c r="R95" s="652">
        <f>SUMIFS(OBE!$H:$H,OBE!$C:$C,'Standalone TB'!$B95,OBE!$B:$B,"A20")</f>
        <v>0</v>
      </c>
      <c r="S95" s="652">
        <f>SUMIFS('Elimination - BS'!I:I,'Elimination - BS'!D:D,'Standalone TB'!B95,'Elimination - BS'!A:A,"EA20")</f>
        <v>0</v>
      </c>
      <c r="T95" s="652">
        <f t="shared" si="12"/>
        <v>0</v>
      </c>
      <c r="U95" s="652">
        <f t="shared" si="13"/>
        <v>0</v>
      </c>
      <c r="V95" s="652">
        <v>0</v>
      </c>
      <c r="W95" s="685">
        <v>0</v>
      </c>
      <c r="X95" s="689">
        <f t="shared" si="14"/>
        <v>0</v>
      </c>
      <c r="Y95" s="689">
        <f t="shared" si="15"/>
        <v>0</v>
      </c>
      <c r="Z95" s="652" t="s">
        <v>718</v>
      </c>
      <c r="AA95" s="652" t="s">
        <v>35</v>
      </c>
      <c r="AB95" s="666" t="s">
        <v>1729</v>
      </c>
      <c r="AD95" s="665"/>
    </row>
    <row r="96" spans="1:30" hidden="1" x14ac:dyDescent="0.2">
      <c r="B96" s="673" t="s">
        <v>1643</v>
      </c>
      <c r="C96" s="666" t="s">
        <v>1870</v>
      </c>
      <c r="D96" s="666" t="s">
        <v>3</v>
      </c>
      <c r="E96" s="684">
        <v>-234600</v>
      </c>
      <c r="F96" s="652">
        <f>SUMIFS(OBE!$H:$H,OBE!$C:$C,'Standalone TB'!$B96,OBE!$B:$B,"A21")</f>
        <v>-400</v>
      </c>
      <c r="G96" s="652">
        <f>SUMIFS('Elimination - BS'!I:I,'Elimination - BS'!D:D,'Standalone TB'!B96,'Elimination - BS'!A:A,"EA21")</f>
        <v>0</v>
      </c>
      <c r="H96" s="652">
        <f t="shared" si="16"/>
        <v>-235000</v>
      </c>
      <c r="I96" s="652">
        <v>-173200</v>
      </c>
      <c r="J96" s="684">
        <v>0</v>
      </c>
      <c r="K96" s="652">
        <f>SUMIFS(OBE!$H:$H,OBE!$C:$C,'Standalone TB'!$B96,OBE!$B:$B,"A22")</f>
        <v>0</v>
      </c>
      <c r="L96" s="652">
        <f>SUMIFS('Elimination - BS'!I:I,'Elimination - BS'!D:D,'Standalone TB'!B96,'Elimination - BS'!A:A,"EA22")</f>
        <v>0</v>
      </c>
      <c r="M96" s="652">
        <f t="shared" si="10"/>
        <v>0</v>
      </c>
      <c r="N96" s="652">
        <f t="shared" si="11"/>
        <v>0</v>
      </c>
      <c r="O96" s="652">
        <v>0</v>
      </c>
      <c r="P96" s="685">
        <v>0</v>
      </c>
      <c r="Q96" s="684">
        <v>0</v>
      </c>
      <c r="R96" s="652">
        <f>SUMIFS(OBE!$H:$H,OBE!$C:$C,'Standalone TB'!$B96,OBE!$B:$B,"A20")</f>
        <v>0</v>
      </c>
      <c r="S96" s="652">
        <f>SUMIFS('Elimination - BS'!I:I,'Elimination - BS'!D:D,'Standalone TB'!B96,'Elimination - BS'!A:A,"EA20")</f>
        <v>0</v>
      </c>
      <c r="T96" s="652">
        <f t="shared" si="12"/>
        <v>0</v>
      </c>
      <c r="U96" s="652">
        <f t="shared" si="13"/>
        <v>0</v>
      </c>
      <c r="V96" s="652">
        <v>0</v>
      </c>
      <c r="W96" s="685">
        <v>0</v>
      </c>
      <c r="X96" s="689">
        <f t="shared" si="14"/>
        <v>-235000</v>
      </c>
      <c r="Y96" s="689">
        <f t="shared" si="15"/>
        <v>-173200</v>
      </c>
      <c r="Z96" s="652" t="s">
        <v>718</v>
      </c>
      <c r="AA96" s="652" t="s">
        <v>35</v>
      </c>
      <c r="AB96" s="666" t="s">
        <v>1729</v>
      </c>
      <c r="AD96" s="665"/>
    </row>
    <row r="97" spans="2:30" hidden="1" x14ac:dyDescent="0.2">
      <c r="B97" s="673" t="s">
        <v>1871</v>
      </c>
      <c r="C97" s="666" t="s">
        <v>1872</v>
      </c>
      <c r="D97" s="666" t="s">
        <v>3</v>
      </c>
      <c r="E97" s="684">
        <v>-524440</v>
      </c>
      <c r="F97" s="652">
        <f>SUMIFS(OBE!$H:$H,OBE!$C:$C,'Standalone TB'!$B97,OBE!$B:$B,"A21")</f>
        <v>524440</v>
      </c>
      <c r="G97" s="652">
        <f>SUMIFS('Elimination - BS'!I:I,'Elimination - BS'!D:D,'Standalone TB'!B97,'Elimination - BS'!A:A,"EA21")</f>
        <v>0</v>
      </c>
      <c r="H97" s="652">
        <f t="shared" si="16"/>
        <v>0</v>
      </c>
      <c r="I97" s="652">
        <v>0</v>
      </c>
      <c r="J97" s="684">
        <v>0</v>
      </c>
      <c r="K97" s="652">
        <f>SUMIFS(OBE!$H:$H,OBE!$C:$C,'Standalone TB'!$B97,OBE!$B:$B,"A22")</f>
        <v>0</v>
      </c>
      <c r="L97" s="652">
        <f>SUMIFS('Elimination - BS'!I:I,'Elimination - BS'!D:D,'Standalone TB'!B97,'Elimination - BS'!A:A,"EA22")</f>
        <v>0</v>
      </c>
      <c r="M97" s="652">
        <f t="shared" si="10"/>
        <v>0</v>
      </c>
      <c r="N97" s="652">
        <f t="shared" si="11"/>
        <v>0</v>
      </c>
      <c r="O97" s="652">
        <v>0</v>
      </c>
      <c r="P97" s="685">
        <v>0</v>
      </c>
      <c r="Q97" s="684">
        <v>0</v>
      </c>
      <c r="R97" s="652">
        <f>SUMIFS(OBE!$H:$H,OBE!$C:$C,'Standalone TB'!$B97,OBE!$B:$B,"A20")</f>
        <v>0</v>
      </c>
      <c r="S97" s="652">
        <f>SUMIFS('Elimination - BS'!I:I,'Elimination - BS'!D:D,'Standalone TB'!B97,'Elimination - BS'!A:A,"EA20")</f>
        <v>0</v>
      </c>
      <c r="T97" s="652">
        <f t="shared" si="12"/>
        <v>0</v>
      </c>
      <c r="U97" s="652">
        <f t="shared" si="13"/>
        <v>0</v>
      </c>
      <c r="V97" s="652">
        <v>0</v>
      </c>
      <c r="W97" s="685">
        <v>0</v>
      </c>
      <c r="X97" s="689">
        <f t="shared" si="14"/>
        <v>0</v>
      </c>
      <c r="Y97" s="689">
        <f t="shared" si="15"/>
        <v>0</v>
      </c>
      <c r="Z97" s="652" t="s">
        <v>712</v>
      </c>
      <c r="AA97" s="652" t="s">
        <v>35</v>
      </c>
      <c r="AB97" s="666" t="s">
        <v>1729</v>
      </c>
      <c r="AC97" s="666" t="s">
        <v>1867</v>
      </c>
      <c r="AD97" s="665"/>
    </row>
    <row r="98" spans="2:30" hidden="1" x14ac:dyDescent="0.2">
      <c r="B98" s="673" t="s">
        <v>1873</v>
      </c>
      <c r="C98" s="666" t="s">
        <v>1874</v>
      </c>
      <c r="D98" s="666" t="s">
        <v>3</v>
      </c>
      <c r="E98" s="684">
        <v>0</v>
      </c>
      <c r="F98" s="652">
        <f>SUMIFS(OBE!$H:$H,OBE!$C:$C,'Standalone TB'!$B98,OBE!$B:$B,"A21")</f>
        <v>0</v>
      </c>
      <c r="G98" s="652">
        <f>SUMIFS('Elimination - BS'!I:I,'Elimination - BS'!D:D,'Standalone TB'!B98,'Elimination - BS'!A:A,"EA21")</f>
        <v>0</v>
      </c>
      <c r="H98" s="652">
        <f t="shared" si="16"/>
        <v>0</v>
      </c>
      <c r="I98" s="652">
        <v>0</v>
      </c>
      <c r="J98" s="684">
        <v>0</v>
      </c>
      <c r="K98" s="652">
        <f>SUMIFS(OBE!$H:$H,OBE!$C:$C,'Standalone TB'!$B98,OBE!$B:$B,"A22")</f>
        <v>0</v>
      </c>
      <c r="L98" s="652">
        <f>SUMIFS('Elimination - BS'!I:I,'Elimination - BS'!D:D,'Standalone TB'!B98,'Elimination - BS'!A:A,"EA22")</f>
        <v>0</v>
      </c>
      <c r="M98" s="652">
        <f t="shared" si="10"/>
        <v>0</v>
      </c>
      <c r="N98" s="652">
        <f t="shared" si="11"/>
        <v>0</v>
      </c>
      <c r="O98" s="652">
        <v>0</v>
      </c>
      <c r="P98" s="685">
        <v>0</v>
      </c>
      <c r="Q98" s="684">
        <v>192971.6</v>
      </c>
      <c r="R98" s="652">
        <f>SUMIFS(OBE!$H:$H,OBE!$C:$C,'Standalone TB'!$B98,OBE!$B:$B,"A20")</f>
        <v>0</v>
      </c>
      <c r="S98" s="652">
        <f>SUMIFS('Elimination - BS'!I:I,'Elimination - BS'!D:D,'Standalone TB'!B98,'Elimination - BS'!A:A,"EA20")</f>
        <v>0</v>
      </c>
      <c r="T98" s="652">
        <f t="shared" si="12"/>
        <v>192971.6</v>
      </c>
      <c r="U98" s="652">
        <f t="shared" si="13"/>
        <v>16511377.752310539</v>
      </c>
      <c r="V98" s="652">
        <v>0</v>
      </c>
      <c r="W98" s="685">
        <v>0</v>
      </c>
      <c r="X98" s="689">
        <f t="shared" si="14"/>
        <v>16511377.752310539</v>
      </c>
      <c r="Y98" s="689">
        <f t="shared" si="15"/>
        <v>0</v>
      </c>
      <c r="Z98" s="652" t="s">
        <v>718</v>
      </c>
      <c r="AA98" s="652" t="s">
        <v>35</v>
      </c>
      <c r="AB98" s="666" t="s">
        <v>1729</v>
      </c>
      <c r="AD98" s="665"/>
    </row>
    <row r="99" spans="2:30" hidden="1" x14ac:dyDescent="0.2">
      <c r="B99" s="673" t="s">
        <v>1875</v>
      </c>
      <c r="C99" s="666" t="s">
        <v>1876</v>
      </c>
      <c r="D99" s="666" t="s">
        <v>3</v>
      </c>
      <c r="E99" s="684">
        <v>0</v>
      </c>
      <c r="F99" s="652">
        <f>SUMIFS(OBE!$H:$H,OBE!$C:$C,'Standalone TB'!$B99,OBE!$B:$B,"A21")</f>
        <v>0</v>
      </c>
      <c r="G99" s="652">
        <f>SUMIFS('Elimination - BS'!I:I,'Elimination - BS'!D:D,'Standalone TB'!B99,'Elimination - BS'!A:A,"EA21")</f>
        <v>0</v>
      </c>
      <c r="H99" s="652">
        <f t="shared" si="16"/>
        <v>0</v>
      </c>
      <c r="I99" s="652">
        <v>0</v>
      </c>
      <c r="J99" s="684">
        <v>0</v>
      </c>
      <c r="K99" s="652">
        <f>SUMIFS(OBE!$H:$H,OBE!$C:$C,'Standalone TB'!$B99,OBE!$B:$B,"A22")</f>
        <v>0</v>
      </c>
      <c r="L99" s="652">
        <f>SUMIFS('Elimination - BS'!I:I,'Elimination - BS'!D:D,'Standalone TB'!B99,'Elimination - BS'!A:A,"EA22")</f>
        <v>0</v>
      </c>
      <c r="M99" s="652">
        <f t="shared" si="10"/>
        <v>0</v>
      </c>
      <c r="N99" s="652">
        <f t="shared" si="11"/>
        <v>0</v>
      </c>
      <c r="O99" s="652">
        <v>0</v>
      </c>
      <c r="P99" s="685">
        <v>0</v>
      </c>
      <c r="Q99" s="684">
        <v>0</v>
      </c>
      <c r="R99" s="652">
        <f>SUMIFS(OBE!$H:$H,OBE!$C:$C,'Standalone TB'!$B99,OBE!$B:$B,"A20")</f>
        <v>0</v>
      </c>
      <c r="S99" s="652">
        <f>SUMIFS('Elimination - BS'!I:I,'Elimination - BS'!D:D,'Standalone TB'!B99,'Elimination - BS'!A:A,"EA20")</f>
        <v>0</v>
      </c>
      <c r="T99" s="652">
        <f t="shared" si="12"/>
        <v>0</v>
      </c>
      <c r="U99" s="652">
        <f t="shared" si="13"/>
        <v>0</v>
      </c>
      <c r="V99" s="652">
        <v>0</v>
      </c>
      <c r="W99" s="685">
        <v>0</v>
      </c>
      <c r="X99" s="689">
        <f t="shared" si="14"/>
        <v>0</v>
      </c>
      <c r="Y99" s="689">
        <f t="shared" si="15"/>
        <v>0</v>
      </c>
      <c r="Z99" s="652" t="s">
        <v>718</v>
      </c>
      <c r="AA99" s="652" t="s">
        <v>35</v>
      </c>
      <c r="AB99" s="666" t="s">
        <v>1729</v>
      </c>
      <c r="AD99" s="665"/>
    </row>
    <row r="100" spans="2:30" hidden="1" x14ac:dyDescent="0.2">
      <c r="B100" s="673" t="s">
        <v>1644</v>
      </c>
      <c r="C100" s="666" t="s">
        <v>1877</v>
      </c>
      <c r="D100" s="666" t="s">
        <v>3</v>
      </c>
      <c r="E100" s="684">
        <v>-8384700</v>
      </c>
      <c r="F100" s="652">
        <f>SUMIFS(OBE!$H:$H,OBE!$C:$C,'Standalone TB'!$B100,OBE!$B:$B,"A21")</f>
        <v>-84455</v>
      </c>
      <c r="G100" s="652">
        <f>SUMIFS('Elimination - BS'!I:I,'Elimination - BS'!D:D,'Standalone TB'!B100,'Elimination - BS'!A:A,"EA21")</f>
        <v>0</v>
      </c>
      <c r="H100" s="652">
        <f t="shared" si="16"/>
        <v>-8469155</v>
      </c>
      <c r="I100" s="652">
        <v>-10631302</v>
      </c>
      <c r="J100" s="684">
        <v>0</v>
      </c>
      <c r="K100" s="652">
        <f>SUMIFS(OBE!$H:$H,OBE!$C:$C,'Standalone TB'!$B100,OBE!$B:$B,"A22")</f>
        <v>0</v>
      </c>
      <c r="L100" s="652">
        <f>SUMIFS('Elimination - BS'!I:I,'Elimination - BS'!D:D,'Standalone TB'!B100,'Elimination - BS'!A:A,"EA22")</f>
        <v>0</v>
      </c>
      <c r="M100" s="652">
        <f t="shared" si="10"/>
        <v>0</v>
      </c>
      <c r="N100" s="652">
        <f t="shared" si="11"/>
        <v>0</v>
      </c>
      <c r="O100" s="652">
        <v>0</v>
      </c>
      <c r="P100" s="685">
        <v>0</v>
      </c>
      <c r="Q100" s="684">
        <v>0</v>
      </c>
      <c r="R100" s="652">
        <f>SUMIFS(OBE!$H:$H,OBE!$C:$C,'Standalone TB'!$B100,OBE!$B:$B,"A20")</f>
        <v>0</v>
      </c>
      <c r="S100" s="652">
        <f>SUMIFS('Elimination - BS'!I:I,'Elimination - BS'!D:D,'Standalone TB'!B100,'Elimination - BS'!A:A,"EA20")</f>
        <v>0</v>
      </c>
      <c r="T100" s="652">
        <f t="shared" si="12"/>
        <v>0</v>
      </c>
      <c r="U100" s="652">
        <f t="shared" si="13"/>
        <v>0</v>
      </c>
      <c r="V100" s="652">
        <v>0</v>
      </c>
      <c r="W100" s="685">
        <v>0</v>
      </c>
      <c r="X100" s="689">
        <f t="shared" si="14"/>
        <v>-8469155</v>
      </c>
      <c r="Y100" s="689">
        <f t="shared" si="15"/>
        <v>-10631302</v>
      </c>
      <c r="Z100" s="652" t="s">
        <v>718</v>
      </c>
      <c r="AA100" s="652" t="s">
        <v>35</v>
      </c>
      <c r="AB100" s="666" t="s">
        <v>1729</v>
      </c>
      <c r="AD100" s="665"/>
    </row>
    <row r="101" spans="2:30" hidden="1" x14ac:dyDescent="0.2">
      <c r="B101" s="673" t="s">
        <v>1878</v>
      </c>
      <c r="C101" s="666" t="s">
        <v>1879</v>
      </c>
      <c r="D101" s="666" t="s">
        <v>3</v>
      </c>
      <c r="E101" s="684">
        <v>0</v>
      </c>
      <c r="F101" s="652">
        <f>SUMIFS(OBE!$H:$H,OBE!$C:$C,'Standalone TB'!$B101,OBE!$B:$B,"A21")</f>
        <v>0</v>
      </c>
      <c r="G101" s="652">
        <f>SUMIFS('Elimination - BS'!I:I,'Elimination - BS'!D:D,'Standalone TB'!B101,'Elimination - BS'!A:A,"EA21")</f>
        <v>0</v>
      </c>
      <c r="H101" s="652">
        <f t="shared" si="16"/>
        <v>0</v>
      </c>
      <c r="I101" s="652">
        <v>0</v>
      </c>
      <c r="J101" s="684">
        <v>0</v>
      </c>
      <c r="K101" s="652">
        <f>SUMIFS(OBE!$H:$H,OBE!$C:$C,'Standalone TB'!$B101,OBE!$B:$B,"A22")</f>
        <v>0</v>
      </c>
      <c r="L101" s="652">
        <f>SUMIFS('Elimination - BS'!I:I,'Elimination - BS'!D:D,'Standalone TB'!B101,'Elimination - BS'!A:A,"EA22")</f>
        <v>0</v>
      </c>
      <c r="M101" s="652">
        <f t="shared" si="10"/>
        <v>0</v>
      </c>
      <c r="N101" s="652">
        <f t="shared" si="11"/>
        <v>0</v>
      </c>
      <c r="O101" s="652">
        <v>0</v>
      </c>
      <c r="P101" s="685">
        <v>0</v>
      </c>
      <c r="Q101" s="684">
        <v>0</v>
      </c>
      <c r="R101" s="652">
        <f>SUMIFS(OBE!$H:$H,OBE!$C:$C,'Standalone TB'!$B101,OBE!$B:$B,"A20")</f>
        <v>0</v>
      </c>
      <c r="S101" s="652">
        <f>SUMIFS('Elimination - BS'!I:I,'Elimination - BS'!D:D,'Standalone TB'!B101,'Elimination - BS'!A:A,"EA20")</f>
        <v>0</v>
      </c>
      <c r="T101" s="652">
        <f t="shared" si="12"/>
        <v>0</v>
      </c>
      <c r="U101" s="652">
        <f t="shared" si="13"/>
        <v>0</v>
      </c>
      <c r="V101" s="652">
        <v>0</v>
      </c>
      <c r="W101" s="685">
        <v>0</v>
      </c>
      <c r="X101" s="689">
        <f t="shared" si="14"/>
        <v>0</v>
      </c>
      <c r="Y101" s="689">
        <f t="shared" si="15"/>
        <v>0</v>
      </c>
      <c r="Z101" s="652"/>
      <c r="AA101" s="652"/>
      <c r="AD101" s="665"/>
    </row>
    <row r="102" spans="2:30" hidden="1" x14ac:dyDescent="0.2">
      <c r="B102" s="673" t="s">
        <v>1880</v>
      </c>
      <c r="C102" s="666" t="s">
        <v>1881</v>
      </c>
      <c r="D102" s="666" t="s">
        <v>3</v>
      </c>
      <c r="E102" s="684">
        <v>0</v>
      </c>
      <c r="F102" s="652">
        <f>SUMIFS(OBE!$H:$H,OBE!$C:$C,'Standalone TB'!$B102,OBE!$B:$B,"A21")</f>
        <v>0</v>
      </c>
      <c r="G102" s="652">
        <f>SUMIFS('Elimination - BS'!I:I,'Elimination - BS'!D:D,'Standalone TB'!B102,'Elimination - BS'!A:A,"EA21")</f>
        <v>0</v>
      </c>
      <c r="H102" s="652">
        <f t="shared" si="16"/>
        <v>0</v>
      </c>
      <c r="I102" s="652">
        <v>0</v>
      </c>
      <c r="J102" s="684">
        <v>0</v>
      </c>
      <c r="K102" s="652">
        <f>SUMIFS(OBE!$H:$H,OBE!$C:$C,'Standalone TB'!$B102,OBE!$B:$B,"A22")</f>
        <v>0</v>
      </c>
      <c r="L102" s="652">
        <f>SUMIFS('Elimination - BS'!I:I,'Elimination - BS'!D:D,'Standalone TB'!B102,'Elimination - BS'!A:A,"EA22")</f>
        <v>0</v>
      </c>
      <c r="M102" s="652">
        <f t="shared" si="10"/>
        <v>0</v>
      </c>
      <c r="N102" s="652">
        <f t="shared" si="11"/>
        <v>0</v>
      </c>
      <c r="O102" s="652">
        <v>0</v>
      </c>
      <c r="P102" s="685">
        <v>0</v>
      </c>
      <c r="Q102" s="684">
        <v>0</v>
      </c>
      <c r="R102" s="652">
        <f>SUMIFS(OBE!$H:$H,OBE!$C:$C,'Standalone TB'!$B102,OBE!$B:$B,"A20")</f>
        <v>0</v>
      </c>
      <c r="S102" s="652">
        <f>SUMIFS('Elimination - BS'!I:I,'Elimination - BS'!D:D,'Standalone TB'!B102,'Elimination - BS'!A:A,"EA20")</f>
        <v>0</v>
      </c>
      <c r="T102" s="652">
        <f t="shared" si="12"/>
        <v>0</v>
      </c>
      <c r="U102" s="652">
        <f t="shared" si="13"/>
        <v>0</v>
      </c>
      <c r="V102" s="652">
        <v>0</v>
      </c>
      <c r="W102" s="685">
        <v>0</v>
      </c>
      <c r="X102" s="689">
        <f t="shared" si="14"/>
        <v>0</v>
      </c>
      <c r="Y102" s="689">
        <f t="shared" si="15"/>
        <v>0</v>
      </c>
      <c r="Z102" s="652"/>
      <c r="AA102" s="652"/>
      <c r="AD102" s="665"/>
    </row>
    <row r="103" spans="2:30" hidden="1" x14ac:dyDescent="0.2">
      <c r="B103" s="673" t="s">
        <v>1882</v>
      </c>
      <c r="C103" s="666" t="s">
        <v>1883</v>
      </c>
      <c r="D103" s="666" t="s">
        <v>3</v>
      </c>
      <c r="E103" s="684">
        <v>0</v>
      </c>
      <c r="F103" s="652">
        <f>SUMIFS(OBE!$H:$H,OBE!$C:$C,'Standalone TB'!$B103,OBE!$B:$B,"A21")</f>
        <v>0</v>
      </c>
      <c r="G103" s="652">
        <f>SUMIFS('Elimination - BS'!I:I,'Elimination - BS'!D:D,'Standalone TB'!B103,'Elimination - BS'!A:A,"EA21")</f>
        <v>0</v>
      </c>
      <c r="H103" s="652">
        <f t="shared" si="16"/>
        <v>0</v>
      </c>
      <c r="I103" s="652">
        <v>0</v>
      </c>
      <c r="J103" s="684">
        <v>0</v>
      </c>
      <c r="K103" s="652">
        <f>SUMIFS(OBE!$H:$H,OBE!$C:$C,'Standalone TB'!$B103,OBE!$B:$B,"A22")</f>
        <v>0</v>
      </c>
      <c r="L103" s="652">
        <f>SUMIFS('Elimination - BS'!I:I,'Elimination - BS'!D:D,'Standalone TB'!B103,'Elimination - BS'!A:A,"EA22")</f>
        <v>0</v>
      </c>
      <c r="M103" s="652">
        <f t="shared" si="10"/>
        <v>0</v>
      </c>
      <c r="N103" s="652">
        <f t="shared" si="11"/>
        <v>0</v>
      </c>
      <c r="O103" s="652">
        <v>0</v>
      </c>
      <c r="P103" s="685">
        <v>0</v>
      </c>
      <c r="Q103" s="684">
        <v>0</v>
      </c>
      <c r="R103" s="652">
        <f>SUMIFS(OBE!$H:$H,OBE!$C:$C,'Standalone TB'!$B103,OBE!$B:$B,"A20")</f>
        <v>0</v>
      </c>
      <c r="S103" s="652">
        <f>SUMIFS('Elimination - BS'!I:I,'Elimination - BS'!D:D,'Standalone TB'!B103,'Elimination - BS'!A:A,"EA20")</f>
        <v>0</v>
      </c>
      <c r="T103" s="652">
        <f t="shared" si="12"/>
        <v>0</v>
      </c>
      <c r="U103" s="652">
        <f t="shared" si="13"/>
        <v>0</v>
      </c>
      <c r="V103" s="652">
        <v>0</v>
      </c>
      <c r="W103" s="685">
        <v>0</v>
      </c>
      <c r="X103" s="689">
        <f t="shared" si="14"/>
        <v>0</v>
      </c>
      <c r="Y103" s="689">
        <f t="shared" si="15"/>
        <v>0</v>
      </c>
      <c r="Z103" s="652"/>
      <c r="AA103" s="652"/>
      <c r="AD103" s="665"/>
    </row>
    <row r="104" spans="2:30" hidden="1" x14ac:dyDescent="0.2">
      <c r="B104" s="673" t="s">
        <v>1884</v>
      </c>
      <c r="C104" s="666" t="s">
        <v>1885</v>
      </c>
      <c r="D104" s="666" t="s">
        <v>3</v>
      </c>
      <c r="E104" s="684">
        <v>0</v>
      </c>
      <c r="F104" s="652">
        <f>SUMIFS(OBE!$H:$H,OBE!$C:$C,'Standalone TB'!$B104,OBE!$B:$B,"A21")</f>
        <v>0</v>
      </c>
      <c r="G104" s="652">
        <f>SUMIFS('Elimination - BS'!I:I,'Elimination - BS'!D:D,'Standalone TB'!B104,'Elimination - BS'!A:A,"EA21")</f>
        <v>0</v>
      </c>
      <c r="H104" s="652">
        <f t="shared" si="16"/>
        <v>0</v>
      </c>
      <c r="I104" s="652">
        <v>0</v>
      </c>
      <c r="J104" s="684">
        <v>0</v>
      </c>
      <c r="K104" s="652">
        <f>SUMIFS(OBE!$H:$H,OBE!$C:$C,'Standalone TB'!$B104,OBE!$B:$B,"A22")</f>
        <v>0</v>
      </c>
      <c r="L104" s="652">
        <f>SUMIFS('Elimination - BS'!I:I,'Elimination - BS'!D:D,'Standalone TB'!B104,'Elimination - BS'!A:A,"EA22")</f>
        <v>0</v>
      </c>
      <c r="M104" s="652">
        <f t="shared" si="10"/>
        <v>0</v>
      </c>
      <c r="N104" s="652">
        <f t="shared" si="11"/>
        <v>0</v>
      </c>
      <c r="O104" s="652">
        <v>0</v>
      </c>
      <c r="P104" s="685">
        <v>0</v>
      </c>
      <c r="Q104" s="684">
        <v>-39038.720000000001</v>
      </c>
      <c r="R104" s="652">
        <f>SUMIFS(OBE!$H:$H,OBE!$C:$C,'Standalone TB'!$B104,OBE!$B:$B,"A20")</f>
        <v>0</v>
      </c>
      <c r="S104" s="652">
        <f>SUMIFS('Elimination - BS'!I:I,'Elimination - BS'!D:D,'Standalone TB'!B104,'Elimination - BS'!A:A,"EA20")</f>
        <v>0</v>
      </c>
      <c r="T104" s="652">
        <f t="shared" si="12"/>
        <v>-39038.720000000001</v>
      </c>
      <c r="U104" s="652">
        <f t="shared" si="13"/>
        <v>-3340300.0902033276</v>
      </c>
      <c r="V104" s="652">
        <v>0</v>
      </c>
      <c r="W104" s="685">
        <v>0</v>
      </c>
      <c r="X104" s="689">
        <f t="shared" si="14"/>
        <v>-3340300.0902033276</v>
      </c>
      <c r="Y104" s="689">
        <f t="shared" si="15"/>
        <v>0</v>
      </c>
      <c r="Z104" s="652" t="s">
        <v>727</v>
      </c>
      <c r="AA104" s="652" t="s">
        <v>35</v>
      </c>
      <c r="AB104" s="666" t="s">
        <v>727</v>
      </c>
      <c r="AD104" s="665"/>
    </row>
    <row r="105" spans="2:30" hidden="1" x14ac:dyDescent="0.2">
      <c r="B105" s="673" t="s">
        <v>1545</v>
      </c>
      <c r="C105" s="666" t="s">
        <v>1886</v>
      </c>
      <c r="D105" s="666" t="s">
        <v>3</v>
      </c>
      <c r="E105" s="684">
        <v>-15520599</v>
      </c>
      <c r="F105" s="652">
        <f>SUMIFS(OBE!$H:$H,OBE!$C:$C,'Standalone TB'!$B105,OBE!$B:$B,"A21")</f>
        <v>0</v>
      </c>
      <c r="G105" s="652">
        <f>SUMIFS('Elimination - BS'!I:I,'Elimination - BS'!D:D,'Standalone TB'!B105,'Elimination - BS'!A:A,"EA21")</f>
        <v>0</v>
      </c>
      <c r="H105" s="652">
        <f t="shared" si="16"/>
        <v>-15520599</v>
      </c>
      <c r="I105" s="652">
        <v>-15520599</v>
      </c>
      <c r="J105" s="684">
        <v>0</v>
      </c>
      <c r="K105" s="652">
        <f>SUMIFS(OBE!$H:$H,OBE!$C:$C,'Standalone TB'!$B105,OBE!$B:$B,"A22")</f>
        <v>0</v>
      </c>
      <c r="L105" s="652">
        <f>SUMIFS('Elimination - BS'!I:I,'Elimination - BS'!D:D,'Standalone TB'!B105,'Elimination - BS'!A:A,"EA22")</f>
        <v>0</v>
      </c>
      <c r="M105" s="652">
        <f t="shared" si="10"/>
        <v>0</v>
      </c>
      <c r="N105" s="652">
        <f t="shared" si="11"/>
        <v>0</v>
      </c>
      <c r="O105" s="652">
        <v>0</v>
      </c>
      <c r="P105" s="685">
        <v>0</v>
      </c>
      <c r="Q105" s="684">
        <v>149102</v>
      </c>
      <c r="R105" s="652">
        <f>SUMIFS(OBE!$H:$H,OBE!$C:$C,'Standalone TB'!$B105,OBE!$B:$B,"A20")</f>
        <v>-149102</v>
      </c>
      <c r="S105" s="652">
        <f>SUMIFS('Elimination - BS'!I:I,'Elimination - BS'!D:D,'Standalone TB'!B105,'Elimination - BS'!A:A,"EA20")</f>
        <v>0</v>
      </c>
      <c r="T105" s="652">
        <f t="shared" si="12"/>
        <v>0</v>
      </c>
      <c r="U105" s="652">
        <f t="shared" si="13"/>
        <v>0</v>
      </c>
      <c r="V105" s="652">
        <v>0</v>
      </c>
      <c r="W105" s="685">
        <v>0</v>
      </c>
      <c r="X105" s="689">
        <f t="shared" si="14"/>
        <v>-15520599</v>
      </c>
      <c r="Y105" s="689">
        <f t="shared" si="15"/>
        <v>-15520599</v>
      </c>
      <c r="Z105" s="652" t="s">
        <v>890</v>
      </c>
      <c r="AA105" s="652" t="s">
        <v>9</v>
      </c>
      <c r="AB105" s="666" t="s">
        <v>1742</v>
      </c>
      <c r="AD105" s="665"/>
    </row>
    <row r="106" spans="2:30" hidden="1" x14ac:dyDescent="0.2">
      <c r="B106" s="673" t="s">
        <v>1544</v>
      </c>
      <c r="C106" s="666" t="s">
        <v>1887</v>
      </c>
      <c r="D106" s="666" t="s">
        <v>3</v>
      </c>
      <c r="E106" s="684">
        <v>55392585.5</v>
      </c>
      <c r="F106" s="652">
        <f>SUMIFS(OBE!$H:$H,OBE!$C:$C,'Standalone TB'!$B106,OBE!$B:$B,"A21")</f>
        <v>0</v>
      </c>
      <c r="G106" s="652">
        <f>SUMIFS('Elimination - BS'!I:I,'Elimination - BS'!D:D,'Standalone TB'!B106,'Elimination - BS'!A:A,"EA21")</f>
        <v>0</v>
      </c>
      <c r="H106" s="652">
        <f t="shared" si="16"/>
        <v>55392585.5</v>
      </c>
      <c r="I106" s="652">
        <v>55392585.5</v>
      </c>
      <c r="J106" s="684">
        <v>0</v>
      </c>
      <c r="K106" s="652">
        <f>SUMIFS(OBE!$H:$H,OBE!$C:$C,'Standalone TB'!$B106,OBE!$B:$B,"A22")</f>
        <v>0</v>
      </c>
      <c r="L106" s="652">
        <f>SUMIFS('Elimination - BS'!I:I,'Elimination - BS'!D:D,'Standalone TB'!B106,'Elimination - BS'!A:A,"EA22")</f>
        <v>0</v>
      </c>
      <c r="M106" s="652">
        <f t="shared" si="10"/>
        <v>0</v>
      </c>
      <c r="N106" s="652">
        <f t="shared" si="11"/>
        <v>0</v>
      </c>
      <c r="O106" s="652">
        <v>0</v>
      </c>
      <c r="P106" s="685">
        <v>0</v>
      </c>
      <c r="Q106" s="684">
        <v>1891063</v>
      </c>
      <c r="R106" s="652">
        <f>SUMIFS(OBE!$H:$H,OBE!$C:$C,'Standalone TB'!$B106,OBE!$B:$B,"A20")</f>
        <v>-1891063</v>
      </c>
      <c r="S106" s="652">
        <f>SUMIFS('Elimination - BS'!I:I,'Elimination - BS'!D:D,'Standalone TB'!B106,'Elimination - BS'!A:A,"EA20")</f>
        <v>0</v>
      </c>
      <c r="T106" s="652">
        <f t="shared" si="12"/>
        <v>0</v>
      </c>
      <c r="U106" s="652">
        <f t="shared" si="13"/>
        <v>0</v>
      </c>
      <c r="V106" s="652">
        <v>0</v>
      </c>
      <c r="W106" s="685">
        <v>0</v>
      </c>
      <c r="X106" s="689">
        <f t="shared" si="14"/>
        <v>55392585.5</v>
      </c>
      <c r="Y106" s="689">
        <f t="shared" si="15"/>
        <v>55392585.5</v>
      </c>
      <c r="Z106" s="652" t="s">
        <v>890</v>
      </c>
      <c r="AA106" s="652" t="s">
        <v>9</v>
      </c>
      <c r="AB106" s="666" t="s">
        <v>1742</v>
      </c>
      <c r="AD106" s="665"/>
    </row>
    <row r="107" spans="2:30" hidden="1" x14ac:dyDescent="0.2">
      <c r="B107" s="673" t="s">
        <v>1888</v>
      </c>
      <c r="C107" s="666" t="s">
        <v>1889</v>
      </c>
      <c r="D107" s="666" t="s">
        <v>3</v>
      </c>
      <c r="E107" s="684">
        <v>0</v>
      </c>
      <c r="F107" s="652">
        <f>SUMIFS(OBE!$H:$H,OBE!$C:$C,'Standalone TB'!$B107,OBE!$B:$B,"A21")</f>
        <v>0</v>
      </c>
      <c r="G107" s="652">
        <f>SUMIFS('Elimination - BS'!I:I,'Elimination - BS'!D:D,'Standalone TB'!B107,'Elimination - BS'!A:A,"EA21")</f>
        <v>0</v>
      </c>
      <c r="H107" s="652">
        <f t="shared" si="16"/>
        <v>0</v>
      </c>
      <c r="I107" s="652">
        <v>0</v>
      </c>
      <c r="J107" s="684">
        <v>-476709.24</v>
      </c>
      <c r="K107" s="652">
        <f>SUMIFS(OBE!$H:$H,OBE!$C:$C,'Standalone TB'!$B107,OBE!$B:$B,"A22")</f>
        <v>0</v>
      </c>
      <c r="L107" s="652">
        <f>SUMIFS('Elimination - BS'!I:I,'Elimination - BS'!D:D,'Standalone TB'!B107,'Elimination - BS'!A:A,"EA22")</f>
        <v>0</v>
      </c>
      <c r="M107" s="652">
        <f t="shared" si="10"/>
        <v>-476709.24</v>
      </c>
      <c r="N107" s="652">
        <f t="shared" si="11"/>
        <v>-11104417.453752311</v>
      </c>
      <c r="O107" s="652">
        <v>0</v>
      </c>
      <c r="P107" s="685">
        <v>0</v>
      </c>
      <c r="Q107" s="684">
        <v>0</v>
      </c>
      <c r="R107" s="652">
        <f>SUMIFS(OBE!$H:$H,OBE!$C:$C,'Standalone TB'!$B107,OBE!$B:$B,"A20")</f>
        <v>0</v>
      </c>
      <c r="S107" s="652">
        <f>SUMIFS('Elimination - BS'!I:I,'Elimination - BS'!D:D,'Standalone TB'!B107,'Elimination - BS'!A:A,"EA20")</f>
        <v>0</v>
      </c>
      <c r="T107" s="652">
        <f t="shared" si="12"/>
        <v>0</v>
      </c>
      <c r="U107" s="652">
        <f t="shared" si="13"/>
        <v>0</v>
      </c>
      <c r="V107" s="652">
        <v>0</v>
      </c>
      <c r="W107" s="685">
        <v>0</v>
      </c>
      <c r="X107" s="689">
        <f t="shared" si="14"/>
        <v>-11104417.453752311</v>
      </c>
      <c r="Y107" s="689">
        <f t="shared" si="15"/>
        <v>0</v>
      </c>
      <c r="Z107" s="652" t="s">
        <v>1890</v>
      </c>
      <c r="AA107" s="652" t="s">
        <v>9</v>
      </c>
      <c r="AB107" s="666" t="s">
        <v>1891</v>
      </c>
      <c r="AD107" s="665"/>
    </row>
    <row r="108" spans="2:30" hidden="1" x14ac:dyDescent="0.2">
      <c r="B108" s="673" t="s">
        <v>1684</v>
      </c>
      <c r="C108" s="666" t="s">
        <v>1892</v>
      </c>
      <c r="D108" s="666" t="s">
        <v>3</v>
      </c>
      <c r="E108" s="684">
        <v>2043580</v>
      </c>
      <c r="F108" s="652">
        <f>SUMIFS(OBE!$H:$H,OBE!$C:$C,'Standalone TB'!$B108,OBE!$B:$B,"A21")</f>
        <v>-2043580</v>
      </c>
      <c r="G108" s="652">
        <f>SUMIFS('Elimination - BS'!I:I,'Elimination - BS'!D:D,'Standalone TB'!B108,'Elimination - BS'!A:A,"EA21")</f>
        <v>0</v>
      </c>
      <c r="H108" s="652">
        <f t="shared" si="16"/>
        <v>0</v>
      </c>
      <c r="I108" s="652">
        <v>2043580</v>
      </c>
      <c r="J108" s="684">
        <v>0</v>
      </c>
      <c r="K108" s="652">
        <f>SUMIFS(OBE!$H:$H,OBE!$C:$C,'Standalone TB'!$B108,OBE!$B:$B,"A22")</f>
        <v>0</v>
      </c>
      <c r="L108" s="652">
        <f>SUMIFS('Elimination - BS'!I:I,'Elimination - BS'!D:D,'Standalone TB'!B108,'Elimination - BS'!A:A,"EA22")</f>
        <v>0</v>
      </c>
      <c r="M108" s="652">
        <f t="shared" si="10"/>
        <v>0</v>
      </c>
      <c r="N108" s="652">
        <f t="shared" si="11"/>
        <v>0</v>
      </c>
      <c r="O108" s="652">
        <v>0</v>
      </c>
      <c r="P108" s="685">
        <v>0</v>
      </c>
      <c r="Q108" s="684">
        <v>0</v>
      </c>
      <c r="R108" s="652">
        <f>SUMIFS(OBE!$H:$H,OBE!$C:$C,'Standalone TB'!$B108,OBE!$B:$B,"A20")</f>
        <v>0</v>
      </c>
      <c r="S108" s="652">
        <f>SUMIFS('Elimination - BS'!I:I,'Elimination - BS'!D:D,'Standalone TB'!B108,'Elimination - BS'!A:A,"EA20")</f>
        <v>0</v>
      </c>
      <c r="T108" s="652">
        <f t="shared" si="12"/>
        <v>0</v>
      </c>
      <c r="U108" s="652">
        <f t="shared" si="13"/>
        <v>0</v>
      </c>
      <c r="V108" s="652">
        <v>0</v>
      </c>
      <c r="W108" s="685">
        <v>0</v>
      </c>
      <c r="X108" s="689">
        <f t="shared" si="14"/>
        <v>0</v>
      </c>
      <c r="Y108" s="689">
        <f>I108+P108+W108</f>
        <v>2043580</v>
      </c>
      <c r="Z108" s="652" t="s">
        <v>95</v>
      </c>
      <c r="AA108" s="652" t="s">
        <v>9</v>
      </c>
      <c r="AB108" s="666" t="s">
        <v>1893</v>
      </c>
      <c r="AD108" s="665"/>
    </row>
    <row r="109" spans="2:30" hidden="1" x14ac:dyDescent="0.2">
      <c r="B109" s="673" t="s">
        <v>1515</v>
      </c>
      <c r="C109" s="666" t="s">
        <v>1516</v>
      </c>
      <c r="D109" s="666" t="s">
        <v>3</v>
      </c>
      <c r="E109" s="684">
        <v>0</v>
      </c>
      <c r="F109" s="652">
        <f>SUMIFS(OBE!$H:$H,OBE!$C:$C,'Standalone TB'!$B109,OBE!$B:$B,"A21")</f>
        <v>0</v>
      </c>
      <c r="G109" s="652">
        <f>SUMIFS('Elimination - BS'!I:I,'Elimination - BS'!D:D,'Standalone TB'!B109,'Elimination - BS'!A:A,"EA21")</f>
        <v>0</v>
      </c>
      <c r="H109" s="652">
        <f t="shared" si="16"/>
        <v>0</v>
      </c>
      <c r="I109" s="652">
        <v>0</v>
      </c>
      <c r="J109" s="684">
        <v>0</v>
      </c>
      <c r="K109" s="652">
        <f>SUMIFS(OBE!$H:$H,OBE!$C:$C,'Standalone TB'!$B109,OBE!$B:$B,"A22")</f>
        <v>0</v>
      </c>
      <c r="L109" s="652">
        <f>SUMIFS('Elimination - BS'!I:I,'Elimination - BS'!D:D,'Standalone TB'!B109,'Elimination - BS'!A:A,"EA22")</f>
        <v>0</v>
      </c>
      <c r="M109" s="652">
        <f t="shared" si="10"/>
        <v>0</v>
      </c>
      <c r="N109" s="652">
        <f t="shared" si="11"/>
        <v>0</v>
      </c>
      <c r="O109" s="652">
        <v>0</v>
      </c>
      <c r="P109" s="685">
        <v>0</v>
      </c>
      <c r="Q109" s="684">
        <v>-285195.24</v>
      </c>
      <c r="R109" s="652">
        <f>SUMIFS(OBE!$H:$H,OBE!$C:$C,'Standalone TB'!$B109,OBE!$B:$B,"A20")</f>
        <v>0</v>
      </c>
      <c r="S109" s="652">
        <f>SUMIFS('Elimination - BS'!I:I,'Elimination - BS'!D:D,'Standalone TB'!B109,'Elimination - BS'!A:A,"EA20")</f>
        <v>285195.24</v>
      </c>
      <c r="T109" s="652">
        <f t="shared" si="12"/>
        <v>0</v>
      </c>
      <c r="U109" s="652">
        <f t="shared" si="13"/>
        <v>0</v>
      </c>
      <c r="V109" s="652">
        <v>0</v>
      </c>
      <c r="W109" s="685">
        <v>0</v>
      </c>
      <c r="X109" s="689">
        <f t="shared" si="14"/>
        <v>0</v>
      </c>
      <c r="Y109" s="689">
        <f t="shared" si="15"/>
        <v>0</v>
      </c>
      <c r="Z109" s="652" t="s">
        <v>1894</v>
      </c>
      <c r="AA109" s="652" t="s">
        <v>9</v>
      </c>
      <c r="AB109" s="666" t="s">
        <v>1895</v>
      </c>
      <c r="AD109" s="665"/>
    </row>
    <row r="110" spans="2:30" hidden="1" x14ac:dyDescent="0.2">
      <c r="B110" s="673" t="s">
        <v>1896</v>
      </c>
      <c r="C110" s="666" t="s">
        <v>1897</v>
      </c>
      <c r="D110" s="666" t="s">
        <v>3</v>
      </c>
      <c r="E110" s="684">
        <v>0</v>
      </c>
      <c r="F110" s="652">
        <f>SUMIFS(OBE!$H:$H,OBE!$C:$C,'Standalone TB'!$B110,OBE!$B:$B,"A21")</f>
        <v>0</v>
      </c>
      <c r="G110" s="652">
        <f>SUMIFS('Elimination - BS'!I:I,'Elimination - BS'!D:D,'Standalone TB'!B110,'Elimination - BS'!A:A,"EA21")</f>
        <v>0</v>
      </c>
      <c r="H110" s="652">
        <f t="shared" si="16"/>
        <v>0</v>
      </c>
      <c r="I110" s="652">
        <v>0</v>
      </c>
      <c r="J110" s="684">
        <v>0</v>
      </c>
      <c r="K110" s="652">
        <f>SUMIFS(OBE!$H:$H,OBE!$C:$C,'Standalone TB'!$B110,OBE!$B:$B,"A22")</f>
        <v>0</v>
      </c>
      <c r="L110" s="652">
        <f>SUMIFS('Elimination - BS'!I:I,'Elimination - BS'!D:D,'Standalone TB'!B110,'Elimination - BS'!A:A,"EA22")</f>
        <v>0</v>
      </c>
      <c r="M110" s="652">
        <f t="shared" si="10"/>
        <v>0</v>
      </c>
      <c r="N110" s="652">
        <f t="shared" si="11"/>
        <v>0</v>
      </c>
      <c r="O110" s="652">
        <v>0</v>
      </c>
      <c r="P110" s="685">
        <v>0</v>
      </c>
      <c r="Q110" s="684">
        <v>0</v>
      </c>
      <c r="R110" s="652">
        <f>SUMIFS(OBE!$H:$H,OBE!$C:$C,'Standalone TB'!$B110,OBE!$B:$B,"A20")</f>
        <v>0</v>
      </c>
      <c r="S110" s="652">
        <f>SUMIFS('Elimination - BS'!I:I,'Elimination - BS'!D:D,'Standalone TB'!B110,'Elimination - BS'!A:A,"EA20")</f>
        <v>0</v>
      </c>
      <c r="T110" s="652">
        <f t="shared" si="12"/>
        <v>0</v>
      </c>
      <c r="U110" s="652">
        <f t="shared" si="13"/>
        <v>0</v>
      </c>
      <c r="V110" s="652">
        <v>0</v>
      </c>
      <c r="W110" s="685">
        <v>0</v>
      </c>
      <c r="X110" s="689">
        <f t="shared" si="14"/>
        <v>0</v>
      </c>
      <c r="Y110" s="689">
        <f t="shared" si="15"/>
        <v>0</v>
      </c>
      <c r="Z110" s="652" t="s">
        <v>22</v>
      </c>
      <c r="AA110" s="652" t="s">
        <v>9</v>
      </c>
      <c r="AD110" s="665"/>
    </row>
    <row r="111" spans="2:30" hidden="1" x14ac:dyDescent="0.2">
      <c r="B111" s="673" t="s">
        <v>1898</v>
      </c>
      <c r="C111" s="666" t="s">
        <v>1899</v>
      </c>
      <c r="D111" s="666" t="s">
        <v>3</v>
      </c>
      <c r="E111" s="684">
        <v>6838918.2599999998</v>
      </c>
      <c r="F111" s="652">
        <f>SUMIFS(OBE!$H:$H,OBE!$C:$C,'Standalone TB'!$B111,OBE!$B:$B,"A21")</f>
        <v>0</v>
      </c>
      <c r="G111" s="652">
        <f>SUMIFS('Elimination - BS'!I:I,'Elimination - BS'!D:D,'Standalone TB'!B111,'Elimination - BS'!A:A,"EA21")</f>
        <v>0</v>
      </c>
      <c r="H111" s="652">
        <f t="shared" si="16"/>
        <v>6838918.2599999998</v>
      </c>
      <c r="I111" s="652">
        <v>6838918.2599999998</v>
      </c>
      <c r="J111" s="684">
        <v>0</v>
      </c>
      <c r="K111" s="652">
        <f>SUMIFS(OBE!$H:$H,OBE!$C:$C,'Standalone TB'!$B111,OBE!$B:$B,"A22")</f>
        <v>0</v>
      </c>
      <c r="L111" s="652">
        <f>SUMIFS('Elimination - BS'!I:I,'Elimination - BS'!D:D,'Standalone TB'!B111,'Elimination - BS'!A:A,"EA22")</f>
        <v>0</v>
      </c>
      <c r="M111" s="652">
        <f t="shared" si="10"/>
        <v>0</v>
      </c>
      <c r="N111" s="652">
        <f t="shared" si="11"/>
        <v>0</v>
      </c>
      <c r="O111" s="652">
        <v>0</v>
      </c>
      <c r="P111" s="685">
        <v>0</v>
      </c>
      <c r="Q111" s="684">
        <v>0</v>
      </c>
      <c r="R111" s="652">
        <f>SUMIFS(OBE!$H:$H,OBE!$C:$C,'Standalone TB'!$B111,OBE!$B:$B,"A20")</f>
        <v>0</v>
      </c>
      <c r="S111" s="652">
        <f>SUMIFS('Elimination - BS'!I:I,'Elimination - BS'!D:D,'Standalone TB'!B111,'Elimination - BS'!A:A,"EA20")</f>
        <v>0</v>
      </c>
      <c r="T111" s="652">
        <f t="shared" si="12"/>
        <v>0</v>
      </c>
      <c r="U111" s="652">
        <f t="shared" si="13"/>
        <v>0</v>
      </c>
      <c r="V111" s="652">
        <v>0</v>
      </c>
      <c r="W111" s="685">
        <v>0</v>
      </c>
      <c r="X111" s="689">
        <f t="shared" si="14"/>
        <v>6838918.2599999998</v>
      </c>
      <c r="Y111" s="689">
        <f t="shared" si="15"/>
        <v>6838918.2599999998</v>
      </c>
      <c r="Z111" s="652" t="s">
        <v>22</v>
      </c>
      <c r="AA111" s="652" t="s">
        <v>9</v>
      </c>
      <c r="AB111" s="666" t="s">
        <v>1734</v>
      </c>
      <c r="AD111" s="665"/>
    </row>
    <row r="112" spans="2:30" hidden="1" x14ac:dyDescent="0.2">
      <c r="B112" s="673" t="s">
        <v>1900</v>
      </c>
      <c r="C112" s="666" t="s">
        <v>1901</v>
      </c>
      <c r="D112" s="666" t="s">
        <v>3</v>
      </c>
      <c r="E112" s="684"/>
      <c r="F112" s="652">
        <f>SUMIFS(OBE!$H:$H,OBE!$C:$C,'Standalone TB'!$B112,OBE!$B:$B,"A21")</f>
        <v>0</v>
      </c>
      <c r="G112" s="652">
        <f>SUMIFS('Elimination - BS'!I:I,'Elimination - BS'!D:D,'Standalone TB'!B112,'Elimination - BS'!A:A,"EA21")</f>
        <v>0</v>
      </c>
      <c r="J112" s="684">
        <v>476709.24</v>
      </c>
      <c r="K112" s="652">
        <f>SUMIFS(OBE!$H:$H,OBE!$C:$C,'Standalone TB'!$B112,OBE!$B:$B,"A22")</f>
        <v>0</v>
      </c>
      <c r="L112" s="652">
        <f>SUMIFS('Elimination - BS'!I:I,'Elimination - BS'!D:D,'Standalone TB'!B112,'Elimination - BS'!A:A,"EA22")</f>
        <v>0</v>
      </c>
      <c r="M112" s="652">
        <f t="shared" si="10"/>
        <v>476709.24</v>
      </c>
      <c r="N112" s="652">
        <f t="shared" si="11"/>
        <v>11104417.453752311</v>
      </c>
      <c r="P112" s="685"/>
      <c r="Q112" s="684">
        <v>0</v>
      </c>
      <c r="R112" s="652">
        <f>SUMIFS(OBE!$H:$H,OBE!$C:$C,'Standalone TB'!$B112,OBE!$B:$B,"A20")</f>
        <v>0</v>
      </c>
      <c r="S112" s="652">
        <f>SUMIFS('Elimination - BS'!I:I,'Elimination - BS'!D:D,'Standalone TB'!B112,'Elimination - BS'!A:A,"EA20")</f>
        <v>0</v>
      </c>
      <c r="T112" s="652">
        <f t="shared" si="12"/>
        <v>0</v>
      </c>
      <c r="U112" s="652">
        <f t="shared" si="13"/>
        <v>0</v>
      </c>
      <c r="W112" s="685"/>
      <c r="X112" s="689">
        <f t="shared" si="14"/>
        <v>11104417.453752311</v>
      </c>
      <c r="Y112" s="689">
        <f t="shared" si="15"/>
        <v>0</v>
      </c>
      <c r="Z112" s="652" t="s">
        <v>1890</v>
      </c>
      <c r="AA112" s="652" t="s">
        <v>9</v>
      </c>
      <c r="AD112" s="665"/>
    </row>
    <row r="113" spans="2:30" hidden="1" x14ac:dyDescent="0.2">
      <c r="B113" s="673" t="s">
        <v>1902</v>
      </c>
      <c r="C113" s="666" t="s">
        <v>1903</v>
      </c>
      <c r="D113" s="666" t="s">
        <v>3</v>
      </c>
      <c r="E113" s="684">
        <v>0</v>
      </c>
      <c r="F113" s="652">
        <f>SUMIFS(OBE!$H:$H,OBE!$C:$C,'Standalone TB'!$B113,OBE!$B:$B,"A21")</f>
        <v>0</v>
      </c>
      <c r="G113" s="652">
        <f>SUMIFS('Elimination - BS'!I:I,'Elimination - BS'!D:D,'Standalone TB'!B113,'Elimination - BS'!A:A,"EA21")</f>
        <v>0</v>
      </c>
      <c r="H113" s="652">
        <f t="shared" ref="H113:H144" si="17">SUM(E113:G113)</f>
        <v>0</v>
      </c>
      <c r="I113" s="652">
        <v>0</v>
      </c>
      <c r="J113" s="684">
        <v>0</v>
      </c>
      <c r="K113" s="652">
        <f>SUMIFS(OBE!$H:$H,OBE!$C:$C,'Standalone TB'!$B113,OBE!$B:$B,"A22")</f>
        <v>0</v>
      </c>
      <c r="L113" s="652">
        <f>SUMIFS('Elimination - BS'!I:I,'Elimination - BS'!D:D,'Standalone TB'!B113,'Elimination - BS'!A:A,"EA22")</f>
        <v>0</v>
      </c>
      <c r="M113" s="652">
        <f t="shared" si="10"/>
        <v>0</v>
      </c>
      <c r="N113" s="652">
        <f t="shared" si="11"/>
        <v>0</v>
      </c>
      <c r="O113" s="652">
        <v>0</v>
      </c>
      <c r="P113" s="685">
        <v>0</v>
      </c>
      <c r="Q113" s="684">
        <v>0</v>
      </c>
      <c r="R113" s="652">
        <f>SUMIFS(OBE!$H:$H,OBE!$C:$C,'Standalone TB'!$B113,OBE!$B:$B,"A20")</f>
        <v>0</v>
      </c>
      <c r="S113" s="652">
        <f>SUMIFS('Elimination - BS'!I:I,'Elimination - BS'!D:D,'Standalone TB'!B113,'Elimination - BS'!A:A,"EA20")</f>
        <v>0</v>
      </c>
      <c r="T113" s="652">
        <f t="shared" si="12"/>
        <v>0</v>
      </c>
      <c r="U113" s="652">
        <f t="shared" si="13"/>
        <v>0</v>
      </c>
      <c r="V113" s="652">
        <v>0</v>
      </c>
      <c r="W113" s="685">
        <v>0</v>
      </c>
      <c r="X113" s="689">
        <f t="shared" si="14"/>
        <v>0</v>
      </c>
      <c r="Y113" s="689">
        <f t="shared" si="15"/>
        <v>0</v>
      </c>
      <c r="Z113" s="652" t="s">
        <v>22</v>
      </c>
      <c r="AA113" s="652" t="s">
        <v>9</v>
      </c>
      <c r="AD113" s="665"/>
    </row>
    <row r="114" spans="2:30" hidden="1" x14ac:dyDescent="0.2">
      <c r="B114" s="673" t="s">
        <v>1546</v>
      </c>
      <c r="C114" s="666" t="s">
        <v>1904</v>
      </c>
      <c r="D114" s="666" t="s">
        <v>3</v>
      </c>
      <c r="E114" s="684">
        <v>37509719</v>
      </c>
      <c r="F114" s="652">
        <f>SUMIFS(OBE!$H:$H,OBE!$C:$C,'Standalone TB'!$B114,OBE!$B:$B,"A21")</f>
        <v>-13574707.011861071</v>
      </c>
      <c r="G114" s="652">
        <f>SUMIFS('Elimination - BS'!I:I,'Elimination - BS'!D:D,'Standalone TB'!B114,'Elimination - BS'!A:A,"EA21")</f>
        <v>0</v>
      </c>
      <c r="H114" s="652">
        <f t="shared" si="17"/>
        <v>23935011.988138929</v>
      </c>
      <c r="I114" s="652">
        <v>37509718.146349661</v>
      </c>
      <c r="J114" s="684">
        <v>0</v>
      </c>
      <c r="K114" s="652">
        <f>SUMIFS(OBE!$H:$H,OBE!$C:$C,'Standalone TB'!$B114,OBE!$B:$B,"A22")</f>
        <v>0</v>
      </c>
      <c r="L114" s="652">
        <f>SUMIFS('Elimination - BS'!I:I,'Elimination - BS'!D:D,'Standalone TB'!B114,'Elimination - BS'!A:A,"EA22")</f>
        <v>0</v>
      </c>
      <c r="M114" s="652">
        <f t="shared" si="10"/>
        <v>0</v>
      </c>
      <c r="N114" s="652">
        <f t="shared" si="11"/>
        <v>0</v>
      </c>
      <c r="O114" s="652">
        <v>0</v>
      </c>
      <c r="P114" s="685">
        <v>0</v>
      </c>
      <c r="Q114" s="684">
        <v>498505.75</v>
      </c>
      <c r="R114" s="652">
        <f>SUMIFS(OBE!$H:$H,OBE!$C:$C,'Standalone TB'!$B114,OBE!$B:$B,"A20")</f>
        <v>-498505.75</v>
      </c>
      <c r="S114" s="652">
        <f>SUMIFS('Elimination - BS'!I:I,'Elimination - BS'!D:D,'Standalone TB'!B114,'Elimination - BS'!A:A,"EA20")</f>
        <v>0</v>
      </c>
      <c r="T114" s="652">
        <f t="shared" si="12"/>
        <v>0</v>
      </c>
      <c r="U114" s="652">
        <f t="shared" si="13"/>
        <v>0</v>
      </c>
      <c r="V114" s="652">
        <v>0</v>
      </c>
      <c r="W114" s="685">
        <v>0</v>
      </c>
      <c r="X114" s="689">
        <f t="shared" si="14"/>
        <v>23935011.988138929</v>
      </c>
      <c r="Y114" s="689">
        <f t="shared" si="15"/>
        <v>37509718.146349661</v>
      </c>
      <c r="Z114" s="652" t="s">
        <v>509</v>
      </c>
      <c r="AA114" s="652" t="s">
        <v>9</v>
      </c>
      <c r="AB114" s="666" t="s">
        <v>1905</v>
      </c>
      <c r="AD114" s="665" t="s">
        <v>1724</v>
      </c>
    </row>
    <row r="115" spans="2:30" hidden="1" x14ac:dyDescent="0.2">
      <c r="B115" s="673" t="s">
        <v>1906</v>
      </c>
      <c r="C115" s="666" t="s">
        <v>1907</v>
      </c>
      <c r="D115" s="666" t="s">
        <v>3</v>
      </c>
      <c r="E115" s="684">
        <v>0</v>
      </c>
      <c r="F115" s="652">
        <f>SUMIFS(OBE!$H:$H,OBE!$C:$C,'Standalone TB'!$B115,OBE!$B:$B,"A21")</f>
        <v>0</v>
      </c>
      <c r="G115" s="652">
        <f>SUMIFS('Elimination - BS'!I:I,'Elimination - BS'!D:D,'Standalone TB'!B115,'Elimination - BS'!A:A,"EA21")</f>
        <v>0</v>
      </c>
      <c r="H115" s="652">
        <f t="shared" si="17"/>
        <v>0</v>
      </c>
      <c r="I115" s="652">
        <v>0</v>
      </c>
      <c r="J115" s="684">
        <v>0</v>
      </c>
      <c r="K115" s="652">
        <f>SUMIFS(OBE!$H:$H,OBE!$C:$C,'Standalone TB'!$B115,OBE!$B:$B,"A22")</f>
        <v>0</v>
      </c>
      <c r="L115" s="652">
        <f>SUMIFS('Elimination - BS'!I:I,'Elimination - BS'!D:D,'Standalone TB'!B115,'Elimination - BS'!A:A,"EA22")</f>
        <v>0</v>
      </c>
      <c r="M115" s="652">
        <f t="shared" si="10"/>
        <v>0</v>
      </c>
      <c r="N115" s="652">
        <f t="shared" si="11"/>
        <v>0</v>
      </c>
      <c r="O115" s="652">
        <v>0</v>
      </c>
      <c r="P115" s="685">
        <v>0</v>
      </c>
      <c r="Q115" s="684">
        <v>0</v>
      </c>
      <c r="R115" s="652">
        <f>SUMIFS(OBE!$H:$H,OBE!$C:$C,'Standalone TB'!$B115,OBE!$B:$B,"A20")</f>
        <v>0</v>
      </c>
      <c r="S115" s="652">
        <f>SUMIFS('Elimination - BS'!I:I,'Elimination - BS'!D:D,'Standalone TB'!B115,'Elimination - BS'!A:A,"EA20")</f>
        <v>0</v>
      </c>
      <c r="T115" s="652">
        <f t="shared" si="12"/>
        <v>0</v>
      </c>
      <c r="U115" s="652">
        <f t="shared" si="13"/>
        <v>0</v>
      </c>
      <c r="V115" s="652">
        <v>0</v>
      </c>
      <c r="W115" s="685">
        <v>0</v>
      </c>
      <c r="X115" s="689">
        <f t="shared" si="14"/>
        <v>0</v>
      </c>
      <c r="Y115" s="689">
        <f t="shared" si="15"/>
        <v>0</v>
      </c>
      <c r="Z115" s="652" t="s">
        <v>1908</v>
      </c>
      <c r="AA115" s="652" t="s">
        <v>9</v>
      </c>
      <c r="AB115" s="666" t="s">
        <v>1909</v>
      </c>
      <c r="AD115" s="665" t="s">
        <v>1724</v>
      </c>
    </row>
    <row r="116" spans="2:30" hidden="1" x14ac:dyDescent="0.2">
      <c r="B116" s="673" t="s">
        <v>1910</v>
      </c>
      <c r="C116" s="666" t="s">
        <v>1911</v>
      </c>
      <c r="D116" s="666" t="s">
        <v>3</v>
      </c>
      <c r="E116" s="684">
        <v>0</v>
      </c>
      <c r="F116" s="652">
        <f>SUMIFS(OBE!$H:$H,OBE!$C:$C,'Standalone TB'!$B116,OBE!$B:$B,"A21")</f>
        <v>0</v>
      </c>
      <c r="G116" s="652">
        <f>SUMIFS('Elimination - BS'!I:I,'Elimination - BS'!D:D,'Standalone TB'!B116,'Elimination - BS'!A:A,"EA21")</f>
        <v>0</v>
      </c>
      <c r="H116" s="652">
        <f t="shared" si="17"/>
        <v>0</v>
      </c>
      <c r="I116" s="652">
        <v>0</v>
      </c>
      <c r="J116" s="684">
        <v>0</v>
      </c>
      <c r="K116" s="652">
        <f>SUMIFS(OBE!$H:$H,OBE!$C:$C,'Standalone TB'!$B116,OBE!$B:$B,"A22")</f>
        <v>0</v>
      </c>
      <c r="L116" s="652">
        <f>SUMIFS('Elimination - BS'!I:I,'Elimination - BS'!D:D,'Standalone TB'!B116,'Elimination - BS'!A:A,"EA22")</f>
        <v>0</v>
      </c>
      <c r="M116" s="652">
        <f t="shared" si="10"/>
        <v>0</v>
      </c>
      <c r="N116" s="652">
        <f t="shared" si="11"/>
        <v>0</v>
      </c>
      <c r="O116" s="652">
        <v>0</v>
      </c>
      <c r="P116" s="685">
        <v>0</v>
      </c>
      <c r="Q116" s="684">
        <v>0</v>
      </c>
      <c r="R116" s="652">
        <f>SUMIFS(OBE!$H:$H,OBE!$C:$C,'Standalone TB'!$B116,OBE!$B:$B,"A20")</f>
        <v>0</v>
      </c>
      <c r="S116" s="652">
        <f>SUMIFS('Elimination - BS'!I:I,'Elimination - BS'!D:D,'Standalone TB'!B116,'Elimination - BS'!A:A,"EA20")</f>
        <v>0</v>
      </c>
      <c r="T116" s="652">
        <f t="shared" si="12"/>
        <v>0</v>
      </c>
      <c r="U116" s="652">
        <f t="shared" si="13"/>
        <v>0</v>
      </c>
      <c r="V116" s="652">
        <v>0</v>
      </c>
      <c r="W116" s="685">
        <v>0</v>
      </c>
      <c r="X116" s="689">
        <f t="shared" si="14"/>
        <v>0</v>
      </c>
      <c r="Y116" s="689">
        <f t="shared" si="15"/>
        <v>0</v>
      </c>
      <c r="Z116" s="652" t="s">
        <v>1908</v>
      </c>
      <c r="AA116" s="652" t="s">
        <v>9</v>
      </c>
      <c r="AB116" s="666" t="s">
        <v>1909</v>
      </c>
      <c r="AD116" s="665" t="s">
        <v>1724</v>
      </c>
    </row>
    <row r="117" spans="2:30" hidden="1" x14ac:dyDescent="0.2">
      <c r="B117" s="673" t="s">
        <v>1596</v>
      </c>
      <c r="C117" s="666" t="s">
        <v>1912</v>
      </c>
      <c r="D117" s="666" t="s">
        <v>3</v>
      </c>
      <c r="E117" s="684">
        <v>105738071.47</v>
      </c>
      <c r="F117" s="652">
        <f>SUMIFS(OBE!$H:$H,OBE!$C:$C,'Standalone TB'!$B117,OBE!$B:$B,"A21")</f>
        <v>0</v>
      </c>
      <c r="G117" s="652">
        <f>SUMIFS('Elimination - BS'!I:I,'Elimination - BS'!D:D,'Standalone TB'!B117,'Elimination - BS'!A:A,"EA21")</f>
        <v>0</v>
      </c>
      <c r="H117" s="652">
        <f t="shared" si="17"/>
        <v>105738071.47</v>
      </c>
      <c r="I117" s="652">
        <v>105738071.76131335</v>
      </c>
      <c r="J117" s="684">
        <v>0</v>
      </c>
      <c r="K117" s="652">
        <f>SUMIFS(OBE!$H:$H,OBE!$C:$C,'Standalone TB'!$B117,OBE!$B:$B,"A22")</f>
        <v>0</v>
      </c>
      <c r="L117" s="652">
        <f>SUMIFS('Elimination - BS'!I:I,'Elimination - BS'!D:D,'Standalone TB'!B117,'Elimination - BS'!A:A,"EA22")</f>
        <v>0</v>
      </c>
      <c r="M117" s="652">
        <f t="shared" si="10"/>
        <v>0</v>
      </c>
      <c r="N117" s="652">
        <f t="shared" si="11"/>
        <v>0</v>
      </c>
      <c r="O117" s="652">
        <v>0</v>
      </c>
      <c r="P117" s="685">
        <v>0</v>
      </c>
      <c r="Q117" s="684">
        <v>0</v>
      </c>
      <c r="R117" s="652">
        <f>SUMIFS(OBE!$H:$H,OBE!$C:$C,'Standalone TB'!$B117,OBE!$B:$B,"A20")</f>
        <v>397849.24409327307</v>
      </c>
      <c r="S117" s="652">
        <f>SUMIFS('Elimination - BS'!I:I,'Elimination - BS'!D:D,'Standalone TB'!B117,'Elimination - BS'!A:A,"EA20")</f>
        <v>0</v>
      </c>
      <c r="T117" s="652">
        <f t="shared" si="12"/>
        <v>397849.24409327307</v>
      </c>
      <c r="U117" s="652">
        <f t="shared" si="13"/>
        <v>34041481.532490961</v>
      </c>
      <c r="V117" s="652">
        <v>0</v>
      </c>
      <c r="W117" s="685">
        <v>0</v>
      </c>
      <c r="X117" s="689">
        <f t="shared" si="14"/>
        <v>139779553.00249097</v>
      </c>
      <c r="Y117" s="689">
        <f t="shared" si="15"/>
        <v>105738071.76131335</v>
      </c>
      <c r="Z117" s="652" t="s">
        <v>1908</v>
      </c>
      <c r="AA117" s="652" t="s">
        <v>9</v>
      </c>
      <c r="AB117" s="666" t="s">
        <v>1909</v>
      </c>
      <c r="AD117" s="665" t="s">
        <v>1913</v>
      </c>
    </row>
    <row r="118" spans="2:30" hidden="1" x14ac:dyDescent="0.2">
      <c r="B118" s="673" t="s">
        <v>1606</v>
      </c>
      <c r="C118" s="666" t="s">
        <v>1914</v>
      </c>
      <c r="D118" s="666" t="s">
        <v>3</v>
      </c>
      <c r="E118" s="684">
        <v>-3539945.23</v>
      </c>
      <c r="F118" s="652">
        <f>SUMIFS(OBE!$H:$H,OBE!$C:$C,'Standalone TB'!$B118,OBE!$B:$B,"A21")</f>
        <v>1225388.475013837</v>
      </c>
      <c r="G118" s="652">
        <f>SUMIFS('Elimination - BS'!I:I,'Elimination - BS'!D:D,'Standalone TB'!B118,'Elimination - BS'!A:A,"EA21")</f>
        <v>0</v>
      </c>
      <c r="H118" s="652">
        <f t="shared" si="17"/>
        <v>-2314556.7549861632</v>
      </c>
      <c r="I118" s="652">
        <v>-998179</v>
      </c>
      <c r="J118" s="684">
        <v>0</v>
      </c>
      <c r="K118" s="652">
        <f>SUMIFS(OBE!$H:$H,OBE!$C:$C,'Standalone TB'!$B118,OBE!$B:$B,"A22")</f>
        <v>0</v>
      </c>
      <c r="L118" s="652">
        <f>SUMIFS('Elimination - BS'!I:I,'Elimination - BS'!D:D,'Standalone TB'!B118,'Elimination - BS'!A:A,"EA22")</f>
        <v>0</v>
      </c>
      <c r="M118" s="652">
        <f t="shared" si="10"/>
        <v>0</v>
      </c>
      <c r="N118" s="652">
        <f t="shared" si="11"/>
        <v>0</v>
      </c>
      <c r="O118" s="652">
        <v>0</v>
      </c>
      <c r="P118" s="685">
        <v>0</v>
      </c>
      <c r="Q118" s="684">
        <v>0</v>
      </c>
      <c r="R118" s="652">
        <f>SUMIFS(OBE!$H:$H,OBE!$C:$C,'Standalone TB'!$B118,OBE!$B:$B,"A20")</f>
        <v>272.00674389000403</v>
      </c>
      <c r="S118" s="652">
        <f>SUMIFS('Elimination - BS'!I:I,'Elimination - BS'!D:D,'Standalone TB'!B118,'Elimination - BS'!A:A,"EA20")</f>
        <v>0</v>
      </c>
      <c r="T118" s="652">
        <f t="shared" si="12"/>
        <v>272.00674389000403</v>
      </c>
      <c r="U118" s="652">
        <f t="shared" si="13"/>
        <v>23273.922688850809</v>
      </c>
      <c r="V118" s="652">
        <v>0</v>
      </c>
      <c r="W118" s="685">
        <v>0</v>
      </c>
      <c r="X118" s="689">
        <f t="shared" si="14"/>
        <v>-2291282.8322973126</v>
      </c>
      <c r="Y118" s="689">
        <f t="shared" si="15"/>
        <v>-998179</v>
      </c>
      <c r="Z118" s="652" t="s">
        <v>501</v>
      </c>
      <c r="AA118" s="652" t="s">
        <v>9</v>
      </c>
      <c r="AB118" s="666" t="s">
        <v>1905</v>
      </c>
      <c r="AD118" s="652" t="s">
        <v>1915</v>
      </c>
    </row>
    <row r="119" spans="2:30" hidden="1" x14ac:dyDescent="0.2">
      <c r="B119" s="673" t="s">
        <v>1598</v>
      </c>
      <c r="C119" s="666" t="s">
        <v>1916</v>
      </c>
      <c r="D119" s="666" t="s">
        <v>3</v>
      </c>
      <c r="E119" s="684">
        <v>0</v>
      </c>
      <c r="F119" s="652">
        <f>SUMIFS(OBE!$H:$H,OBE!$C:$C,'Standalone TB'!$B119,OBE!$B:$B,"A21")</f>
        <v>0</v>
      </c>
      <c r="G119" s="652">
        <f>SUMIFS('Elimination - BS'!I:I,'Elimination - BS'!D:D,'Standalone TB'!B119,'Elimination - BS'!A:A,"EA21")</f>
        <v>0</v>
      </c>
      <c r="H119" s="652">
        <f t="shared" si="17"/>
        <v>0</v>
      </c>
      <c r="I119" s="652">
        <v>-2541765.2026721262</v>
      </c>
      <c r="J119" s="684">
        <v>0</v>
      </c>
      <c r="K119" s="652">
        <f>SUMIFS(OBE!$H:$H,OBE!$C:$C,'Standalone TB'!$B119,OBE!$B:$B,"A22")</f>
        <v>0</v>
      </c>
      <c r="L119" s="652">
        <f>SUMIFS('Elimination - BS'!I:I,'Elimination - BS'!D:D,'Standalone TB'!B119,'Elimination - BS'!A:A,"EA22")</f>
        <v>0</v>
      </c>
      <c r="M119" s="652">
        <f t="shared" si="10"/>
        <v>0</v>
      </c>
      <c r="N119" s="652">
        <f t="shared" si="11"/>
        <v>0</v>
      </c>
      <c r="O119" s="652">
        <v>0</v>
      </c>
      <c r="P119" s="685">
        <v>0</v>
      </c>
      <c r="Q119" s="684">
        <v>0</v>
      </c>
      <c r="R119" s="652">
        <f>SUMIFS(OBE!$H:$H,OBE!$C:$C,'Standalone TB'!$B119,OBE!$B:$B,"A20")</f>
        <v>-1681.1781294551038</v>
      </c>
      <c r="S119" s="652">
        <f>SUMIFS('Elimination - BS'!I:I,'Elimination - BS'!D:D,'Standalone TB'!B119,'Elimination - BS'!A:A,"EA20")</f>
        <v>0</v>
      </c>
      <c r="T119" s="652">
        <f>SUM(Q119:S119)</f>
        <v>-1681.1781294551038</v>
      </c>
      <c r="U119" s="652">
        <f t="shared" si="13"/>
        <v>-143847.94013396814</v>
      </c>
      <c r="V119" s="652">
        <v>0</v>
      </c>
      <c r="W119" s="685">
        <v>0</v>
      </c>
      <c r="X119" s="689">
        <f t="shared" si="14"/>
        <v>-143847.94013396814</v>
      </c>
      <c r="Y119" s="689">
        <f t="shared" si="15"/>
        <v>-2541765.2026721262</v>
      </c>
      <c r="Z119" s="652" t="s">
        <v>501</v>
      </c>
      <c r="AA119" s="652" t="s">
        <v>9</v>
      </c>
      <c r="AB119" s="666" t="s">
        <v>1905</v>
      </c>
      <c r="AD119" s="652" t="s">
        <v>1913</v>
      </c>
    </row>
    <row r="120" spans="2:30" hidden="1" x14ac:dyDescent="0.2">
      <c r="B120" s="673" t="s">
        <v>1917</v>
      </c>
      <c r="C120" s="666" t="s">
        <v>1918</v>
      </c>
      <c r="D120" s="666" t="s">
        <v>3</v>
      </c>
      <c r="E120" s="684">
        <v>0</v>
      </c>
      <c r="F120" s="652">
        <f>SUMIFS(OBE!$H:$H,OBE!$C:$C,'Standalone TB'!$B120,OBE!$B:$B,"A21")</f>
        <v>0</v>
      </c>
      <c r="G120" s="652">
        <f>SUMIFS('Elimination - BS'!I:I,'Elimination - BS'!D:D,'Standalone TB'!B120,'Elimination - BS'!A:A,"EA21")</f>
        <v>0</v>
      </c>
      <c r="H120" s="652">
        <f t="shared" si="17"/>
        <v>0</v>
      </c>
      <c r="I120" s="652">
        <v>1180764.1299999999</v>
      </c>
      <c r="J120" s="684">
        <v>0</v>
      </c>
      <c r="K120" s="652">
        <f>SUMIFS(OBE!$H:$H,OBE!$C:$C,'Standalone TB'!$B120,OBE!$B:$B,"A22")</f>
        <v>0</v>
      </c>
      <c r="L120" s="652">
        <f>SUMIFS('Elimination - BS'!I:I,'Elimination - BS'!D:D,'Standalone TB'!B120,'Elimination - BS'!A:A,"EA22")</f>
        <v>0</v>
      </c>
      <c r="M120" s="652">
        <f t="shared" si="10"/>
        <v>0</v>
      </c>
      <c r="N120" s="652">
        <f t="shared" si="11"/>
        <v>0</v>
      </c>
      <c r="O120" s="652">
        <v>0</v>
      </c>
      <c r="P120" s="685">
        <v>0</v>
      </c>
      <c r="Q120" s="684">
        <v>0</v>
      </c>
      <c r="R120" s="652">
        <f>SUMIFS(OBE!$H:$H,OBE!$C:$C,'Standalone TB'!$B120,OBE!$B:$B,"A20")</f>
        <v>0</v>
      </c>
      <c r="S120" s="652">
        <f>SUMIFS('Elimination - BS'!I:I,'Elimination - BS'!D:D,'Standalone TB'!B120,'Elimination - BS'!A:A,"EA20")</f>
        <v>0</v>
      </c>
      <c r="T120" s="652">
        <f t="shared" si="12"/>
        <v>0</v>
      </c>
      <c r="U120" s="652">
        <f t="shared" si="13"/>
        <v>0</v>
      </c>
      <c r="V120" s="652">
        <v>0</v>
      </c>
      <c r="W120" s="685">
        <v>0</v>
      </c>
      <c r="X120" s="689">
        <f t="shared" si="14"/>
        <v>0</v>
      </c>
      <c r="Y120" s="689">
        <f t="shared" si="15"/>
        <v>1180764.1299999999</v>
      </c>
      <c r="Z120" s="652" t="s">
        <v>594</v>
      </c>
      <c r="AA120" s="652" t="s">
        <v>9</v>
      </c>
      <c r="AB120" s="666" t="s">
        <v>1919</v>
      </c>
      <c r="AD120" s="652" t="s">
        <v>1920</v>
      </c>
    </row>
    <row r="121" spans="2:30" hidden="1" x14ac:dyDescent="0.2">
      <c r="B121" s="673" t="s">
        <v>1921</v>
      </c>
      <c r="C121" s="666" t="s">
        <v>1922</v>
      </c>
      <c r="D121" s="666" t="s">
        <v>3</v>
      </c>
      <c r="E121" s="684">
        <v>0.72</v>
      </c>
      <c r="F121" s="652">
        <f>SUMIFS(OBE!$H:$H,OBE!$C:$C,'Standalone TB'!$B121,OBE!$B:$B,"A21")</f>
        <v>0</v>
      </c>
      <c r="G121" s="652">
        <f>SUMIFS('Elimination - BS'!I:I,'Elimination - BS'!D:D,'Standalone TB'!B121,'Elimination - BS'!A:A,"EA21")</f>
        <v>0</v>
      </c>
      <c r="H121" s="652">
        <f t="shared" si="17"/>
        <v>0.72</v>
      </c>
      <c r="I121" s="652">
        <v>0.72</v>
      </c>
      <c r="J121" s="684">
        <v>0</v>
      </c>
      <c r="K121" s="652">
        <f>SUMIFS(OBE!$H:$H,OBE!$C:$C,'Standalone TB'!$B121,OBE!$B:$B,"A22")</f>
        <v>0</v>
      </c>
      <c r="L121" s="652">
        <f>SUMIFS('Elimination - BS'!I:I,'Elimination - BS'!D:D,'Standalone TB'!B121,'Elimination - BS'!A:A,"EA22")</f>
        <v>0</v>
      </c>
      <c r="M121" s="652">
        <f t="shared" si="10"/>
        <v>0</v>
      </c>
      <c r="N121" s="652">
        <f t="shared" si="11"/>
        <v>0</v>
      </c>
      <c r="O121" s="652">
        <v>0</v>
      </c>
      <c r="P121" s="685">
        <v>0</v>
      </c>
      <c r="Q121" s="684">
        <v>0</v>
      </c>
      <c r="R121" s="652">
        <f>SUMIFS(OBE!$H:$H,OBE!$C:$C,'Standalone TB'!$B121,OBE!$B:$B,"A20")</f>
        <v>0</v>
      </c>
      <c r="S121" s="652">
        <f>SUMIFS('Elimination - BS'!I:I,'Elimination - BS'!D:D,'Standalone TB'!B121,'Elimination - BS'!A:A,"EA20")</f>
        <v>0</v>
      </c>
      <c r="T121" s="652">
        <f t="shared" si="12"/>
        <v>0</v>
      </c>
      <c r="U121" s="652">
        <f t="shared" si="13"/>
        <v>0</v>
      </c>
      <c r="V121" s="652">
        <v>0</v>
      </c>
      <c r="W121" s="685">
        <v>0</v>
      </c>
      <c r="X121" s="689">
        <f t="shared" si="14"/>
        <v>0.72</v>
      </c>
      <c r="Y121" s="689">
        <f t="shared" si="15"/>
        <v>0.72</v>
      </c>
      <c r="Z121" s="652" t="s">
        <v>523</v>
      </c>
      <c r="AA121" s="652" t="s">
        <v>9</v>
      </c>
      <c r="AB121" s="666" t="s">
        <v>1923</v>
      </c>
      <c r="AD121" s="652" t="s">
        <v>1924</v>
      </c>
    </row>
    <row r="122" spans="2:30" hidden="1" x14ac:dyDescent="0.2">
      <c r="B122" s="673" t="s">
        <v>1665</v>
      </c>
      <c r="C122" s="666" t="s">
        <v>1925</v>
      </c>
      <c r="D122" s="666" t="s">
        <v>3</v>
      </c>
      <c r="E122" s="684">
        <v>5076480.26</v>
      </c>
      <c r="F122" s="652">
        <f>SUMIFS(OBE!$H:$H,OBE!$C:$C,'Standalone TB'!$B122,OBE!$B:$B,"A21")</f>
        <v>48968</v>
      </c>
      <c r="G122" s="652">
        <f>SUMIFS('Elimination - BS'!I:I,'Elimination - BS'!D:D,'Standalone TB'!B122,'Elimination - BS'!A:A,"EA21")</f>
        <v>0</v>
      </c>
      <c r="H122" s="652">
        <f t="shared" si="17"/>
        <v>5125448.26</v>
      </c>
      <c r="I122" s="652">
        <v>21485729.5</v>
      </c>
      <c r="J122" s="684">
        <v>0</v>
      </c>
      <c r="K122" s="652">
        <f>SUMIFS(OBE!$H:$H,OBE!$C:$C,'Standalone TB'!$B122,OBE!$B:$B,"A22")</f>
        <v>0</v>
      </c>
      <c r="L122" s="652">
        <f>SUMIFS('Elimination - BS'!I:I,'Elimination - BS'!D:D,'Standalone TB'!B122,'Elimination - BS'!A:A,"EA22")</f>
        <v>0</v>
      </c>
      <c r="M122" s="652">
        <f t="shared" si="10"/>
        <v>0</v>
      </c>
      <c r="N122" s="652">
        <f t="shared" si="11"/>
        <v>0</v>
      </c>
      <c r="O122" s="652">
        <v>0</v>
      </c>
      <c r="P122" s="685">
        <v>0</v>
      </c>
      <c r="Q122" s="684">
        <v>0</v>
      </c>
      <c r="R122" s="652">
        <f>SUMIFS(OBE!$H:$H,OBE!$C:$C,'Standalone TB'!$B122,OBE!$B:$B,"A20")</f>
        <v>0</v>
      </c>
      <c r="S122" s="652">
        <f>SUMIFS('Elimination - BS'!I:I,'Elimination - BS'!D:D,'Standalone TB'!B122,'Elimination - BS'!A:A,"EA20")</f>
        <v>0</v>
      </c>
      <c r="T122" s="652">
        <f t="shared" si="12"/>
        <v>0</v>
      </c>
      <c r="U122" s="652">
        <f t="shared" si="13"/>
        <v>0</v>
      </c>
      <c r="V122" s="652">
        <v>0</v>
      </c>
      <c r="W122" s="685">
        <v>0</v>
      </c>
      <c r="X122" s="689">
        <f t="shared" si="14"/>
        <v>5125448.26</v>
      </c>
      <c r="Y122" s="689">
        <f t="shared" si="15"/>
        <v>21485729.5</v>
      </c>
      <c r="Z122" s="652" t="s">
        <v>598</v>
      </c>
      <c r="AA122" s="652" t="s">
        <v>9</v>
      </c>
      <c r="AB122" s="666" t="s">
        <v>1905</v>
      </c>
      <c r="AD122" s="667"/>
    </row>
    <row r="123" spans="2:30" hidden="1" x14ac:dyDescent="0.2">
      <c r="B123" s="673" t="s">
        <v>1588</v>
      </c>
      <c r="C123" s="666" t="s">
        <v>1926</v>
      </c>
      <c r="D123" s="666" t="s">
        <v>3</v>
      </c>
      <c r="E123" s="684">
        <v>21503006</v>
      </c>
      <c r="F123" s="652">
        <f>SUMIFS(OBE!$H:$H,OBE!$C:$C,'Standalone TB'!$B123,OBE!$B:$B,"A21")</f>
        <v>0</v>
      </c>
      <c r="G123" s="652">
        <f>SUMIFS('Elimination - BS'!I:I,'Elimination - BS'!D:D,'Standalone TB'!B123,'Elimination - BS'!A:A,"EA21")</f>
        <v>0</v>
      </c>
      <c r="H123" s="652">
        <f t="shared" si="17"/>
        <v>21503006</v>
      </c>
      <c r="I123" s="652">
        <v>21513901</v>
      </c>
      <c r="J123" s="684">
        <v>0</v>
      </c>
      <c r="K123" s="652">
        <f>SUMIFS(OBE!$H:$H,OBE!$C:$C,'Standalone TB'!$B123,OBE!$B:$B,"A22")</f>
        <v>0</v>
      </c>
      <c r="L123" s="652">
        <f>SUMIFS('Elimination - BS'!I:I,'Elimination - BS'!D:D,'Standalone TB'!B123,'Elimination - BS'!A:A,"EA22")</f>
        <v>0</v>
      </c>
      <c r="M123" s="652">
        <f t="shared" si="10"/>
        <v>0</v>
      </c>
      <c r="N123" s="652">
        <f t="shared" si="11"/>
        <v>0</v>
      </c>
      <c r="O123" s="652">
        <v>0</v>
      </c>
      <c r="P123" s="685">
        <v>0</v>
      </c>
      <c r="Q123" s="684">
        <v>32649.15</v>
      </c>
      <c r="R123" s="652">
        <f>SUMIFS(OBE!$H:$H,OBE!$C:$C,'Standalone TB'!$B123,OBE!$B:$B,"A20")</f>
        <v>-24824.230000000003</v>
      </c>
      <c r="S123" s="652">
        <f>SUMIFS('Elimination - BS'!I:I,'Elimination - BS'!D:D,'Standalone TB'!B123,'Elimination - BS'!A:A,"EA20")</f>
        <v>0</v>
      </c>
      <c r="T123" s="652">
        <f t="shared" si="12"/>
        <v>7824.9199999999983</v>
      </c>
      <c r="U123" s="652">
        <f t="shared" si="13"/>
        <v>669529.66136783722</v>
      </c>
      <c r="V123" s="652">
        <v>32649.15</v>
      </c>
      <c r="W123" s="685">
        <v>2721016.075065</v>
      </c>
      <c r="X123" s="689">
        <f t="shared" si="14"/>
        <v>22172535.661367837</v>
      </c>
      <c r="Y123" s="689">
        <f t="shared" si="15"/>
        <v>24234917.075065002</v>
      </c>
      <c r="Z123" s="652" t="s">
        <v>501</v>
      </c>
      <c r="AA123" s="652" t="s">
        <v>9</v>
      </c>
      <c r="AB123" s="666" t="s">
        <v>1905</v>
      </c>
      <c r="AD123" s="652" t="s">
        <v>1927</v>
      </c>
    </row>
    <row r="124" spans="2:30" hidden="1" x14ac:dyDescent="0.2">
      <c r="B124" s="673" t="s">
        <v>1590</v>
      </c>
      <c r="C124" s="666" t="s">
        <v>1928</v>
      </c>
      <c r="D124" s="666" t="s">
        <v>3</v>
      </c>
      <c r="E124" s="684">
        <v>3555305.4</v>
      </c>
      <c r="F124" s="652">
        <f>SUMIFS(OBE!$H:$H,OBE!$C:$C,'Standalone TB'!$B124,OBE!$B:$B,"A21")</f>
        <v>636486</v>
      </c>
      <c r="G124" s="652">
        <f>SUMIFS('Elimination - BS'!I:I,'Elimination - BS'!D:D,'Standalone TB'!B124,'Elimination - BS'!A:A,"EA21")</f>
        <v>0</v>
      </c>
      <c r="H124" s="652">
        <f t="shared" si="17"/>
        <v>4191791.4</v>
      </c>
      <c r="I124" s="652">
        <v>3311377</v>
      </c>
      <c r="J124" s="684">
        <v>458994.44</v>
      </c>
      <c r="K124" s="652">
        <f>SUMIFS(OBE!$H:$H,OBE!$C:$C,'Standalone TB'!$B124,OBE!$B:$B,"A22")</f>
        <v>-86980</v>
      </c>
      <c r="L124" s="652">
        <f>SUMIFS('Elimination - BS'!I:I,'Elimination - BS'!D:D,'Standalone TB'!B124,'Elimination - BS'!A:A,"EA22")</f>
        <v>0</v>
      </c>
      <c r="M124" s="652">
        <f t="shared" si="10"/>
        <v>372014.44</v>
      </c>
      <c r="N124" s="652">
        <f t="shared" si="11"/>
        <v>8665667.232680222</v>
      </c>
      <c r="O124" s="652">
        <v>418247.44</v>
      </c>
      <c r="P124" s="685">
        <v>9489741.6403919999</v>
      </c>
      <c r="Q124" s="684">
        <v>0</v>
      </c>
      <c r="R124" s="652">
        <f>SUMIFS(OBE!$H:$H,OBE!$C:$C,'Standalone TB'!$B124,OBE!$B:$B,"A20")</f>
        <v>32649.15</v>
      </c>
      <c r="S124" s="652">
        <f>SUMIFS('Elimination - BS'!I:I,'Elimination - BS'!D:D,'Standalone TB'!B124,'Elimination - BS'!A:A,"EA20")</f>
        <v>0</v>
      </c>
      <c r="T124" s="652">
        <f t="shared" si="12"/>
        <v>32649.15</v>
      </c>
      <c r="U124" s="652">
        <f>T124*$V$2</f>
        <v>2793584.3872458413</v>
      </c>
      <c r="V124" s="652">
        <v>0</v>
      </c>
      <c r="W124" s="685">
        <v>0</v>
      </c>
      <c r="X124" s="689">
        <f t="shared" si="14"/>
        <v>15651043.019926064</v>
      </c>
      <c r="Y124" s="689">
        <f t="shared" si="15"/>
        <v>12801118.640392</v>
      </c>
      <c r="Z124" s="652" t="s">
        <v>501</v>
      </c>
      <c r="AA124" s="652" t="s">
        <v>9</v>
      </c>
      <c r="AB124" s="666" t="s">
        <v>1905</v>
      </c>
      <c r="AD124" s="652" t="s">
        <v>1929</v>
      </c>
    </row>
    <row r="125" spans="2:30" ht="12.5" hidden="1" x14ac:dyDescent="0.25">
      <c r="B125" s="674" t="s">
        <v>1930</v>
      </c>
      <c r="C125" s="675" t="s">
        <v>1931</v>
      </c>
      <c r="D125" s="666" t="s">
        <v>3</v>
      </c>
      <c r="E125" s="684">
        <v>0</v>
      </c>
      <c r="F125" s="652">
        <f>SUMIFS(OBE!$H:$H,OBE!$C:$C,'Standalone TB'!$B125,OBE!$B:$B,"A21")</f>
        <v>0</v>
      </c>
      <c r="G125" s="652">
        <f>SUMIFS('Elimination - BS'!I:I,'Elimination - BS'!D:D,'Standalone TB'!B125,'Elimination - BS'!A:A,"EA21")</f>
        <v>0</v>
      </c>
      <c r="H125" s="652">
        <f t="shared" si="17"/>
        <v>0</v>
      </c>
      <c r="I125" s="652">
        <v>0</v>
      </c>
      <c r="J125" s="684">
        <v>0</v>
      </c>
      <c r="K125" s="652">
        <f>SUMIFS(OBE!$H:$H,OBE!$C:$C,'Standalone TB'!$B125,OBE!$B:$B,"A22")</f>
        <v>0</v>
      </c>
      <c r="L125" s="652">
        <f>SUMIFS('Elimination - BS'!I:I,'Elimination - BS'!D:D,'Standalone TB'!B125,'Elimination - BS'!A:A,"EA22")</f>
        <v>0</v>
      </c>
      <c r="M125" s="652">
        <f t="shared" si="10"/>
        <v>0</v>
      </c>
      <c r="N125" s="652">
        <f t="shared" si="11"/>
        <v>0</v>
      </c>
      <c r="O125" s="652">
        <v>0</v>
      </c>
      <c r="P125" s="685">
        <v>0</v>
      </c>
      <c r="Q125" s="684">
        <v>0</v>
      </c>
      <c r="R125" s="652">
        <f>SUMIFS(OBE!$H:$H,OBE!$C:$C,'Standalone TB'!$B125,OBE!$B:$B,"A20")</f>
        <v>0</v>
      </c>
      <c r="S125" s="652">
        <f>SUMIFS('Elimination - BS'!I:I,'Elimination - BS'!D:D,'Standalone TB'!B125,'Elimination - BS'!A:A,"EA20")</f>
        <v>0</v>
      </c>
      <c r="T125" s="652">
        <f t="shared" si="12"/>
        <v>0</v>
      </c>
      <c r="U125" s="652">
        <f t="shared" si="13"/>
        <v>0</v>
      </c>
      <c r="V125" s="652">
        <v>0</v>
      </c>
      <c r="W125" s="685">
        <v>0</v>
      </c>
      <c r="X125" s="689">
        <f t="shared" si="14"/>
        <v>0</v>
      </c>
      <c r="Y125" s="689">
        <f t="shared" si="15"/>
        <v>0</v>
      </c>
      <c r="Z125" s="652" t="s">
        <v>501</v>
      </c>
      <c r="AA125" s="652" t="s">
        <v>9</v>
      </c>
      <c r="AB125" s="666" t="s">
        <v>1905</v>
      </c>
      <c r="AD125" s="652" t="s">
        <v>1924</v>
      </c>
    </row>
    <row r="126" spans="2:30" hidden="1" x14ac:dyDescent="0.2">
      <c r="B126" s="673" t="s">
        <v>1932</v>
      </c>
      <c r="C126" s="666" t="s">
        <v>1933</v>
      </c>
      <c r="D126" s="666" t="s">
        <v>3</v>
      </c>
      <c r="E126" s="684">
        <v>0</v>
      </c>
      <c r="F126" s="652">
        <f>SUMIFS(OBE!$H:$H,OBE!$C:$C,'Standalone TB'!$B126,OBE!$B:$B,"A21")</f>
        <v>0</v>
      </c>
      <c r="G126" s="652">
        <f>SUMIFS('Elimination - BS'!I:I,'Elimination - BS'!D:D,'Standalone TB'!B126,'Elimination - BS'!A:A,"EA21")</f>
        <v>0</v>
      </c>
      <c r="H126" s="652">
        <f t="shared" si="17"/>
        <v>0</v>
      </c>
      <c r="I126" s="652">
        <v>0</v>
      </c>
      <c r="J126" s="684">
        <v>0</v>
      </c>
      <c r="K126" s="652">
        <f>SUMIFS(OBE!$H:$H,OBE!$C:$C,'Standalone TB'!$B126,OBE!$B:$B,"A22")</f>
        <v>0</v>
      </c>
      <c r="L126" s="652">
        <f>SUMIFS('Elimination - BS'!I:I,'Elimination - BS'!D:D,'Standalone TB'!B126,'Elimination - BS'!A:A,"EA22")</f>
        <v>0</v>
      </c>
      <c r="M126" s="652">
        <f t="shared" si="10"/>
        <v>0</v>
      </c>
      <c r="N126" s="652">
        <f t="shared" si="11"/>
        <v>0</v>
      </c>
      <c r="O126" s="652">
        <v>0</v>
      </c>
      <c r="P126" s="685">
        <v>0</v>
      </c>
      <c r="Q126" s="684">
        <v>0</v>
      </c>
      <c r="R126" s="652">
        <f>SUMIFS(OBE!$H:$H,OBE!$C:$C,'Standalone TB'!$B126,OBE!$B:$B,"A20")</f>
        <v>0</v>
      </c>
      <c r="S126" s="652">
        <f>SUMIFS('Elimination - BS'!I:I,'Elimination - BS'!D:D,'Standalone TB'!B126,'Elimination - BS'!A:A,"EA20")</f>
        <v>0</v>
      </c>
      <c r="T126" s="652">
        <f t="shared" si="12"/>
        <v>0</v>
      </c>
      <c r="U126" s="652">
        <f t="shared" si="13"/>
        <v>0</v>
      </c>
      <c r="V126" s="652">
        <v>0</v>
      </c>
      <c r="W126" s="685">
        <v>0</v>
      </c>
      <c r="X126" s="689">
        <f t="shared" si="14"/>
        <v>0</v>
      </c>
      <c r="Y126" s="689">
        <f t="shared" si="15"/>
        <v>0</v>
      </c>
      <c r="Z126" s="652"/>
      <c r="AA126" s="652"/>
      <c r="AD126" s="665"/>
    </row>
    <row r="127" spans="2:30" hidden="1" x14ac:dyDescent="0.2">
      <c r="B127" s="673" t="s">
        <v>1934</v>
      </c>
      <c r="C127" s="666" t="s">
        <v>1935</v>
      </c>
      <c r="D127" s="666" t="s">
        <v>3</v>
      </c>
      <c r="E127" s="684">
        <v>183816</v>
      </c>
      <c r="F127" s="652">
        <f>SUMIFS(OBE!$H:$H,OBE!$C:$C,'Standalone TB'!$B127,OBE!$B:$B,"A21")</f>
        <v>0</v>
      </c>
      <c r="G127" s="652">
        <f>SUMIFS('Elimination - BS'!I:I,'Elimination - BS'!D:D,'Standalone TB'!B127,'Elimination - BS'!A:A,"EA21")</f>
        <v>0</v>
      </c>
      <c r="H127" s="652">
        <f t="shared" si="17"/>
        <v>183816</v>
      </c>
      <c r="I127" s="652">
        <v>183816</v>
      </c>
      <c r="J127" s="684">
        <v>0</v>
      </c>
      <c r="K127" s="652">
        <f>SUMIFS(OBE!$H:$H,OBE!$C:$C,'Standalone TB'!$B127,OBE!$B:$B,"A22")</f>
        <v>0</v>
      </c>
      <c r="L127" s="652">
        <f>SUMIFS('Elimination - BS'!I:I,'Elimination - BS'!D:D,'Standalone TB'!B127,'Elimination - BS'!A:A,"EA22")</f>
        <v>0</v>
      </c>
      <c r="M127" s="652">
        <f t="shared" si="10"/>
        <v>0</v>
      </c>
      <c r="N127" s="652">
        <f t="shared" si="11"/>
        <v>0</v>
      </c>
      <c r="O127" s="652">
        <v>0</v>
      </c>
      <c r="P127" s="685">
        <v>0</v>
      </c>
      <c r="Q127" s="684">
        <v>0</v>
      </c>
      <c r="R127" s="652">
        <f>SUMIFS(OBE!$H:$H,OBE!$C:$C,'Standalone TB'!$B127,OBE!$B:$B,"A20")</f>
        <v>0</v>
      </c>
      <c r="S127" s="652">
        <f>SUMIFS('Elimination - BS'!I:I,'Elimination - BS'!D:D,'Standalone TB'!B127,'Elimination - BS'!A:A,"EA20")</f>
        <v>0</v>
      </c>
      <c r="T127" s="652">
        <f t="shared" si="12"/>
        <v>0</v>
      </c>
      <c r="U127" s="652">
        <f t="shared" si="13"/>
        <v>0</v>
      </c>
      <c r="V127" s="652">
        <v>0</v>
      </c>
      <c r="W127" s="685">
        <v>0</v>
      </c>
      <c r="X127" s="689">
        <f t="shared" si="14"/>
        <v>183816</v>
      </c>
      <c r="Y127" s="689">
        <f t="shared" si="15"/>
        <v>183816</v>
      </c>
      <c r="Z127" s="652" t="s">
        <v>521</v>
      </c>
      <c r="AA127" s="652" t="s">
        <v>9</v>
      </c>
      <c r="AB127" s="666" t="s">
        <v>1923</v>
      </c>
      <c r="AD127" s="665" t="s">
        <v>1936</v>
      </c>
    </row>
    <row r="128" spans="2:30" hidden="1" x14ac:dyDescent="0.2">
      <c r="B128" s="673" t="s">
        <v>1937</v>
      </c>
      <c r="C128" s="666" t="s">
        <v>1938</v>
      </c>
      <c r="D128" s="666" t="s">
        <v>3</v>
      </c>
      <c r="E128" s="684">
        <v>0</v>
      </c>
      <c r="F128" s="652">
        <f>SUMIFS(OBE!$H:$H,OBE!$C:$C,'Standalone TB'!$B128,OBE!$B:$B,"A21")</f>
        <v>0</v>
      </c>
      <c r="G128" s="652">
        <f>SUMIFS('Elimination - BS'!I:I,'Elimination - BS'!D:D,'Standalone TB'!B128,'Elimination - BS'!A:A,"EA21")</f>
        <v>0</v>
      </c>
      <c r="H128" s="652">
        <f t="shared" si="17"/>
        <v>0</v>
      </c>
      <c r="I128" s="652">
        <v>0</v>
      </c>
      <c r="J128" s="684">
        <v>0</v>
      </c>
      <c r="K128" s="652">
        <f>SUMIFS(OBE!$H:$H,OBE!$C:$C,'Standalone TB'!$B128,OBE!$B:$B,"A22")</f>
        <v>0</v>
      </c>
      <c r="L128" s="652">
        <f>SUMIFS('Elimination - BS'!I:I,'Elimination - BS'!D:D,'Standalone TB'!B128,'Elimination - BS'!A:A,"EA22")</f>
        <v>0</v>
      </c>
      <c r="M128" s="652">
        <f t="shared" si="10"/>
        <v>0</v>
      </c>
      <c r="N128" s="652">
        <f t="shared" si="11"/>
        <v>0</v>
      </c>
      <c r="O128" s="652">
        <v>0</v>
      </c>
      <c r="P128" s="685">
        <v>0</v>
      </c>
      <c r="Q128" s="684">
        <v>0</v>
      </c>
      <c r="R128" s="652">
        <f>SUMIFS(OBE!$H:$H,OBE!$C:$C,'Standalone TB'!$B128,OBE!$B:$B,"A20")</f>
        <v>0</v>
      </c>
      <c r="S128" s="652">
        <f>SUMIFS('Elimination - BS'!I:I,'Elimination - BS'!D:D,'Standalone TB'!B128,'Elimination - BS'!A:A,"EA20")</f>
        <v>0</v>
      </c>
      <c r="T128" s="652">
        <f t="shared" si="12"/>
        <v>0</v>
      </c>
      <c r="U128" s="652">
        <f t="shared" si="13"/>
        <v>0</v>
      </c>
      <c r="V128" s="652">
        <v>0</v>
      </c>
      <c r="W128" s="685">
        <v>0</v>
      </c>
      <c r="X128" s="689">
        <f t="shared" si="14"/>
        <v>0</v>
      </c>
      <c r="Y128" s="689">
        <f t="shared" si="15"/>
        <v>0</v>
      </c>
      <c r="Z128" s="652" t="s">
        <v>1939</v>
      </c>
      <c r="AA128" s="652" t="s">
        <v>9</v>
      </c>
      <c r="AB128" s="666" t="s">
        <v>881</v>
      </c>
      <c r="AC128" s="652">
        <f>SUM(X128:X143)</f>
        <v>98125817.698576689</v>
      </c>
      <c r="AD128" s="665"/>
    </row>
    <row r="129" spans="2:30" hidden="1" x14ac:dyDescent="0.2">
      <c r="B129" s="673" t="s">
        <v>1940</v>
      </c>
      <c r="C129" s="666" t="s">
        <v>1941</v>
      </c>
      <c r="D129" s="666" t="s">
        <v>3</v>
      </c>
      <c r="E129" s="684">
        <v>0</v>
      </c>
      <c r="F129" s="652">
        <f>SUMIFS(OBE!$H:$H,OBE!$C:$C,'Standalone TB'!$B129,OBE!$B:$B,"A21")</f>
        <v>0</v>
      </c>
      <c r="G129" s="652">
        <f>SUMIFS('Elimination - BS'!I:I,'Elimination - BS'!D:D,'Standalone TB'!B129,'Elimination - BS'!A:A,"EA21")</f>
        <v>0</v>
      </c>
      <c r="H129" s="652">
        <f t="shared" si="17"/>
        <v>0</v>
      </c>
      <c r="I129" s="652">
        <v>0</v>
      </c>
      <c r="J129" s="684">
        <v>0</v>
      </c>
      <c r="K129" s="652">
        <f>SUMIFS(OBE!$H:$H,OBE!$C:$C,'Standalone TB'!$B129,OBE!$B:$B,"A22")</f>
        <v>0</v>
      </c>
      <c r="L129" s="652">
        <f>SUMIFS('Elimination - BS'!I:I,'Elimination - BS'!D:D,'Standalone TB'!B129,'Elimination - BS'!A:A,"EA22")</f>
        <v>0</v>
      </c>
      <c r="M129" s="652">
        <f t="shared" si="10"/>
        <v>0</v>
      </c>
      <c r="N129" s="652">
        <f t="shared" si="11"/>
        <v>0</v>
      </c>
      <c r="O129" s="652">
        <v>0</v>
      </c>
      <c r="P129" s="685">
        <v>0</v>
      </c>
      <c r="Q129" s="684">
        <v>0</v>
      </c>
      <c r="R129" s="652">
        <f>SUMIFS(OBE!$H:$H,OBE!$C:$C,'Standalone TB'!$B129,OBE!$B:$B,"A20")</f>
        <v>0</v>
      </c>
      <c r="S129" s="652">
        <f>SUMIFS('Elimination - BS'!I:I,'Elimination - BS'!D:D,'Standalone TB'!B129,'Elimination - BS'!A:A,"EA20")</f>
        <v>0</v>
      </c>
      <c r="T129" s="652">
        <f t="shared" si="12"/>
        <v>0</v>
      </c>
      <c r="U129" s="652">
        <f t="shared" si="13"/>
        <v>0</v>
      </c>
      <c r="V129" s="652">
        <v>0</v>
      </c>
      <c r="W129" s="685">
        <v>0</v>
      </c>
      <c r="X129" s="689">
        <f t="shared" si="14"/>
        <v>0</v>
      </c>
      <c r="Y129" s="689">
        <f t="shared" si="15"/>
        <v>0</v>
      </c>
      <c r="Z129" s="652" t="s">
        <v>1939</v>
      </c>
      <c r="AA129" s="652" t="s">
        <v>9</v>
      </c>
      <c r="AB129" s="666" t="s">
        <v>881</v>
      </c>
      <c r="AD129" s="665"/>
    </row>
    <row r="130" spans="2:30" hidden="1" x14ac:dyDescent="0.2">
      <c r="B130" s="673" t="s">
        <v>1664</v>
      </c>
      <c r="C130" s="666" t="s">
        <v>1942</v>
      </c>
      <c r="D130" s="666" t="s">
        <v>3</v>
      </c>
      <c r="E130" s="684">
        <v>7522191</v>
      </c>
      <c r="F130" s="652">
        <f>SUMIFS(OBE!$H:$H,OBE!$C:$C,'Standalone TB'!$B130,OBE!$B:$B,"A21")</f>
        <v>-81391</v>
      </c>
      <c r="G130" s="652">
        <f>SUMIFS('Elimination - BS'!I:I,'Elimination - BS'!D:D,'Standalone TB'!B130,'Elimination - BS'!A:A,"EA21")</f>
        <v>0</v>
      </c>
      <c r="H130" s="652">
        <f t="shared" si="17"/>
        <v>7440800</v>
      </c>
      <c r="I130" s="652">
        <v>6104129</v>
      </c>
      <c r="J130" s="684">
        <v>0</v>
      </c>
      <c r="K130" s="652">
        <f>SUMIFS(OBE!$H:$H,OBE!$C:$C,'Standalone TB'!$B130,OBE!$B:$B,"A22")</f>
        <v>0</v>
      </c>
      <c r="L130" s="652">
        <f>SUMIFS('Elimination - BS'!I:I,'Elimination - BS'!D:D,'Standalone TB'!B130,'Elimination - BS'!A:A,"EA22")</f>
        <v>0</v>
      </c>
      <c r="M130" s="652">
        <f t="shared" si="10"/>
        <v>0</v>
      </c>
      <c r="N130" s="652">
        <f t="shared" si="11"/>
        <v>0</v>
      </c>
      <c r="O130" s="652">
        <v>0</v>
      </c>
      <c r="P130" s="685">
        <v>0</v>
      </c>
      <c r="Q130" s="684">
        <v>0</v>
      </c>
      <c r="R130" s="652">
        <f>SUMIFS(OBE!$H:$H,OBE!$C:$C,'Standalone TB'!$B130,OBE!$B:$B,"A20")</f>
        <v>0</v>
      </c>
      <c r="S130" s="652">
        <f>SUMIFS('Elimination - BS'!I:I,'Elimination - BS'!D:D,'Standalone TB'!B130,'Elimination - BS'!A:A,"EA20")</f>
        <v>0</v>
      </c>
      <c r="T130" s="652">
        <f t="shared" si="12"/>
        <v>0</v>
      </c>
      <c r="U130" s="652">
        <f t="shared" si="13"/>
        <v>0</v>
      </c>
      <c r="V130" s="652">
        <v>0</v>
      </c>
      <c r="W130" s="685">
        <v>0</v>
      </c>
      <c r="X130" s="689">
        <f t="shared" si="14"/>
        <v>7440800</v>
      </c>
      <c r="Y130" s="689">
        <f t="shared" si="15"/>
        <v>6104129</v>
      </c>
      <c r="Z130" s="652" t="s">
        <v>1943</v>
      </c>
      <c r="AA130" s="652" t="s">
        <v>9</v>
      </c>
      <c r="AB130" s="666" t="s">
        <v>881</v>
      </c>
      <c r="AD130" s="665"/>
    </row>
    <row r="131" spans="2:30" hidden="1" x14ac:dyDescent="0.2">
      <c r="B131" s="673" t="s">
        <v>1944</v>
      </c>
      <c r="C131" s="666" t="s">
        <v>1945</v>
      </c>
      <c r="D131" s="666" t="s">
        <v>3</v>
      </c>
      <c r="E131" s="684">
        <v>0</v>
      </c>
      <c r="F131" s="652">
        <f>SUMIFS(OBE!$H:$H,OBE!$C:$C,'Standalone TB'!$B131,OBE!$B:$B,"A21")</f>
        <v>0</v>
      </c>
      <c r="G131" s="652">
        <f>SUMIFS('Elimination - BS'!I:I,'Elimination - BS'!D:D,'Standalone TB'!B131,'Elimination - BS'!A:A,"EA21")</f>
        <v>0</v>
      </c>
      <c r="H131" s="652">
        <f t="shared" si="17"/>
        <v>0</v>
      </c>
      <c r="I131" s="652">
        <v>0</v>
      </c>
      <c r="J131" s="684">
        <v>0</v>
      </c>
      <c r="K131" s="652">
        <f>SUMIFS(OBE!$H:$H,OBE!$C:$C,'Standalone TB'!$B131,OBE!$B:$B,"A22")</f>
        <v>0</v>
      </c>
      <c r="L131" s="652">
        <f>SUMIFS('Elimination - BS'!I:I,'Elimination - BS'!D:D,'Standalone TB'!B131,'Elimination - BS'!A:A,"EA22")</f>
        <v>0</v>
      </c>
      <c r="M131" s="652">
        <f t="shared" si="10"/>
        <v>0</v>
      </c>
      <c r="N131" s="652">
        <f t="shared" si="11"/>
        <v>0</v>
      </c>
      <c r="O131" s="652">
        <v>0</v>
      </c>
      <c r="P131" s="685">
        <v>0</v>
      </c>
      <c r="Q131" s="684">
        <v>0</v>
      </c>
      <c r="R131" s="652">
        <f>SUMIFS(OBE!$H:$H,OBE!$C:$C,'Standalone TB'!$B131,OBE!$B:$B,"A20")</f>
        <v>0</v>
      </c>
      <c r="S131" s="652">
        <f>SUMIFS('Elimination - BS'!I:I,'Elimination - BS'!D:D,'Standalone TB'!B131,'Elimination - BS'!A:A,"EA20")</f>
        <v>0</v>
      </c>
      <c r="T131" s="652">
        <f t="shared" si="12"/>
        <v>0</v>
      </c>
      <c r="U131" s="652">
        <f t="shared" si="13"/>
        <v>0</v>
      </c>
      <c r="V131" s="652">
        <v>0</v>
      </c>
      <c r="W131" s="685">
        <v>0</v>
      </c>
      <c r="X131" s="689">
        <f t="shared" si="14"/>
        <v>0</v>
      </c>
      <c r="Y131" s="689">
        <f t="shared" si="15"/>
        <v>0</v>
      </c>
      <c r="Z131" s="652" t="s">
        <v>1943</v>
      </c>
      <c r="AA131" s="652" t="s">
        <v>9</v>
      </c>
      <c r="AB131" s="666" t="s">
        <v>881</v>
      </c>
      <c r="AD131" s="665"/>
    </row>
    <row r="132" spans="2:30" hidden="1" x14ac:dyDescent="0.2">
      <c r="B132" s="673" t="s">
        <v>1946</v>
      </c>
      <c r="C132" s="666" t="s">
        <v>1947</v>
      </c>
      <c r="D132" s="666" t="s">
        <v>3</v>
      </c>
      <c r="E132" s="684">
        <v>-79005240.969999999</v>
      </c>
      <c r="F132" s="652">
        <f>SUMIFS(OBE!$H:$H,OBE!$C:$C,'Standalone TB'!$B132,OBE!$B:$B,"A21")</f>
        <v>0</v>
      </c>
      <c r="G132" s="652">
        <f>SUMIFS('Elimination - BS'!I:I,'Elimination - BS'!D:D,'Standalone TB'!B132,'Elimination - BS'!A:A,"EA21")</f>
        <v>0</v>
      </c>
      <c r="H132" s="652">
        <f t="shared" si="17"/>
        <v>-79005240.969999999</v>
      </c>
      <c r="I132" s="652">
        <v>1577664.03</v>
      </c>
      <c r="J132" s="684">
        <v>0</v>
      </c>
      <c r="K132" s="652">
        <f>SUMIFS(OBE!$H:$H,OBE!$C:$C,'Standalone TB'!$B132,OBE!$B:$B,"A22")</f>
        <v>0</v>
      </c>
      <c r="L132" s="652">
        <f>SUMIFS('Elimination - BS'!I:I,'Elimination - BS'!D:D,'Standalone TB'!B132,'Elimination - BS'!A:A,"EA22")</f>
        <v>0</v>
      </c>
      <c r="M132" s="652">
        <f t="shared" si="10"/>
        <v>0</v>
      </c>
      <c r="N132" s="652">
        <f t="shared" si="11"/>
        <v>0</v>
      </c>
      <c r="O132" s="652">
        <v>0</v>
      </c>
      <c r="P132" s="685">
        <v>0</v>
      </c>
      <c r="Q132" s="684">
        <v>0</v>
      </c>
      <c r="R132" s="652">
        <f>SUMIFS(OBE!$H:$H,OBE!$C:$C,'Standalone TB'!$B132,OBE!$B:$B,"A20")</f>
        <v>0</v>
      </c>
      <c r="S132" s="652">
        <f>SUMIFS('Elimination - BS'!I:I,'Elimination - BS'!D:D,'Standalone TB'!B132,'Elimination - BS'!A:A,"EA20")</f>
        <v>0</v>
      </c>
      <c r="T132" s="652">
        <f t="shared" si="12"/>
        <v>0</v>
      </c>
      <c r="U132" s="652">
        <f t="shared" si="13"/>
        <v>0</v>
      </c>
      <c r="V132" s="652">
        <v>0</v>
      </c>
      <c r="W132" s="685">
        <v>0</v>
      </c>
      <c r="X132" s="689">
        <f t="shared" si="14"/>
        <v>-79005240.969999999</v>
      </c>
      <c r="Y132" s="689">
        <f t="shared" si="15"/>
        <v>1577664.03</v>
      </c>
      <c r="Z132" s="652" t="s">
        <v>1948</v>
      </c>
      <c r="AA132" s="652" t="s">
        <v>9</v>
      </c>
      <c r="AB132" s="666" t="s">
        <v>881</v>
      </c>
      <c r="AD132" s="665"/>
    </row>
    <row r="133" spans="2:30" hidden="1" x14ac:dyDescent="0.2">
      <c r="B133" s="673" t="s">
        <v>1949</v>
      </c>
      <c r="C133" s="666" t="s">
        <v>1950</v>
      </c>
      <c r="D133" s="666" t="s">
        <v>3</v>
      </c>
      <c r="E133" s="684">
        <v>0</v>
      </c>
      <c r="F133" s="652">
        <f>SUMIFS(OBE!$H:$H,OBE!$C:$C,'Standalone TB'!$B133,OBE!$B:$B,"A21")</f>
        <v>0</v>
      </c>
      <c r="G133" s="652">
        <f>SUMIFS('Elimination - BS'!I:I,'Elimination - BS'!D:D,'Standalone TB'!B133,'Elimination - BS'!A:A,"EA21")</f>
        <v>0</v>
      </c>
      <c r="H133" s="652">
        <f t="shared" si="17"/>
        <v>0</v>
      </c>
      <c r="I133" s="652">
        <v>0</v>
      </c>
      <c r="J133" s="684">
        <v>53460.05</v>
      </c>
      <c r="K133" s="652">
        <f>SUMIFS(OBE!$H:$H,OBE!$C:$C,'Standalone TB'!$B133,OBE!$B:$B,"A22")</f>
        <v>0</v>
      </c>
      <c r="L133" s="652">
        <f>SUMIFS('Elimination - BS'!I:I,'Elimination - BS'!D:D,'Standalone TB'!B133,'Elimination - BS'!A:A,"EA22")</f>
        <v>0</v>
      </c>
      <c r="M133" s="652">
        <f t="shared" si="10"/>
        <v>53460.05</v>
      </c>
      <c r="N133" s="652">
        <f t="shared" si="11"/>
        <v>1245293.0685767098</v>
      </c>
      <c r="O133" s="652">
        <v>53460.05</v>
      </c>
      <c r="P133" s="685">
        <v>1212971.112465</v>
      </c>
      <c r="Q133" s="684">
        <v>0</v>
      </c>
      <c r="R133" s="652">
        <f>SUMIFS(OBE!$H:$H,OBE!$C:$C,'Standalone TB'!$B133,OBE!$B:$B,"A20")</f>
        <v>0</v>
      </c>
      <c r="S133" s="652">
        <f>SUMIFS('Elimination - BS'!I:I,'Elimination - BS'!D:D,'Standalone TB'!B133,'Elimination - BS'!A:A,"EA20")</f>
        <v>0</v>
      </c>
      <c r="T133" s="652">
        <f t="shared" si="12"/>
        <v>0</v>
      </c>
      <c r="U133" s="652">
        <f t="shared" si="13"/>
        <v>0</v>
      </c>
      <c r="V133" s="652">
        <v>0</v>
      </c>
      <c r="W133" s="685">
        <v>0</v>
      </c>
      <c r="X133" s="689">
        <f t="shared" si="14"/>
        <v>1245293.0685767098</v>
      </c>
      <c r="Y133" s="689">
        <f t="shared" si="15"/>
        <v>1212971.112465</v>
      </c>
      <c r="Z133" s="652" t="s">
        <v>1951</v>
      </c>
      <c r="AA133" s="652" t="s">
        <v>9</v>
      </c>
      <c r="AB133" s="666" t="s">
        <v>881</v>
      </c>
      <c r="AD133" s="665"/>
    </row>
    <row r="134" spans="2:30" hidden="1" x14ac:dyDescent="0.2">
      <c r="B134" s="673" t="s">
        <v>1952</v>
      </c>
      <c r="C134" s="666" t="s">
        <v>1953</v>
      </c>
      <c r="D134" s="666" t="s">
        <v>3</v>
      </c>
      <c r="E134" s="684">
        <v>0</v>
      </c>
      <c r="F134" s="652">
        <f>SUMIFS(OBE!$H:$H,OBE!$C:$C,'Standalone TB'!$B134,OBE!$B:$B,"A21")</f>
        <v>0</v>
      </c>
      <c r="G134" s="652">
        <f>SUMIFS('Elimination - BS'!I:I,'Elimination - BS'!D:D,'Standalone TB'!B134,'Elimination - BS'!A:A,"EA21")</f>
        <v>0</v>
      </c>
      <c r="H134" s="652">
        <f t="shared" si="17"/>
        <v>0</v>
      </c>
      <c r="I134" s="652">
        <v>0</v>
      </c>
      <c r="J134" s="684">
        <v>0</v>
      </c>
      <c r="K134" s="652">
        <f>SUMIFS(OBE!$H:$H,OBE!$C:$C,'Standalone TB'!$B134,OBE!$B:$B,"A22")</f>
        <v>0</v>
      </c>
      <c r="L134" s="652">
        <f>SUMIFS('Elimination - BS'!I:I,'Elimination - BS'!D:D,'Standalone TB'!B134,'Elimination - BS'!A:A,"EA22")</f>
        <v>0</v>
      </c>
      <c r="M134" s="652">
        <f t="shared" si="10"/>
        <v>0</v>
      </c>
      <c r="N134" s="652">
        <f t="shared" si="11"/>
        <v>0</v>
      </c>
      <c r="O134" s="652">
        <v>0</v>
      </c>
      <c r="P134" s="685">
        <v>0</v>
      </c>
      <c r="Q134" s="684">
        <v>0</v>
      </c>
      <c r="R134" s="652">
        <f>SUMIFS(OBE!$H:$H,OBE!$C:$C,'Standalone TB'!$B134,OBE!$B:$B,"A20")</f>
        <v>0</v>
      </c>
      <c r="S134" s="652">
        <f>SUMIFS('Elimination - BS'!I:I,'Elimination - BS'!D:D,'Standalone TB'!B134,'Elimination - BS'!A:A,"EA20")</f>
        <v>0</v>
      </c>
      <c r="T134" s="652">
        <f t="shared" si="12"/>
        <v>0</v>
      </c>
      <c r="U134" s="652">
        <f t="shared" si="13"/>
        <v>0</v>
      </c>
      <c r="V134" s="652">
        <v>0</v>
      </c>
      <c r="W134" s="685">
        <v>0</v>
      </c>
      <c r="X134" s="689">
        <f t="shared" si="14"/>
        <v>0</v>
      </c>
      <c r="Y134" s="689">
        <f t="shared" si="15"/>
        <v>0</v>
      </c>
      <c r="Z134" s="652" t="s">
        <v>1939</v>
      </c>
      <c r="AA134" s="652" t="s">
        <v>9</v>
      </c>
      <c r="AB134" s="666" t="s">
        <v>881</v>
      </c>
      <c r="AD134" s="665"/>
    </row>
    <row r="135" spans="2:30" hidden="1" x14ac:dyDescent="0.2">
      <c r="B135" s="673" t="s">
        <v>1954</v>
      </c>
      <c r="C135" s="666" t="s">
        <v>1955</v>
      </c>
      <c r="D135" s="666" t="s">
        <v>3</v>
      </c>
      <c r="E135" s="684">
        <v>227766729.59999999</v>
      </c>
      <c r="F135" s="652">
        <f>SUMIFS(OBE!$H:$H,OBE!$C:$C,'Standalone TB'!$B135,OBE!$B:$B,"A21")</f>
        <v>0</v>
      </c>
      <c r="G135" s="652">
        <f>SUMIFS('Elimination - BS'!I:I,'Elimination - BS'!D:D,'Standalone TB'!B135,'Elimination - BS'!A:A,"EA21")</f>
        <v>0</v>
      </c>
      <c r="H135" s="652">
        <f t="shared" si="17"/>
        <v>227766729.59999999</v>
      </c>
      <c r="I135" s="652">
        <v>175739232.91999999</v>
      </c>
      <c r="J135" s="684">
        <v>0</v>
      </c>
      <c r="K135" s="652">
        <f>SUMIFS(OBE!$H:$H,OBE!$C:$C,'Standalone TB'!$B135,OBE!$B:$B,"A22")</f>
        <v>0</v>
      </c>
      <c r="L135" s="652">
        <f>SUMIFS('Elimination - BS'!I:I,'Elimination - BS'!D:D,'Standalone TB'!B135,'Elimination - BS'!A:A,"EA22")</f>
        <v>0</v>
      </c>
      <c r="M135" s="652">
        <f t="shared" si="10"/>
        <v>0</v>
      </c>
      <c r="N135" s="652">
        <f t="shared" si="11"/>
        <v>0</v>
      </c>
      <c r="O135" s="652">
        <v>0</v>
      </c>
      <c r="P135" s="685">
        <v>0</v>
      </c>
      <c r="Q135" s="684">
        <v>0</v>
      </c>
      <c r="R135" s="652">
        <f>SUMIFS(OBE!$H:$H,OBE!$C:$C,'Standalone TB'!$B135,OBE!$B:$B,"A20")</f>
        <v>0</v>
      </c>
      <c r="S135" s="652">
        <f>SUMIFS('Elimination - BS'!I:I,'Elimination - BS'!D:D,'Standalone TB'!B135,'Elimination - BS'!A:A,"EA20")</f>
        <v>0</v>
      </c>
      <c r="T135" s="652">
        <f t="shared" si="12"/>
        <v>0</v>
      </c>
      <c r="U135" s="652">
        <f t="shared" si="13"/>
        <v>0</v>
      </c>
      <c r="V135" s="652">
        <v>0</v>
      </c>
      <c r="W135" s="685">
        <v>0</v>
      </c>
      <c r="X135" s="689">
        <f t="shared" si="14"/>
        <v>227766729.59999999</v>
      </c>
      <c r="Y135" s="689">
        <f t="shared" si="15"/>
        <v>175739232.91999999</v>
      </c>
      <c r="Z135" s="652" t="s">
        <v>1948</v>
      </c>
      <c r="AA135" s="652" t="s">
        <v>9</v>
      </c>
      <c r="AB135" s="666" t="s">
        <v>881</v>
      </c>
      <c r="AD135" s="665"/>
    </row>
    <row r="136" spans="2:30" hidden="1" x14ac:dyDescent="0.2">
      <c r="B136" s="673" t="s">
        <v>1956</v>
      </c>
      <c r="C136" s="666" t="s">
        <v>1957</v>
      </c>
      <c r="D136" s="666" t="s">
        <v>3</v>
      </c>
      <c r="E136" s="684">
        <v>0</v>
      </c>
      <c r="F136" s="652">
        <f>SUMIFS(OBE!$H:$H,OBE!$C:$C,'Standalone TB'!$B136,OBE!$B:$B,"A21")</f>
        <v>0</v>
      </c>
      <c r="G136" s="652">
        <f>SUMIFS('Elimination - BS'!I:I,'Elimination - BS'!D:D,'Standalone TB'!B136,'Elimination - BS'!A:A,"EA21")</f>
        <v>0</v>
      </c>
      <c r="H136" s="652">
        <f t="shared" si="17"/>
        <v>0</v>
      </c>
      <c r="I136" s="652">
        <v>0</v>
      </c>
      <c r="J136" s="684">
        <v>0</v>
      </c>
      <c r="K136" s="652">
        <f>SUMIFS(OBE!$H:$H,OBE!$C:$C,'Standalone TB'!$B136,OBE!$B:$B,"A22")</f>
        <v>0</v>
      </c>
      <c r="L136" s="652">
        <f>SUMIFS('Elimination - BS'!I:I,'Elimination - BS'!D:D,'Standalone TB'!B136,'Elimination - BS'!A:A,"EA22")</f>
        <v>0</v>
      </c>
      <c r="M136" s="652">
        <f t="shared" ref="M136:M199" si="18">SUM(J136:L136)</f>
        <v>0</v>
      </c>
      <c r="N136" s="652">
        <f t="shared" ref="N136:N199" si="19">M136*$O$2</f>
        <v>0</v>
      </c>
      <c r="O136" s="652">
        <v>0</v>
      </c>
      <c r="P136" s="685">
        <v>0</v>
      </c>
      <c r="Q136" s="684">
        <v>0</v>
      </c>
      <c r="R136" s="652">
        <f>SUMIFS(OBE!$H:$H,OBE!$C:$C,'Standalone TB'!$B136,OBE!$B:$B,"A20")</f>
        <v>0</v>
      </c>
      <c r="S136" s="652">
        <f>SUMIFS('Elimination - BS'!I:I,'Elimination - BS'!D:D,'Standalone TB'!B136,'Elimination - BS'!A:A,"EA20")</f>
        <v>0</v>
      </c>
      <c r="T136" s="652">
        <f t="shared" ref="T136:T199" si="20">SUM(Q136:S136)</f>
        <v>0</v>
      </c>
      <c r="U136" s="652">
        <f t="shared" ref="U136:U199" si="21">T136*$V$2</f>
        <v>0</v>
      </c>
      <c r="V136" s="652">
        <v>0</v>
      </c>
      <c r="W136" s="685">
        <v>0</v>
      </c>
      <c r="X136" s="689">
        <f t="shared" ref="X136:X199" si="22">H136+N136+U136</f>
        <v>0</v>
      </c>
      <c r="Y136" s="689">
        <f t="shared" ref="Y136:Y199" si="23">I136+P136+W136</f>
        <v>0</v>
      </c>
      <c r="Z136" s="652" t="s">
        <v>1948</v>
      </c>
      <c r="AA136" s="652" t="s">
        <v>9</v>
      </c>
      <c r="AB136" s="666" t="s">
        <v>1891</v>
      </c>
      <c r="AD136" s="665"/>
    </row>
    <row r="137" spans="2:30" hidden="1" x14ac:dyDescent="0.2">
      <c r="B137" s="673" t="s">
        <v>1958</v>
      </c>
      <c r="C137" s="666" t="s">
        <v>1959</v>
      </c>
      <c r="D137" s="666" t="s">
        <v>3</v>
      </c>
      <c r="E137" s="684">
        <v>-280457</v>
      </c>
      <c r="F137" s="652">
        <f>SUMIFS(OBE!$H:$H,OBE!$C:$C,'Standalone TB'!$B137,OBE!$B:$B,"A21")</f>
        <v>0</v>
      </c>
      <c r="G137" s="652">
        <f>SUMIFS('Elimination - BS'!I:I,'Elimination - BS'!D:D,'Standalone TB'!B137,'Elimination - BS'!A:A,"EA21")</f>
        <v>0</v>
      </c>
      <c r="H137" s="652">
        <f t="shared" si="17"/>
        <v>-280457</v>
      </c>
      <c r="I137" s="652">
        <v>-280457</v>
      </c>
      <c r="J137" s="684">
        <v>0</v>
      </c>
      <c r="K137" s="652">
        <f>SUMIFS(OBE!$H:$H,OBE!$C:$C,'Standalone TB'!$B137,OBE!$B:$B,"A22")</f>
        <v>0</v>
      </c>
      <c r="L137" s="652">
        <f>SUMIFS('Elimination - BS'!I:I,'Elimination - BS'!D:D,'Standalone TB'!B137,'Elimination - BS'!A:A,"EA22")</f>
        <v>0</v>
      </c>
      <c r="M137" s="652">
        <f t="shared" si="18"/>
        <v>0</v>
      </c>
      <c r="N137" s="652">
        <f t="shared" si="19"/>
        <v>0</v>
      </c>
      <c r="O137" s="652">
        <v>0</v>
      </c>
      <c r="P137" s="685">
        <v>0</v>
      </c>
      <c r="Q137" s="684">
        <v>0</v>
      </c>
      <c r="R137" s="652">
        <f>SUMIFS(OBE!$H:$H,OBE!$C:$C,'Standalone TB'!$B137,OBE!$B:$B,"A20")</f>
        <v>0</v>
      </c>
      <c r="S137" s="652">
        <f>SUMIFS('Elimination - BS'!I:I,'Elimination - BS'!D:D,'Standalone TB'!B137,'Elimination - BS'!A:A,"EA20")</f>
        <v>0</v>
      </c>
      <c r="T137" s="652">
        <f t="shared" si="20"/>
        <v>0</v>
      </c>
      <c r="U137" s="652">
        <f t="shared" si="21"/>
        <v>0</v>
      </c>
      <c r="V137" s="652">
        <v>0</v>
      </c>
      <c r="W137" s="685">
        <v>0</v>
      </c>
      <c r="X137" s="689">
        <f t="shared" si="22"/>
        <v>-280457</v>
      </c>
      <c r="Y137" s="689">
        <f t="shared" si="23"/>
        <v>-280457</v>
      </c>
      <c r="Z137" s="652" t="s">
        <v>1960</v>
      </c>
      <c r="AA137" s="652" t="s">
        <v>9</v>
      </c>
      <c r="AB137" s="666" t="s">
        <v>881</v>
      </c>
      <c r="AD137" s="665"/>
    </row>
    <row r="138" spans="2:30" hidden="1" x14ac:dyDescent="0.2">
      <c r="B138" s="673" t="s">
        <v>1961</v>
      </c>
      <c r="C138" s="666" t="s">
        <v>1959</v>
      </c>
      <c r="D138" s="666" t="s">
        <v>3</v>
      </c>
      <c r="E138" s="684">
        <v>0</v>
      </c>
      <c r="F138" s="652">
        <f>SUMIFS(OBE!$H:$H,OBE!$C:$C,'Standalone TB'!$B138,OBE!$B:$B,"A21")</f>
        <v>0</v>
      </c>
      <c r="G138" s="652">
        <f>SUMIFS('Elimination - BS'!I:I,'Elimination - BS'!D:D,'Standalone TB'!B138,'Elimination - BS'!A:A,"EA21")</f>
        <v>0</v>
      </c>
      <c r="H138" s="652">
        <f t="shared" si="17"/>
        <v>0</v>
      </c>
      <c r="I138" s="652">
        <v>0</v>
      </c>
      <c r="J138" s="684">
        <v>0</v>
      </c>
      <c r="K138" s="652">
        <f>SUMIFS(OBE!$H:$H,OBE!$C:$C,'Standalone TB'!$B138,OBE!$B:$B,"A22")</f>
        <v>0</v>
      </c>
      <c r="L138" s="652">
        <f>SUMIFS('Elimination - BS'!I:I,'Elimination - BS'!D:D,'Standalone TB'!B138,'Elimination - BS'!A:A,"EA22")</f>
        <v>0</v>
      </c>
      <c r="M138" s="652">
        <f t="shared" si="18"/>
        <v>0</v>
      </c>
      <c r="N138" s="652">
        <f t="shared" si="19"/>
        <v>0</v>
      </c>
      <c r="O138" s="652">
        <v>0</v>
      </c>
      <c r="P138" s="685">
        <v>0</v>
      </c>
      <c r="Q138" s="684">
        <v>0</v>
      </c>
      <c r="R138" s="652">
        <f>SUMIFS(OBE!$H:$H,OBE!$C:$C,'Standalone TB'!$B138,OBE!$B:$B,"A20")</f>
        <v>0</v>
      </c>
      <c r="S138" s="652">
        <f>SUMIFS('Elimination - BS'!I:I,'Elimination - BS'!D:D,'Standalone TB'!B138,'Elimination - BS'!A:A,"EA20")</f>
        <v>0</v>
      </c>
      <c r="T138" s="652">
        <f t="shared" si="20"/>
        <v>0</v>
      </c>
      <c r="U138" s="652">
        <f t="shared" si="21"/>
        <v>0</v>
      </c>
      <c r="V138" s="652">
        <v>0</v>
      </c>
      <c r="W138" s="685">
        <v>0</v>
      </c>
      <c r="X138" s="689">
        <f t="shared" si="22"/>
        <v>0</v>
      </c>
      <c r="Y138" s="689">
        <f t="shared" si="23"/>
        <v>0</v>
      </c>
      <c r="Z138" s="652"/>
      <c r="AA138" s="652"/>
      <c r="AD138" s="665"/>
    </row>
    <row r="139" spans="2:30" hidden="1" x14ac:dyDescent="0.2">
      <c r="B139" s="673" t="s">
        <v>1962</v>
      </c>
      <c r="C139" s="666" t="s">
        <v>1963</v>
      </c>
      <c r="D139" s="666" t="s">
        <v>3</v>
      </c>
      <c r="E139" s="684">
        <v>0</v>
      </c>
      <c r="F139" s="652">
        <f>SUMIFS(OBE!$H:$H,OBE!$C:$C,'Standalone TB'!$B139,OBE!$B:$B,"A21")</f>
        <v>0</v>
      </c>
      <c r="G139" s="652">
        <f>SUMIFS('Elimination - BS'!I:I,'Elimination - BS'!D:D,'Standalone TB'!B139,'Elimination - BS'!A:A,"EA21")</f>
        <v>0</v>
      </c>
      <c r="H139" s="652">
        <f t="shared" si="17"/>
        <v>0</v>
      </c>
      <c r="I139" s="652">
        <v>0</v>
      </c>
      <c r="J139" s="684">
        <v>0</v>
      </c>
      <c r="K139" s="652">
        <f>SUMIFS(OBE!$H:$H,OBE!$C:$C,'Standalone TB'!$B139,OBE!$B:$B,"A22")</f>
        <v>0</v>
      </c>
      <c r="L139" s="652">
        <f>SUMIFS('Elimination - BS'!I:I,'Elimination - BS'!D:D,'Standalone TB'!B139,'Elimination - BS'!A:A,"EA22")</f>
        <v>0</v>
      </c>
      <c r="M139" s="652">
        <f t="shared" si="18"/>
        <v>0</v>
      </c>
      <c r="N139" s="652">
        <f t="shared" si="19"/>
        <v>0</v>
      </c>
      <c r="O139" s="652">
        <v>0</v>
      </c>
      <c r="P139" s="685">
        <v>0</v>
      </c>
      <c r="Q139" s="684">
        <v>0</v>
      </c>
      <c r="R139" s="652">
        <f>SUMIFS(OBE!$H:$H,OBE!$C:$C,'Standalone TB'!$B139,OBE!$B:$B,"A20")</f>
        <v>0</v>
      </c>
      <c r="S139" s="652">
        <f>SUMIFS('Elimination - BS'!I:I,'Elimination - BS'!D:D,'Standalone TB'!B139,'Elimination - BS'!A:A,"EA20")</f>
        <v>0</v>
      </c>
      <c r="T139" s="652">
        <f t="shared" si="20"/>
        <v>0</v>
      </c>
      <c r="U139" s="652">
        <f t="shared" si="21"/>
        <v>0</v>
      </c>
      <c r="V139" s="652">
        <v>72156</v>
      </c>
      <c r="W139" s="685">
        <v>6013560.4116000002</v>
      </c>
      <c r="X139" s="689">
        <f t="shared" si="22"/>
        <v>0</v>
      </c>
      <c r="Y139" s="689">
        <f t="shared" si="23"/>
        <v>6013560.4116000002</v>
      </c>
      <c r="Z139" s="652" t="s">
        <v>1939</v>
      </c>
      <c r="AA139" s="652" t="s">
        <v>9</v>
      </c>
      <c r="AB139" s="666" t="s">
        <v>881</v>
      </c>
      <c r="AD139" s="652" t="s">
        <v>1964</v>
      </c>
    </row>
    <row r="140" spans="2:30" hidden="1" x14ac:dyDescent="0.2">
      <c r="B140" s="673" t="s">
        <v>1965</v>
      </c>
      <c r="C140" s="666" t="s">
        <v>1966</v>
      </c>
      <c r="D140" s="666" t="s">
        <v>3</v>
      </c>
      <c r="E140" s="684">
        <v>0</v>
      </c>
      <c r="F140" s="652">
        <f>SUMIFS(OBE!$H:$H,OBE!$C:$C,'Standalone TB'!$B140,OBE!$B:$B,"A21")</f>
        <v>0</v>
      </c>
      <c r="G140" s="652">
        <f>SUMIFS('Elimination - BS'!I:I,'Elimination - BS'!D:D,'Standalone TB'!B140,'Elimination - BS'!A:A,"EA21")</f>
        <v>0</v>
      </c>
      <c r="H140" s="652">
        <f t="shared" si="17"/>
        <v>0</v>
      </c>
      <c r="I140" s="652">
        <v>0</v>
      </c>
      <c r="J140" s="684">
        <v>0</v>
      </c>
      <c r="K140" s="652">
        <f>SUMIFS(OBE!$H:$H,OBE!$C:$C,'Standalone TB'!$B140,OBE!$B:$B,"A22")</f>
        <v>0</v>
      </c>
      <c r="L140" s="652">
        <f>SUMIFS('Elimination - BS'!I:I,'Elimination - BS'!D:D,'Standalone TB'!B140,'Elimination - BS'!A:A,"EA22")</f>
        <v>0</v>
      </c>
      <c r="M140" s="652">
        <f t="shared" si="18"/>
        <v>0</v>
      </c>
      <c r="N140" s="652">
        <f t="shared" si="19"/>
        <v>0</v>
      </c>
      <c r="O140" s="652">
        <v>0</v>
      </c>
      <c r="P140" s="685">
        <v>0</v>
      </c>
      <c r="Q140" s="684">
        <v>0</v>
      </c>
      <c r="R140" s="652">
        <f>SUMIFS(OBE!$H:$H,OBE!$C:$C,'Standalone TB'!$B140,OBE!$B:$B,"A20")</f>
        <v>0</v>
      </c>
      <c r="S140" s="652">
        <f>SUMIFS('Elimination - BS'!I:I,'Elimination - BS'!D:D,'Standalone TB'!B140,'Elimination - BS'!A:A,"EA20")</f>
        <v>0</v>
      </c>
      <c r="T140" s="652">
        <f t="shared" si="20"/>
        <v>0</v>
      </c>
      <c r="U140" s="652">
        <f t="shared" si="21"/>
        <v>0</v>
      </c>
      <c r="V140" s="652">
        <v>0</v>
      </c>
      <c r="W140" s="685">
        <v>0</v>
      </c>
      <c r="X140" s="689">
        <f t="shared" si="22"/>
        <v>0</v>
      </c>
      <c r="Y140" s="689">
        <f t="shared" si="23"/>
        <v>0</v>
      </c>
      <c r="Z140" s="652" t="s">
        <v>687</v>
      </c>
      <c r="AA140" s="652" t="s">
        <v>35</v>
      </c>
      <c r="AB140" s="666" t="s">
        <v>1756</v>
      </c>
      <c r="AD140" s="652" t="s">
        <v>1967</v>
      </c>
    </row>
    <row r="141" spans="2:30" hidden="1" x14ac:dyDescent="0.2">
      <c r="B141" s="673" t="s">
        <v>1968</v>
      </c>
      <c r="C141" s="666" t="s">
        <v>1969</v>
      </c>
      <c r="D141" s="666" t="s">
        <v>3</v>
      </c>
      <c r="E141" s="684">
        <v>0</v>
      </c>
      <c r="F141" s="652">
        <f>SUMIFS(OBE!$H:$H,OBE!$C:$C,'Standalone TB'!$B141,OBE!$B:$B,"A21")</f>
        <v>0</v>
      </c>
      <c r="G141" s="652">
        <f>SUMIFS('Elimination - BS'!I:I,'Elimination - BS'!D:D,'Standalone TB'!B141,'Elimination - BS'!A:A,"EA21")</f>
        <v>0</v>
      </c>
      <c r="H141" s="652">
        <f t="shared" si="17"/>
        <v>0</v>
      </c>
      <c r="I141" s="652">
        <v>0</v>
      </c>
      <c r="J141" s="684">
        <v>0</v>
      </c>
      <c r="K141" s="652">
        <f>SUMIFS(OBE!$H:$H,OBE!$C:$C,'Standalone TB'!$B141,OBE!$B:$B,"A22")</f>
        <v>0</v>
      </c>
      <c r="L141" s="652">
        <f>SUMIFS('Elimination - BS'!I:I,'Elimination - BS'!D:D,'Standalone TB'!B141,'Elimination - BS'!A:A,"EA22")</f>
        <v>0</v>
      </c>
      <c r="M141" s="652">
        <f t="shared" si="18"/>
        <v>0</v>
      </c>
      <c r="N141" s="652">
        <f t="shared" si="19"/>
        <v>0</v>
      </c>
      <c r="O141" s="652">
        <v>0</v>
      </c>
      <c r="P141" s="685">
        <v>0</v>
      </c>
      <c r="Q141" s="684">
        <v>0</v>
      </c>
      <c r="R141" s="652">
        <f>SUMIFS(OBE!$H:$H,OBE!$C:$C,'Standalone TB'!$B141,OBE!$B:$B,"A20")</f>
        <v>0</v>
      </c>
      <c r="S141" s="652">
        <f>SUMIFS('Elimination - BS'!I:I,'Elimination - BS'!D:D,'Standalone TB'!B141,'Elimination - BS'!A:A,"EA20")</f>
        <v>0</v>
      </c>
      <c r="T141" s="652">
        <f t="shared" si="20"/>
        <v>0</v>
      </c>
      <c r="U141" s="652">
        <f t="shared" si="21"/>
        <v>0</v>
      </c>
      <c r="V141" s="652">
        <v>0</v>
      </c>
      <c r="W141" s="685">
        <v>0</v>
      </c>
      <c r="X141" s="689">
        <f t="shared" si="22"/>
        <v>0</v>
      </c>
      <c r="Y141" s="689">
        <f t="shared" si="23"/>
        <v>0</v>
      </c>
      <c r="Z141" s="652" t="s">
        <v>687</v>
      </c>
      <c r="AA141" s="652" t="s">
        <v>35</v>
      </c>
      <c r="AB141" s="666" t="s">
        <v>1756</v>
      </c>
      <c r="AD141" s="652" t="s">
        <v>1967</v>
      </c>
    </row>
    <row r="142" spans="2:30" hidden="1" x14ac:dyDescent="0.2">
      <c r="B142" s="673" t="s">
        <v>1970</v>
      </c>
      <c r="C142" s="666" t="s">
        <v>1971</v>
      </c>
      <c r="D142" s="666" t="s">
        <v>3</v>
      </c>
      <c r="E142" s="684">
        <v>0</v>
      </c>
      <c r="F142" s="652">
        <f>SUMIFS(OBE!$H:$H,OBE!$C:$C,'Standalone TB'!$B142,OBE!$B:$B,"A21")</f>
        <v>0</v>
      </c>
      <c r="G142" s="652">
        <f>SUMIFS('Elimination - BS'!I:I,'Elimination - BS'!D:D,'Standalone TB'!B142,'Elimination - BS'!A:A,"EA21")</f>
        <v>0</v>
      </c>
      <c r="H142" s="652">
        <f t="shared" si="17"/>
        <v>0</v>
      </c>
      <c r="I142" s="652">
        <v>0</v>
      </c>
      <c r="J142" s="684">
        <v>0</v>
      </c>
      <c r="K142" s="652">
        <f>SUMIFS(OBE!$H:$H,OBE!$C:$C,'Standalone TB'!$B142,OBE!$B:$B,"A22")</f>
        <v>0</v>
      </c>
      <c r="L142" s="652">
        <f>SUMIFS('Elimination - BS'!I:I,'Elimination - BS'!D:D,'Standalone TB'!B142,'Elimination - BS'!A:A,"EA22")</f>
        <v>0</v>
      </c>
      <c r="M142" s="652">
        <f t="shared" si="18"/>
        <v>0</v>
      </c>
      <c r="N142" s="652">
        <f t="shared" si="19"/>
        <v>0</v>
      </c>
      <c r="O142" s="652">
        <v>0</v>
      </c>
      <c r="P142" s="685">
        <v>0</v>
      </c>
      <c r="Q142" s="684">
        <v>0</v>
      </c>
      <c r="R142" s="652">
        <f>SUMIFS(OBE!$H:$H,OBE!$C:$C,'Standalone TB'!$B142,OBE!$B:$B,"A20")</f>
        <v>0</v>
      </c>
      <c r="S142" s="652">
        <f>SUMIFS('Elimination - BS'!I:I,'Elimination - BS'!D:D,'Standalone TB'!B142,'Elimination - BS'!A:A,"EA20")</f>
        <v>0</v>
      </c>
      <c r="T142" s="652">
        <f t="shared" si="20"/>
        <v>0</v>
      </c>
      <c r="U142" s="652">
        <f t="shared" si="21"/>
        <v>0</v>
      </c>
      <c r="V142" s="652">
        <v>-465</v>
      </c>
      <c r="W142" s="685">
        <v>-38753.611499999999</v>
      </c>
      <c r="X142" s="689">
        <f t="shared" si="22"/>
        <v>0</v>
      </c>
      <c r="Y142" s="689">
        <f t="shared" si="23"/>
        <v>-38753.611499999999</v>
      </c>
      <c r="Z142" s="652" t="s">
        <v>1939</v>
      </c>
      <c r="AA142" s="652" t="s">
        <v>9</v>
      </c>
      <c r="AB142" s="666" t="s">
        <v>881</v>
      </c>
      <c r="AD142" s="652" t="s">
        <v>1972</v>
      </c>
    </row>
    <row r="143" spans="2:30" hidden="1" x14ac:dyDescent="0.2">
      <c r="B143" s="673" t="s">
        <v>1973</v>
      </c>
      <c r="C143" s="666" t="s">
        <v>1974</v>
      </c>
      <c r="D143" s="666" t="s">
        <v>3</v>
      </c>
      <c r="E143" s="684">
        <v>-5363580</v>
      </c>
      <c r="F143" s="652">
        <f>SUMIFS(OBE!$H:$H,OBE!$C:$C,'Standalone TB'!$B143,OBE!$B:$B,"A21")</f>
        <v>-53677727</v>
      </c>
      <c r="G143" s="652">
        <f>SUMIFS('Elimination - BS'!I:I,'Elimination - BS'!D:D,'Standalone TB'!B143,'Elimination - BS'!A:A,"EA21")</f>
        <v>0</v>
      </c>
      <c r="H143" s="652">
        <f t="shared" si="17"/>
        <v>-59041307</v>
      </c>
      <c r="I143" s="652">
        <v>-5363580</v>
      </c>
      <c r="J143" s="684">
        <v>0</v>
      </c>
      <c r="K143" s="652">
        <f>SUMIFS(OBE!$H:$H,OBE!$C:$C,'Standalone TB'!$B143,OBE!$B:$B,"A22")</f>
        <v>0</v>
      </c>
      <c r="L143" s="652">
        <f>SUMIFS('Elimination - BS'!I:I,'Elimination - BS'!D:D,'Standalone TB'!B143,'Elimination - BS'!A:A,"EA22")</f>
        <v>0</v>
      </c>
      <c r="M143" s="652">
        <f t="shared" si="18"/>
        <v>0</v>
      </c>
      <c r="N143" s="652">
        <f t="shared" si="19"/>
        <v>0</v>
      </c>
      <c r="O143" s="652">
        <v>0</v>
      </c>
      <c r="P143" s="685">
        <v>0</v>
      </c>
      <c r="Q143" s="684">
        <v>0</v>
      </c>
      <c r="R143" s="652">
        <f>SUMIFS(OBE!$H:$H,OBE!$C:$C,'Standalone TB'!$B143,OBE!$B:$B,"A20")</f>
        <v>0</v>
      </c>
      <c r="S143" s="652">
        <f>SUMIFS('Elimination - BS'!I:I,'Elimination - BS'!D:D,'Standalone TB'!B143,'Elimination - BS'!A:A,"EA20")</f>
        <v>0</v>
      </c>
      <c r="T143" s="652">
        <f t="shared" si="20"/>
        <v>0</v>
      </c>
      <c r="U143" s="652">
        <f t="shared" si="21"/>
        <v>0</v>
      </c>
      <c r="V143" s="652">
        <v>0</v>
      </c>
      <c r="W143" s="685">
        <v>0</v>
      </c>
      <c r="X143" s="689">
        <f t="shared" si="22"/>
        <v>-59041307</v>
      </c>
      <c r="Y143" s="689">
        <f t="shared" si="23"/>
        <v>-5363580</v>
      </c>
      <c r="Z143" s="652" t="s">
        <v>1960</v>
      </c>
      <c r="AA143" s="652" t="s">
        <v>9</v>
      </c>
      <c r="AB143" s="666" t="s">
        <v>881</v>
      </c>
      <c r="AD143" s="665"/>
    </row>
    <row r="144" spans="2:30" hidden="1" x14ac:dyDescent="0.2">
      <c r="B144" s="673" t="s">
        <v>1975</v>
      </c>
      <c r="C144" s="666" t="s">
        <v>1976</v>
      </c>
      <c r="D144" s="666" t="s">
        <v>3</v>
      </c>
      <c r="E144" s="684">
        <v>0</v>
      </c>
      <c r="F144" s="652">
        <f>SUMIFS(OBE!$H:$H,OBE!$C:$C,'Standalone TB'!$B144,OBE!$B:$B,"A21")</f>
        <v>0</v>
      </c>
      <c r="G144" s="652">
        <f>SUMIFS('Elimination - BS'!I:I,'Elimination - BS'!D:D,'Standalone TB'!B144,'Elimination - BS'!A:A,"EA21")</f>
        <v>0</v>
      </c>
      <c r="H144" s="652">
        <f t="shared" si="17"/>
        <v>0</v>
      </c>
      <c r="I144" s="652">
        <v>0</v>
      </c>
      <c r="J144" s="684">
        <v>0</v>
      </c>
      <c r="K144" s="652">
        <f>SUMIFS(OBE!$H:$H,OBE!$C:$C,'Standalone TB'!$B144,OBE!$B:$B,"A22")</f>
        <v>0</v>
      </c>
      <c r="L144" s="652">
        <f>SUMIFS('Elimination - BS'!I:I,'Elimination - BS'!D:D,'Standalone TB'!B144,'Elimination - BS'!A:A,"EA22")</f>
        <v>0</v>
      </c>
      <c r="M144" s="652">
        <f t="shared" si="18"/>
        <v>0</v>
      </c>
      <c r="N144" s="652">
        <f t="shared" si="19"/>
        <v>0</v>
      </c>
      <c r="O144" s="652">
        <v>0</v>
      </c>
      <c r="P144" s="685">
        <v>0</v>
      </c>
      <c r="Q144" s="684">
        <v>0</v>
      </c>
      <c r="R144" s="652">
        <f>SUMIFS(OBE!$H:$H,OBE!$C:$C,'Standalone TB'!$B144,OBE!$B:$B,"A20")</f>
        <v>0</v>
      </c>
      <c r="S144" s="652">
        <f>SUMIFS('Elimination - BS'!I:I,'Elimination - BS'!D:D,'Standalone TB'!B144,'Elimination - BS'!A:A,"EA20")</f>
        <v>0</v>
      </c>
      <c r="T144" s="652">
        <f t="shared" si="20"/>
        <v>0</v>
      </c>
      <c r="U144" s="652">
        <f t="shared" si="21"/>
        <v>0</v>
      </c>
      <c r="V144" s="652">
        <v>0</v>
      </c>
      <c r="W144" s="685">
        <v>0</v>
      </c>
      <c r="X144" s="689">
        <f t="shared" si="22"/>
        <v>0</v>
      </c>
      <c r="Y144" s="689">
        <f t="shared" si="23"/>
        <v>0</v>
      </c>
      <c r="Z144" s="652"/>
      <c r="AA144" s="652"/>
      <c r="AD144" s="665"/>
    </row>
    <row r="145" spans="2:30" hidden="1" x14ac:dyDescent="0.2">
      <c r="B145" s="673" t="s">
        <v>1977</v>
      </c>
      <c r="C145" s="666" t="s">
        <v>1978</v>
      </c>
      <c r="D145" s="666" t="s">
        <v>3</v>
      </c>
      <c r="E145" s="684">
        <v>0</v>
      </c>
      <c r="F145" s="652">
        <f>SUMIFS(OBE!$H:$H,OBE!$C:$C,'Standalone TB'!$B145,OBE!$B:$B,"A21")</f>
        <v>0</v>
      </c>
      <c r="G145" s="652">
        <f>SUMIFS('Elimination - BS'!I:I,'Elimination - BS'!D:D,'Standalone TB'!B145,'Elimination - BS'!A:A,"EA21")</f>
        <v>0</v>
      </c>
      <c r="H145" s="652">
        <f t="shared" ref="H145:H176" si="24">SUM(E145:G145)</f>
        <v>0</v>
      </c>
      <c r="I145" s="652">
        <v>0</v>
      </c>
      <c r="J145" s="684">
        <v>0</v>
      </c>
      <c r="K145" s="652">
        <f>SUMIFS(OBE!$H:$H,OBE!$C:$C,'Standalone TB'!$B145,OBE!$B:$B,"A22")</f>
        <v>0</v>
      </c>
      <c r="L145" s="652">
        <f>SUMIFS('Elimination - BS'!I:I,'Elimination - BS'!D:D,'Standalone TB'!B145,'Elimination - BS'!A:A,"EA22")</f>
        <v>0</v>
      </c>
      <c r="M145" s="652">
        <f t="shared" si="18"/>
        <v>0</v>
      </c>
      <c r="N145" s="652">
        <f t="shared" si="19"/>
        <v>0</v>
      </c>
      <c r="O145" s="652">
        <v>0</v>
      </c>
      <c r="P145" s="685">
        <v>0</v>
      </c>
      <c r="Q145" s="684">
        <v>0</v>
      </c>
      <c r="R145" s="652">
        <f>SUMIFS(OBE!$H:$H,OBE!$C:$C,'Standalone TB'!$B145,OBE!$B:$B,"A20")</f>
        <v>0</v>
      </c>
      <c r="S145" s="652">
        <f>SUMIFS('Elimination - BS'!I:I,'Elimination - BS'!D:D,'Standalone TB'!B145,'Elimination - BS'!A:A,"EA20")</f>
        <v>0</v>
      </c>
      <c r="T145" s="652">
        <f t="shared" si="20"/>
        <v>0</v>
      </c>
      <c r="U145" s="652">
        <f t="shared" si="21"/>
        <v>0</v>
      </c>
      <c r="V145" s="652">
        <v>0</v>
      </c>
      <c r="W145" s="685">
        <v>0</v>
      </c>
      <c r="X145" s="689">
        <f t="shared" si="22"/>
        <v>0</v>
      </c>
      <c r="Y145" s="689">
        <f t="shared" si="23"/>
        <v>0</v>
      </c>
      <c r="Z145" s="652"/>
      <c r="AA145" s="652"/>
      <c r="AD145" s="665"/>
    </row>
    <row r="146" spans="2:30" hidden="1" x14ac:dyDescent="0.2">
      <c r="B146" s="673" t="s">
        <v>1979</v>
      </c>
      <c r="C146" s="666" t="s">
        <v>1980</v>
      </c>
      <c r="D146" s="666" t="s">
        <v>3</v>
      </c>
      <c r="E146" s="684">
        <v>0</v>
      </c>
      <c r="F146" s="652">
        <f>SUMIFS(OBE!$H:$H,OBE!$C:$C,'Standalone TB'!$B146,OBE!$B:$B,"A21")</f>
        <v>0</v>
      </c>
      <c r="G146" s="652">
        <f>SUMIFS('Elimination - BS'!I:I,'Elimination - BS'!D:D,'Standalone TB'!B146,'Elimination - BS'!A:A,"EA21")</f>
        <v>0</v>
      </c>
      <c r="H146" s="652">
        <f t="shared" si="24"/>
        <v>0</v>
      </c>
      <c r="I146" s="652">
        <v>0</v>
      </c>
      <c r="J146" s="684">
        <v>0</v>
      </c>
      <c r="K146" s="652">
        <f>SUMIFS(OBE!$H:$H,OBE!$C:$C,'Standalone TB'!$B146,OBE!$B:$B,"A22")</f>
        <v>0</v>
      </c>
      <c r="L146" s="652">
        <f>SUMIFS('Elimination - BS'!I:I,'Elimination - BS'!D:D,'Standalone TB'!B146,'Elimination - BS'!A:A,"EA22")</f>
        <v>0</v>
      </c>
      <c r="M146" s="652">
        <f t="shared" si="18"/>
        <v>0</v>
      </c>
      <c r="N146" s="652">
        <f t="shared" si="19"/>
        <v>0</v>
      </c>
      <c r="O146" s="652">
        <v>0</v>
      </c>
      <c r="P146" s="685">
        <v>0</v>
      </c>
      <c r="Q146" s="684">
        <v>0</v>
      </c>
      <c r="R146" s="652">
        <f>SUMIFS(OBE!$H:$H,OBE!$C:$C,'Standalone TB'!$B146,OBE!$B:$B,"A20")</f>
        <v>0</v>
      </c>
      <c r="S146" s="652">
        <f>SUMIFS('Elimination - BS'!I:I,'Elimination - BS'!D:D,'Standalone TB'!B146,'Elimination - BS'!A:A,"EA20")</f>
        <v>0</v>
      </c>
      <c r="T146" s="652">
        <f t="shared" si="20"/>
        <v>0</v>
      </c>
      <c r="U146" s="652">
        <f t="shared" si="21"/>
        <v>0</v>
      </c>
      <c r="V146" s="652">
        <v>0</v>
      </c>
      <c r="W146" s="685">
        <v>0</v>
      </c>
      <c r="X146" s="689">
        <f t="shared" si="22"/>
        <v>0</v>
      </c>
      <c r="Y146" s="689">
        <f t="shared" si="23"/>
        <v>0</v>
      </c>
      <c r="Z146" s="652"/>
      <c r="AA146" s="652"/>
      <c r="AD146" s="665"/>
    </row>
    <row r="147" spans="2:30" hidden="1" x14ac:dyDescent="0.2">
      <c r="B147" s="673" t="s">
        <v>1981</v>
      </c>
      <c r="C147" s="666" t="s">
        <v>1982</v>
      </c>
      <c r="D147" s="666" t="s">
        <v>3</v>
      </c>
      <c r="E147" s="684">
        <v>666.36</v>
      </c>
      <c r="F147" s="652">
        <f>SUMIFS(OBE!$H:$H,OBE!$C:$C,'Standalone TB'!$B147,OBE!$B:$B,"A21")</f>
        <v>0</v>
      </c>
      <c r="G147" s="652">
        <f>SUMIFS('Elimination - BS'!I:I,'Elimination - BS'!D:D,'Standalone TB'!B147,'Elimination - BS'!A:A,"EA21")</f>
        <v>0</v>
      </c>
      <c r="H147" s="652">
        <f t="shared" si="24"/>
        <v>666.36</v>
      </c>
      <c r="I147" s="652">
        <v>666.36</v>
      </c>
      <c r="J147" s="684">
        <v>0</v>
      </c>
      <c r="K147" s="652">
        <f>SUMIFS(OBE!$H:$H,OBE!$C:$C,'Standalone TB'!$B147,OBE!$B:$B,"A22")</f>
        <v>0</v>
      </c>
      <c r="L147" s="652">
        <f>SUMIFS('Elimination - BS'!I:I,'Elimination - BS'!D:D,'Standalone TB'!B147,'Elimination - BS'!A:A,"EA22")</f>
        <v>0</v>
      </c>
      <c r="M147" s="652">
        <f t="shared" si="18"/>
        <v>0</v>
      </c>
      <c r="N147" s="652">
        <f t="shared" si="19"/>
        <v>0</v>
      </c>
      <c r="O147" s="652">
        <v>0</v>
      </c>
      <c r="P147" s="685">
        <v>0</v>
      </c>
      <c r="Q147" s="684">
        <v>0</v>
      </c>
      <c r="R147" s="652">
        <f>SUMIFS(OBE!$H:$H,OBE!$C:$C,'Standalone TB'!$B147,OBE!$B:$B,"A20")</f>
        <v>0</v>
      </c>
      <c r="S147" s="652">
        <f>SUMIFS('Elimination - BS'!I:I,'Elimination - BS'!D:D,'Standalone TB'!B147,'Elimination - BS'!A:A,"EA20")</f>
        <v>0</v>
      </c>
      <c r="T147" s="652">
        <f t="shared" si="20"/>
        <v>0</v>
      </c>
      <c r="U147" s="652">
        <f t="shared" si="21"/>
        <v>0</v>
      </c>
      <c r="V147" s="652">
        <v>0</v>
      </c>
      <c r="W147" s="685">
        <v>0</v>
      </c>
      <c r="X147" s="689">
        <f t="shared" si="22"/>
        <v>666.36</v>
      </c>
      <c r="Y147" s="689">
        <f t="shared" si="23"/>
        <v>666.36</v>
      </c>
      <c r="Z147" s="652" t="s">
        <v>521</v>
      </c>
      <c r="AA147" s="652" t="s">
        <v>9</v>
      </c>
      <c r="AB147" s="666" t="s">
        <v>1923</v>
      </c>
      <c r="AD147" s="665"/>
    </row>
    <row r="148" spans="2:30" hidden="1" x14ac:dyDescent="0.2">
      <c r="B148" s="673" t="s">
        <v>1983</v>
      </c>
      <c r="C148" s="666" t="s">
        <v>1984</v>
      </c>
      <c r="D148" s="666" t="s">
        <v>3</v>
      </c>
      <c r="E148" s="684">
        <v>0</v>
      </c>
      <c r="F148" s="652">
        <f>SUMIFS(OBE!$H:$H,OBE!$C:$C,'Standalone TB'!$B148,OBE!$B:$B,"A21")</f>
        <v>0</v>
      </c>
      <c r="G148" s="652">
        <f>SUMIFS('Elimination - BS'!I:I,'Elimination - BS'!D:D,'Standalone TB'!B148,'Elimination - BS'!A:A,"EA21")</f>
        <v>0</v>
      </c>
      <c r="H148" s="652">
        <f t="shared" si="24"/>
        <v>0</v>
      </c>
      <c r="I148" s="652">
        <v>0</v>
      </c>
      <c r="J148" s="684">
        <v>0</v>
      </c>
      <c r="K148" s="652">
        <f>SUMIFS(OBE!$H:$H,OBE!$C:$C,'Standalone TB'!$B148,OBE!$B:$B,"A22")</f>
        <v>0</v>
      </c>
      <c r="L148" s="652">
        <f>SUMIFS('Elimination - BS'!I:I,'Elimination - BS'!D:D,'Standalone TB'!B148,'Elimination - BS'!A:A,"EA22")</f>
        <v>0</v>
      </c>
      <c r="M148" s="652">
        <f t="shared" si="18"/>
        <v>0</v>
      </c>
      <c r="N148" s="652">
        <f t="shared" si="19"/>
        <v>0</v>
      </c>
      <c r="O148" s="652">
        <v>0</v>
      </c>
      <c r="P148" s="685">
        <v>0</v>
      </c>
      <c r="Q148" s="684">
        <v>0</v>
      </c>
      <c r="R148" s="652">
        <f>SUMIFS(OBE!$H:$H,OBE!$C:$C,'Standalone TB'!$B148,OBE!$B:$B,"A20")</f>
        <v>0</v>
      </c>
      <c r="S148" s="652">
        <f>SUMIFS('Elimination - BS'!I:I,'Elimination - BS'!D:D,'Standalone TB'!B148,'Elimination - BS'!A:A,"EA20")</f>
        <v>0</v>
      </c>
      <c r="T148" s="652">
        <f t="shared" si="20"/>
        <v>0</v>
      </c>
      <c r="U148" s="652">
        <f t="shared" si="21"/>
        <v>0</v>
      </c>
      <c r="V148" s="652">
        <v>0</v>
      </c>
      <c r="W148" s="685">
        <v>0</v>
      </c>
      <c r="X148" s="689">
        <f t="shared" si="22"/>
        <v>0</v>
      </c>
      <c r="Y148" s="689">
        <f t="shared" si="23"/>
        <v>0</v>
      </c>
      <c r="Z148" s="652"/>
      <c r="AA148" s="652"/>
      <c r="AD148" s="665"/>
    </row>
    <row r="149" spans="2:30" hidden="1" x14ac:dyDescent="0.2">
      <c r="B149" s="673" t="s">
        <v>1985</v>
      </c>
      <c r="C149" s="666" t="s">
        <v>1986</v>
      </c>
      <c r="D149" s="666" t="s">
        <v>3</v>
      </c>
      <c r="E149" s="684">
        <v>0</v>
      </c>
      <c r="F149" s="652">
        <f>SUMIFS(OBE!$H:$H,OBE!$C:$C,'Standalone TB'!$B149,OBE!$B:$B,"A21")</f>
        <v>0</v>
      </c>
      <c r="G149" s="652">
        <f>SUMIFS('Elimination - BS'!I:I,'Elimination - BS'!D:D,'Standalone TB'!B149,'Elimination - BS'!A:A,"EA21")</f>
        <v>0</v>
      </c>
      <c r="H149" s="652">
        <f t="shared" si="24"/>
        <v>0</v>
      </c>
      <c r="I149" s="652">
        <v>0</v>
      </c>
      <c r="J149" s="684">
        <v>0</v>
      </c>
      <c r="K149" s="652">
        <f>SUMIFS(OBE!$H:$H,OBE!$C:$C,'Standalone TB'!$B149,OBE!$B:$B,"A22")</f>
        <v>0</v>
      </c>
      <c r="L149" s="652">
        <f>SUMIFS('Elimination - BS'!I:I,'Elimination - BS'!D:D,'Standalone TB'!B149,'Elimination - BS'!A:A,"EA22")</f>
        <v>0</v>
      </c>
      <c r="M149" s="652">
        <f t="shared" si="18"/>
        <v>0</v>
      </c>
      <c r="N149" s="652">
        <f t="shared" si="19"/>
        <v>0</v>
      </c>
      <c r="O149" s="652">
        <v>0</v>
      </c>
      <c r="P149" s="685">
        <v>0</v>
      </c>
      <c r="Q149" s="684">
        <v>0</v>
      </c>
      <c r="R149" s="652">
        <f>SUMIFS(OBE!$H:$H,OBE!$C:$C,'Standalone TB'!$B149,OBE!$B:$B,"A20")</f>
        <v>0</v>
      </c>
      <c r="S149" s="652">
        <f>SUMIFS('Elimination - BS'!I:I,'Elimination - BS'!D:D,'Standalone TB'!B149,'Elimination - BS'!A:A,"EA20")</f>
        <v>0</v>
      </c>
      <c r="T149" s="652">
        <f t="shared" si="20"/>
        <v>0</v>
      </c>
      <c r="U149" s="652">
        <f t="shared" si="21"/>
        <v>0</v>
      </c>
      <c r="V149" s="652">
        <v>0</v>
      </c>
      <c r="W149" s="685">
        <v>0</v>
      </c>
      <c r="X149" s="689">
        <f t="shared" si="22"/>
        <v>0</v>
      </c>
      <c r="Y149" s="689">
        <f t="shared" si="23"/>
        <v>0</v>
      </c>
      <c r="Z149" s="652"/>
      <c r="AA149" s="652"/>
      <c r="AD149" s="665"/>
    </row>
    <row r="150" spans="2:30" hidden="1" x14ac:dyDescent="0.2">
      <c r="B150" s="673" t="s">
        <v>1987</v>
      </c>
      <c r="C150" s="666" t="s">
        <v>1988</v>
      </c>
      <c r="D150" s="666" t="s">
        <v>3</v>
      </c>
      <c r="E150" s="684">
        <v>0</v>
      </c>
      <c r="F150" s="652">
        <f>SUMIFS(OBE!$H:$H,OBE!$C:$C,'Standalone TB'!$B150,OBE!$B:$B,"A21")</f>
        <v>0</v>
      </c>
      <c r="G150" s="652">
        <f>SUMIFS('Elimination - BS'!I:I,'Elimination - BS'!D:D,'Standalone TB'!B150,'Elimination - BS'!A:A,"EA21")</f>
        <v>0</v>
      </c>
      <c r="H150" s="652">
        <f t="shared" si="24"/>
        <v>0</v>
      </c>
      <c r="I150" s="652">
        <v>0</v>
      </c>
      <c r="J150" s="684">
        <v>0</v>
      </c>
      <c r="K150" s="652">
        <f>SUMIFS(OBE!$H:$H,OBE!$C:$C,'Standalone TB'!$B150,OBE!$B:$B,"A22")</f>
        <v>0</v>
      </c>
      <c r="L150" s="652">
        <f>SUMIFS('Elimination - BS'!I:I,'Elimination - BS'!D:D,'Standalone TB'!B150,'Elimination - BS'!A:A,"EA22")</f>
        <v>0</v>
      </c>
      <c r="M150" s="652">
        <f t="shared" si="18"/>
        <v>0</v>
      </c>
      <c r="N150" s="652">
        <f t="shared" si="19"/>
        <v>0</v>
      </c>
      <c r="O150" s="652">
        <v>0</v>
      </c>
      <c r="P150" s="685">
        <v>0</v>
      </c>
      <c r="Q150" s="684">
        <v>0</v>
      </c>
      <c r="R150" s="652">
        <f>SUMIFS(OBE!$H:$H,OBE!$C:$C,'Standalone TB'!$B150,OBE!$B:$B,"A20")</f>
        <v>0</v>
      </c>
      <c r="S150" s="652">
        <f>SUMIFS('Elimination - BS'!I:I,'Elimination - BS'!D:D,'Standalone TB'!B150,'Elimination - BS'!A:A,"EA20")</f>
        <v>0</v>
      </c>
      <c r="T150" s="652">
        <f t="shared" si="20"/>
        <v>0</v>
      </c>
      <c r="U150" s="652">
        <f t="shared" si="21"/>
        <v>0</v>
      </c>
      <c r="V150" s="652">
        <v>0</v>
      </c>
      <c r="W150" s="685">
        <v>0</v>
      </c>
      <c r="X150" s="689">
        <f t="shared" si="22"/>
        <v>0</v>
      </c>
      <c r="Y150" s="689">
        <f t="shared" si="23"/>
        <v>0</v>
      </c>
      <c r="Z150" s="652" t="s">
        <v>1989</v>
      </c>
      <c r="AA150" s="652" t="s">
        <v>9</v>
      </c>
      <c r="AB150" s="666" t="s">
        <v>1989</v>
      </c>
      <c r="AD150" s="665"/>
    </row>
    <row r="151" spans="2:30" hidden="1" x14ac:dyDescent="0.2">
      <c r="B151" s="673" t="s">
        <v>1990</v>
      </c>
      <c r="C151" s="666" t="s">
        <v>1991</v>
      </c>
      <c r="D151" s="666" t="s">
        <v>3</v>
      </c>
      <c r="E151" s="684">
        <v>177947.8</v>
      </c>
      <c r="F151" s="652">
        <f>SUMIFS(OBE!$H:$H,OBE!$C:$C,'Standalone TB'!$B151,OBE!$B:$B,"A21")</f>
        <v>0</v>
      </c>
      <c r="G151" s="652">
        <f>SUMIFS('Elimination - BS'!I:I,'Elimination - BS'!D:D,'Standalone TB'!B151,'Elimination - BS'!A:A,"EA21")</f>
        <v>0</v>
      </c>
      <c r="H151" s="652">
        <f t="shared" si="24"/>
        <v>177947.8</v>
      </c>
      <c r="I151" s="652">
        <v>177947.8</v>
      </c>
      <c r="J151" s="684">
        <v>0</v>
      </c>
      <c r="K151" s="652">
        <f>SUMIFS(OBE!$H:$H,OBE!$C:$C,'Standalone TB'!$B151,OBE!$B:$B,"A22")</f>
        <v>0</v>
      </c>
      <c r="L151" s="652">
        <f>SUMIFS('Elimination - BS'!I:I,'Elimination - BS'!D:D,'Standalone TB'!B151,'Elimination - BS'!A:A,"EA22")</f>
        <v>0</v>
      </c>
      <c r="M151" s="652">
        <f t="shared" si="18"/>
        <v>0</v>
      </c>
      <c r="N151" s="652">
        <f t="shared" si="19"/>
        <v>0</v>
      </c>
      <c r="O151" s="652">
        <v>0</v>
      </c>
      <c r="P151" s="685">
        <v>0</v>
      </c>
      <c r="Q151" s="684">
        <v>0</v>
      </c>
      <c r="R151" s="652">
        <f>SUMIFS(OBE!$H:$H,OBE!$C:$C,'Standalone TB'!$B151,OBE!$B:$B,"A20")</f>
        <v>0</v>
      </c>
      <c r="S151" s="652">
        <f>SUMIFS('Elimination - BS'!I:I,'Elimination - BS'!D:D,'Standalone TB'!B151,'Elimination - BS'!A:A,"EA20")</f>
        <v>0</v>
      </c>
      <c r="T151" s="652">
        <f t="shared" si="20"/>
        <v>0</v>
      </c>
      <c r="U151" s="652">
        <f t="shared" si="21"/>
        <v>0</v>
      </c>
      <c r="V151" s="652">
        <v>0</v>
      </c>
      <c r="W151" s="685">
        <v>0</v>
      </c>
      <c r="X151" s="689">
        <f t="shared" si="22"/>
        <v>177947.8</v>
      </c>
      <c r="Y151" s="689">
        <f t="shared" si="23"/>
        <v>177947.8</v>
      </c>
      <c r="Z151" s="652" t="s">
        <v>1992</v>
      </c>
      <c r="AA151" s="652" t="s">
        <v>9</v>
      </c>
      <c r="AB151" s="666" t="s">
        <v>1989</v>
      </c>
      <c r="AD151" s="665"/>
    </row>
    <row r="152" spans="2:30" hidden="1" x14ac:dyDescent="0.2">
      <c r="B152" s="673" t="s">
        <v>1993</v>
      </c>
      <c r="C152" s="666" t="s">
        <v>1994</v>
      </c>
      <c r="D152" s="666" t="s">
        <v>3</v>
      </c>
      <c r="E152" s="684">
        <v>27578415</v>
      </c>
      <c r="F152" s="652">
        <f>SUMIFS(OBE!$H:$H,OBE!$C:$C,'Standalone TB'!$B152,OBE!$B:$B,"A21")</f>
        <v>0</v>
      </c>
      <c r="G152" s="652">
        <f>SUMIFS('Elimination - BS'!I:I,'Elimination - BS'!D:D,'Standalone TB'!B152,'Elimination - BS'!A:A,"EA21")</f>
        <v>0</v>
      </c>
      <c r="H152" s="652">
        <f t="shared" si="24"/>
        <v>27578415</v>
      </c>
      <c r="I152" s="652">
        <v>27578415</v>
      </c>
      <c r="J152" s="684">
        <v>0</v>
      </c>
      <c r="K152" s="652">
        <f>SUMIFS(OBE!$H:$H,OBE!$C:$C,'Standalone TB'!$B152,OBE!$B:$B,"A22")</f>
        <v>0</v>
      </c>
      <c r="L152" s="652">
        <f>SUMIFS('Elimination - BS'!I:I,'Elimination - BS'!D:D,'Standalone TB'!B152,'Elimination - BS'!A:A,"EA22")</f>
        <v>0</v>
      </c>
      <c r="M152" s="652">
        <f t="shared" si="18"/>
        <v>0</v>
      </c>
      <c r="N152" s="652">
        <f t="shared" si="19"/>
        <v>0</v>
      </c>
      <c r="O152" s="652">
        <v>0</v>
      </c>
      <c r="P152" s="685">
        <v>0</v>
      </c>
      <c r="Q152" s="684">
        <v>0</v>
      </c>
      <c r="R152" s="652">
        <f>SUMIFS(OBE!$H:$H,OBE!$C:$C,'Standalone TB'!$B152,OBE!$B:$B,"A20")</f>
        <v>0</v>
      </c>
      <c r="S152" s="652">
        <f>SUMIFS('Elimination - BS'!I:I,'Elimination - BS'!D:D,'Standalone TB'!B152,'Elimination - BS'!A:A,"EA20")</f>
        <v>0</v>
      </c>
      <c r="T152" s="652">
        <f t="shared" si="20"/>
        <v>0</v>
      </c>
      <c r="U152" s="652">
        <f t="shared" si="21"/>
        <v>0</v>
      </c>
      <c r="V152" s="652">
        <v>0</v>
      </c>
      <c r="W152" s="685">
        <v>0</v>
      </c>
      <c r="X152" s="689">
        <f t="shared" si="22"/>
        <v>27578415</v>
      </c>
      <c r="Y152" s="689">
        <f t="shared" si="23"/>
        <v>27578415</v>
      </c>
      <c r="Z152" s="652" t="s">
        <v>1995</v>
      </c>
      <c r="AA152" s="652" t="s">
        <v>9</v>
      </c>
      <c r="AB152" s="666" t="s">
        <v>1989</v>
      </c>
      <c r="AD152" s="665"/>
    </row>
    <row r="153" spans="2:30" hidden="1" x14ac:dyDescent="0.2">
      <c r="B153" s="673" t="s">
        <v>1996</v>
      </c>
      <c r="C153" s="666" t="s">
        <v>1997</v>
      </c>
      <c r="D153" s="666" t="s">
        <v>3</v>
      </c>
      <c r="E153" s="684">
        <v>6246663.7199999997</v>
      </c>
      <c r="F153" s="652">
        <f>SUMIFS(OBE!$H:$H,OBE!$C:$C,'Standalone TB'!$B153,OBE!$B:$B,"A21")</f>
        <v>0</v>
      </c>
      <c r="G153" s="652">
        <f>SUMIFS('Elimination - BS'!I:I,'Elimination - BS'!D:D,'Standalone TB'!B153,'Elimination - BS'!A:A,"EA21")</f>
        <v>0</v>
      </c>
      <c r="H153" s="652">
        <f t="shared" si="24"/>
        <v>6246663.7199999997</v>
      </c>
      <c r="I153" s="652">
        <v>6246663.7199999997</v>
      </c>
      <c r="J153" s="684">
        <v>0</v>
      </c>
      <c r="K153" s="652">
        <f>SUMIFS(OBE!$H:$H,OBE!$C:$C,'Standalone TB'!$B153,OBE!$B:$B,"A22")</f>
        <v>0</v>
      </c>
      <c r="L153" s="652">
        <f>SUMIFS('Elimination - BS'!I:I,'Elimination - BS'!D:D,'Standalone TB'!B153,'Elimination - BS'!A:A,"EA22")</f>
        <v>0</v>
      </c>
      <c r="M153" s="652">
        <f t="shared" si="18"/>
        <v>0</v>
      </c>
      <c r="N153" s="652">
        <f t="shared" si="19"/>
        <v>0</v>
      </c>
      <c r="O153" s="652">
        <v>0</v>
      </c>
      <c r="P153" s="685">
        <v>0</v>
      </c>
      <c r="Q153" s="684">
        <v>3979.95</v>
      </c>
      <c r="R153" s="652">
        <f>SUMIFS(OBE!$H:$H,OBE!$C:$C,'Standalone TB'!$B153,OBE!$B:$B,"A20")</f>
        <v>0</v>
      </c>
      <c r="S153" s="652">
        <f>SUMIFS('Elimination - BS'!I:I,'Elimination - BS'!D:D,'Standalone TB'!B153,'Elimination - BS'!A:A,"EA20")</f>
        <v>0</v>
      </c>
      <c r="T153" s="652">
        <f t="shared" si="20"/>
        <v>3979.95</v>
      </c>
      <c r="U153" s="652">
        <f t="shared" si="21"/>
        <v>340539.5295748614</v>
      </c>
      <c r="V153" s="652">
        <v>3979.95</v>
      </c>
      <c r="W153" s="685">
        <v>331693.41094499995</v>
      </c>
      <c r="X153" s="689">
        <f t="shared" si="22"/>
        <v>6587203.2495748615</v>
      </c>
      <c r="Y153" s="689">
        <f t="shared" si="23"/>
        <v>6578357.1309449999</v>
      </c>
      <c r="Z153" s="652" t="s">
        <v>1998</v>
      </c>
      <c r="AA153" s="652" t="s">
        <v>9</v>
      </c>
      <c r="AB153" s="666" t="s">
        <v>1989</v>
      </c>
      <c r="AD153" s="665"/>
    </row>
    <row r="154" spans="2:30" hidden="1" x14ac:dyDescent="0.2">
      <c r="B154" s="673" t="s">
        <v>1999</v>
      </c>
      <c r="C154" s="666" t="s">
        <v>2000</v>
      </c>
      <c r="D154" s="666" t="s">
        <v>3</v>
      </c>
      <c r="E154" s="684">
        <v>0</v>
      </c>
      <c r="F154" s="652">
        <f>SUMIFS(OBE!$H:$H,OBE!$C:$C,'Standalone TB'!$B154,OBE!$B:$B,"A21")</f>
        <v>0</v>
      </c>
      <c r="G154" s="652">
        <f>SUMIFS('Elimination - BS'!I:I,'Elimination - BS'!D:D,'Standalone TB'!B154,'Elimination - BS'!A:A,"EA21")</f>
        <v>0</v>
      </c>
      <c r="H154" s="652">
        <f t="shared" si="24"/>
        <v>0</v>
      </c>
      <c r="I154" s="652">
        <v>0</v>
      </c>
      <c r="J154" s="684">
        <v>7775</v>
      </c>
      <c r="K154" s="652">
        <f>SUMIFS(OBE!$H:$H,OBE!$C:$C,'Standalone TB'!$B154,OBE!$B:$B,"A22")</f>
        <v>0</v>
      </c>
      <c r="L154" s="652">
        <f>SUMIFS('Elimination - BS'!I:I,'Elimination - BS'!D:D,'Standalone TB'!B154,'Elimination - BS'!A:A,"EA22")</f>
        <v>0</v>
      </c>
      <c r="M154" s="652">
        <f t="shared" si="18"/>
        <v>7775</v>
      </c>
      <c r="N154" s="652">
        <f t="shared" si="19"/>
        <v>181110.07393715341</v>
      </c>
      <c r="O154" s="652">
        <v>0</v>
      </c>
      <c r="P154" s="685">
        <v>0</v>
      </c>
      <c r="Q154" s="684">
        <v>0</v>
      </c>
      <c r="R154" s="652">
        <f>SUMIFS(OBE!$H:$H,OBE!$C:$C,'Standalone TB'!$B154,OBE!$B:$B,"A20")</f>
        <v>0</v>
      </c>
      <c r="S154" s="652">
        <f>SUMIFS('Elimination - BS'!I:I,'Elimination - BS'!D:D,'Standalone TB'!B154,'Elimination - BS'!A:A,"EA20")</f>
        <v>0</v>
      </c>
      <c r="T154" s="652">
        <f t="shared" si="20"/>
        <v>0</v>
      </c>
      <c r="U154" s="652">
        <f t="shared" si="21"/>
        <v>0</v>
      </c>
      <c r="V154" s="652">
        <v>0</v>
      </c>
      <c r="W154" s="685">
        <v>0</v>
      </c>
      <c r="X154" s="689">
        <f t="shared" si="22"/>
        <v>181110.07393715341</v>
      </c>
      <c r="Y154" s="689">
        <f t="shared" si="23"/>
        <v>0</v>
      </c>
      <c r="Z154" s="652" t="s">
        <v>1998</v>
      </c>
      <c r="AA154" s="652" t="s">
        <v>9</v>
      </c>
      <c r="AB154" s="666" t="s">
        <v>1989</v>
      </c>
      <c r="AD154" s="665"/>
    </row>
    <row r="155" spans="2:30" hidden="1" x14ac:dyDescent="0.2">
      <c r="B155" s="673" t="s">
        <v>1573</v>
      </c>
      <c r="C155" s="666" t="s">
        <v>2001</v>
      </c>
      <c r="D155" s="666" t="s">
        <v>3</v>
      </c>
      <c r="E155" s="684">
        <v>105790199.73999999</v>
      </c>
      <c r="F155" s="652">
        <f>SUMIFS(OBE!$H:$H,OBE!$C:$C,'Standalone TB'!$B155,OBE!$B:$B,"A21")</f>
        <v>-2055</v>
      </c>
      <c r="G155" s="652">
        <f>SUMIFS('Elimination - BS'!I:I,'Elimination - BS'!D:D,'Standalone TB'!B155,'Elimination - BS'!A:A,"EA21")</f>
        <v>0</v>
      </c>
      <c r="H155" s="652">
        <f t="shared" si="24"/>
        <v>105788144.73999999</v>
      </c>
      <c r="I155" s="652">
        <v>125572575.56999999</v>
      </c>
      <c r="J155" s="684">
        <v>181541.77</v>
      </c>
      <c r="K155" s="652">
        <f>SUMIFS(OBE!$H:$H,OBE!$C:$C,'Standalone TB'!$B155,OBE!$B:$B,"A22")</f>
        <v>0</v>
      </c>
      <c r="L155" s="652">
        <f>SUMIFS('Elimination - BS'!I:I,'Elimination - BS'!D:D,'Standalone TB'!B155,'Elimination - BS'!A:A,"EA22")</f>
        <v>0</v>
      </c>
      <c r="M155" s="652">
        <f t="shared" si="18"/>
        <v>181541.77</v>
      </c>
      <c r="N155" s="652">
        <f t="shared" si="19"/>
        <v>4228815.869759704</v>
      </c>
      <c r="O155" s="652">
        <v>181541.77</v>
      </c>
      <c r="P155" s="685">
        <v>4119055.6820609998</v>
      </c>
      <c r="Q155" s="684">
        <v>0</v>
      </c>
      <c r="R155" s="652">
        <f>SUMIFS(OBE!$H:$H,OBE!$C:$C,'Standalone TB'!$B155,OBE!$B:$B,"A20")</f>
        <v>0</v>
      </c>
      <c r="S155" s="652">
        <f>SUMIFS('Elimination - BS'!I:I,'Elimination - BS'!D:D,'Standalone TB'!B155,'Elimination - BS'!A:A,"EA20")</f>
        <v>0</v>
      </c>
      <c r="T155" s="652">
        <f t="shared" si="20"/>
        <v>0</v>
      </c>
      <c r="U155" s="652">
        <f t="shared" si="21"/>
        <v>0</v>
      </c>
      <c r="V155" s="652">
        <v>0</v>
      </c>
      <c r="W155" s="685">
        <v>0</v>
      </c>
      <c r="X155" s="689">
        <f t="shared" si="22"/>
        <v>110016960.6097597</v>
      </c>
      <c r="Y155" s="689">
        <f t="shared" si="23"/>
        <v>129691631.25206099</v>
      </c>
      <c r="Z155" s="652" t="s">
        <v>1998</v>
      </c>
      <c r="AA155" s="652" t="s">
        <v>9</v>
      </c>
      <c r="AB155" s="666" t="s">
        <v>1989</v>
      </c>
      <c r="AD155" s="665"/>
    </row>
    <row r="156" spans="2:30" hidden="1" x14ac:dyDescent="0.2">
      <c r="B156" s="673" t="s">
        <v>2002</v>
      </c>
      <c r="C156" s="666" t="s">
        <v>2003</v>
      </c>
      <c r="D156" s="666" t="s">
        <v>3</v>
      </c>
      <c r="E156" s="684">
        <v>747000</v>
      </c>
      <c r="F156" s="652">
        <f>SUMIFS(OBE!$H:$H,OBE!$C:$C,'Standalone TB'!$B156,OBE!$B:$B,"A21")</f>
        <v>0</v>
      </c>
      <c r="G156" s="652">
        <f>SUMIFS('Elimination - BS'!I:I,'Elimination - BS'!D:D,'Standalone TB'!B156,'Elimination - BS'!A:A,"EA21")</f>
        <v>0</v>
      </c>
      <c r="H156" s="652">
        <f t="shared" si="24"/>
        <v>747000</v>
      </c>
      <c r="I156" s="652">
        <v>747000</v>
      </c>
      <c r="J156" s="684">
        <v>0</v>
      </c>
      <c r="K156" s="652">
        <f>SUMIFS(OBE!$H:$H,OBE!$C:$C,'Standalone TB'!$B156,OBE!$B:$B,"A22")</f>
        <v>0</v>
      </c>
      <c r="L156" s="652">
        <f>SUMIFS('Elimination - BS'!I:I,'Elimination - BS'!D:D,'Standalone TB'!B156,'Elimination - BS'!A:A,"EA22")</f>
        <v>0</v>
      </c>
      <c r="M156" s="652">
        <f t="shared" si="18"/>
        <v>0</v>
      </c>
      <c r="N156" s="652">
        <f t="shared" si="19"/>
        <v>0</v>
      </c>
      <c r="O156" s="652">
        <v>0</v>
      </c>
      <c r="P156" s="685">
        <v>0</v>
      </c>
      <c r="Q156" s="684">
        <v>0</v>
      </c>
      <c r="R156" s="652">
        <f>SUMIFS(OBE!$H:$H,OBE!$C:$C,'Standalone TB'!$B156,OBE!$B:$B,"A20")</f>
        <v>0</v>
      </c>
      <c r="S156" s="652">
        <f>SUMIFS('Elimination - BS'!I:I,'Elimination - BS'!D:D,'Standalone TB'!B156,'Elimination - BS'!A:A,"EA20")</f>
        <v>0</v>
      </c>
      <c r="T156" s="652">
        <f t="shared" si="20"/>
        <v>0</v>
      </c>
      <c r="U156" s="652">
        <f t="shared" si="21"/>
        <v>0</v>
      </c>
      <c r="V156" s="652">
        <v>0</v>
      </c>
      <c r="W156" s="685">
        <v>0</v>
      </c>
      <c r="X156" s="689">
        <f t="shared" si="22"/>
        <v>747000</v>
      </c>
      <c r="Y156" s="689">
        <f t="shared" si="23"/>
        <v>747000</v>
      </c>
      <c r="Z156" s="652" t="s">
        <v>1998</v>
      </c>
      <c r="AA156" s="652" t="s">
        <v>9</v>
      </c>
      <c r="AB156" s="666" t="s">
        <v>1989</v>
      </c>
      <c r="AD156" s="665"/>
    </row>
    <row r="157" spans="2:30" hidden="1" x14ac:dyDescent="0.2">
      <c r="B157" s="673" t="s">
        <v>2004</v>
      </c>
      <c r="C157" s="666" t="s">
        <v>2005</v>
      </c>
      <c r="D157" s="666" t="s">
        <v>3</v>
      </c>
      <c r="E157" s="684">
        <v>6851566.1799999997</v>
      </c>
      <c r="F157" s="652">
        <f>SUMIFS(OBE!$H:$H,OBE!$C:$C,'Standalone TB'!$B157,OBE!$B:$B,"A21")</f>
        <v>0</v>
      </c>
      <c r="G157" s="652">
        <f>SUMIFS('Elimination - BS'!I:I,'Elimination - BS'!D:D,'Standalone TB'!B157,'Elimination - BS'!A:A,"EA21")</f>
        <v>0</v>
      </c>
      <c r="H157" s="652">
        <f t="shared" si="24"/>
        <v>6851566.1799999997</v>
      </c>
      <c r="I157" s="652">
        <v>6851566.1799999997</v>
      </c>
      <c r="J157" s="684">
        <v>83189.5</v>
      </c>
      <c r="K157" s="652">
        <f>SUMIFS(OBE!$H:$H,OBE!$C:$C,'Standalone TB'!$B157,OBE!$B:$B,"A22")</f>
        <v>0</v>
      </c>
      <c r="L157" s="652">
        <f>SUMIFS('Elimination - BS'!I:I,'Elimination - BS'!D:D,'Standalone TB'!B157,'Elimination - BS'!A:A,"EA22")</f>
        <v>0</v>
      </c>
      <c r="M157" s="652">
        <f t="shared" si="18"/>
        <v>83189.5</v>
      </c>
      <c r="N157" s="652">
        <f t="shared" si="19"/>
        <v>1937807.9094269869</v>
      </c>
      <c r="O157" s="652">
        <v>83189.5</v>
      </c>
      <c r="P157" s="685">
        <v>1887511.52235</v>
      </c>
      <c r="Q157" s="684">
        <v>0</v>
      </c>
      <c r="R157" s="652">
        <f>SUMIFS(OBE!$H:$H,OBE!$C:$C,'Standalone TB'!$B157,OBE!$B:$B,"A20")</f>
        <v>0</v>
      </c>
      <c r="S157" s="652">
        <f>SUMIFS('Elimination - BS'!I:I,'Elimination - BS'!D:D,'Standalone TB'!B157,'Elimination - BS'!A:A,"EA20")</f>
        <v>0</v>
      </c>
      <c r="T157" s="652">
        <f t="shared" si="20"/>
        <v>0</v>
      </c>
      <c r="U157" s="652">
        <f t="shared" si="21"/>
        <v>0</v>
      </c>
      <c r="V157" s="652">
        <v>0</v>
      </c>
      <c r="W157" s="685">
        <v>0</v>
      </c>
      <c r="X157" s="689">
        <f t="shared" si="22"/>
        <v>8789374.0894269869</v>
      </c>
      <c r="Y157" s="689">
        <f t="shared" si="23"/>
        <v>8739077.7023499999</v>
      </c>
      <c r="Z157" s="652" t="s">
        <v>1992</v>
      </c>
      <c r="AA157" s="652" t="s">
        <v>9</v>
      </c>
      <c r="AB157" s="666" t="s">
        <v>1989</v>
      </c>
      <c r="AD157" s="665"/>
    </row>
    <row r="158" spans="2:30" hidden="1" x14ac:dyDescent="0.2">
      <c r="B158" s="673" t="s">
        <v>2006</v>
      </c>
      <c r="C158" s="666" t="s">
        <v>2007</v>
      </c>
      <c r="D158" s="666" t="s">
        <v>3</v>
      </c>
      <c r="E158" s="684">
        <v>0</v>
      </c>
      <c r="F158" s="652">
        <f>SUMIFS(OBE!$H:$H,OBE!$C:$C,'Standalone TB'!$B158,OBE!$B:$B,"A21")</f>
        <v>0</v>
      </c>
      <c r="G158" s="652">
        <f>SUMIFS('Elimination - BS'!I:I,'Elimination - BS'!D:D,'Standalone TB'!B158,'Elimination - BS'!A:A,"EA21")</f>
        <v>0</v>
      </c>
      <c r="H158" s="652">
        <f t="shared" si="24"/>
        <v>0</v>
      </c>
      <c r="I158" s="652">
        <v>0</v>
      </c>
      <c r="J158" s="684">
        <v>0</v>
      </c>
      <c r="K158" s="652">
        <f>SUMIFS(OBE!$H:$H,OBE!$C:$C,'Standalone TB'!$B158,OBE!$B:$B,"A22")</f>
        <v>0</v>
      </c>
      <c r="L158" s="652">
        <f>SUMIFS('Elimination - BS'!I:I,'Elimination - BS'!D:D,'Standalone TB'!B158,'Elimination - BS'!A:A,"EA22")</f>
        <v>0</v>
      </c>
      <c r="M158" s="652">
        <f t="shared" si="18"/>
        <v>0</v>
      </c>
      <c r="N158" s="652">
        <f t="shared" si="19"/>
        <v>0</v>
      </c>
      <c r="O158" s="652">
        <v>0</v>
      </c>
      <c r="P158" s="685">
        <v>0</v>
      </c>
      <c r="Q158" s="684">
        <v>0</v>
      </c>
      <c r="R158" s="652">
        <f>SUMIFS(OBE!$H:$H,OBE!$C:$C,'Standalone TB'!$B158,OBE!$B:$B,"A20")</f>
        <v>0</v>
      </c>
      <c r="S158" s="652">
        <f>SUMIFS('Elimination - BS'!I:I,'Elimination - BS'!D:D,'Standalone TB'!B158,'Elimination - BS'!A:A,"EA20")</f>
        <v>0</v>
      </c>
      <c r="T158" s="652">
        <f t="shared" si="20"/>
        <v>0</v>
      </c>
      <c r="U158" s="652">
        <f t="shared" si="21"/>
        <v>0</v>
      </c>
      <c r="V158" s="652">
        <v>0</v>
      </c>
      <c r="W158" s="685">
        <v>0</v>
      </c>
      <c r="X158" s="689">
        <f t="shared" si="22"/>
        <v>0</v>
      </c>
      <c r="Y158" s="689">
        <f t="shared" si="23"/>
        <v>0</v>
      </c>
      <c r="Z158" s="652" t="s">
        <v>1989</v>
      </c>
      <c r="AA158" s="652" t="s">
        <v>9</v>
      </c>
      <c r="AB158" s="666" t="s">
        <v>1989</v>
      </c>
      <c r="AD158" s="665"/>
    </row>
    <row r="159" spans="2:30" hidden="1" x14ac:dyDescent="0.2">
      <c r="B159" s="673" t="s">
        <v>1571</v>
      </c>
      <c r="C159" s="666" t="s">
        <v>2008</v>
      </c>
      <c r="D159" s="666" t="s">
        <v>3</v>
      </c>
      <c r="E159" s="684">
        <v>20797460.34</v>
      </c>
      <c r="F159" s="652">
        <f>SUMIFS(OBE!$H:$H,OBE!$C:$C,'Standalone TB'!$B159,OBE!$B:$B,"A21")</f>
        <v>3777</v>
      </c>
      <c r="G159" s="652">
        <f>SUMIFS('Elimination - BS'!I:I,'Elimination - BS'!D:D,'Standalone TB'!B159,'Elimination - BS'!A:A,"EA21")</f>
        <v>0</v>
      </c>
      <c r="H159" s="652">
        <f t="shared" si="24"/>
        <v>20801237.34</v>
      </c>
      <c r="I159" s="652">
        <v>19912955.34</v>
      </c>
      <c r="J159" s="684">
        <v>30855.5</v>
      </c>
      <c r="K159" s="652">
        <f>SUMIFS(OBE!$H:$H,OBE!$C:$C,'Standalone TB'!$B159,OBE!$B:$B,"A22")</f>
        <v>0</v>
      </c>
      <c r="L159" s="652">
        <f>SUMIFS('Elimination - BS'!I:I,'Elimination - BS'!D:D,'Standalone TB'!B159,'Elimination - BS'!A:A,"EA22")</f>
        <v>0</v>
      </c>
      <c r="M159" s="652">
        <f t="shared" si="18"/>
        <v>30855.5</v>
      </c>
      <c r="N159" s="652">
        <f t="shared" si="19"/>
        <v>718744.9371534196</v>
      </c>
      <c r="O159" s="652">
        <v>30855.5</v>
      </c>
      <c r="P159" s="685">
        <v>700089.69614999997</v>
      </c>
      <c r="Q159" s="684">
        <v>0</v>
      </c>
      <c r="R159" s="652">
        <f>SUMIFS(OBE!$H:$H,OBE!$C:$C,'Standalone TB'!$B159,OBE!$B:$B,"A20")</f>
        <v>0</v>
      </c>
      <c r="S159" s="652">
        <f>SUMIFS('Elimination - BS'!I:I,'Elimination - BS'!D:D,'Standalone TB'!B159,'Elimination - BS'!A:A,"EA20")</f>
        <v>0</v>
      </c>
      <c r="T159" s="652">
        <f t="shared" si="20"/>
        <v>0</v>
      </c>
      <c r="U159" s="652">
        <f t="shared" si="21"/>
        <v>0</v>
      </c>
      <c r="V159" s="652">
        <v>0</v>
      </c>
      <c r="W159" s="685">
        <v>0</v>
      </c>
      <c r="X159" s="689">
        <f t="shared" si="22"/>
        <v>21519982.277153421</v>
      </c>
      <c r="Y159" s="689">
        <f t="shared" si="23"/>
        <v>20613045.036150001</v>
      </c>
      <c r="Z159" s="652" t="s">
        <v>2009</v>
      </c>
      <c r="AA159" s="652" t="s">
        <v>9</v>
      </c>
      <c r="AB159" s="666" t="s">
        <v>1989</v>
      </c>
      <c r="AD159" s="665"/>
    </row>
    <row r="160" spans="2:30" hidden="1" x14ac:dyDescent="0.2">
      <c r="B160" s="673" t="s">
        <v>2010</v>
      </c>
      <c r="C160" s="666" t="s">
        <v>2011</v>
      </c>
      <c r="D160" s="666" t="s">
        <v>3</v>
      </c>
      <c r="E160" s="684">
        <v>19000</v>
      </c>
      <c r="F160" s="652">
        <f>SUMIFS(OBE!$H:$H,OBE!$C:$C,'Standalone TB'!$B160,OBE!$B:$B,"A21")</f>
        <v>0</v>
      </c>
      <c r="G160" s="652">
        <f>SUMIFS('Elimination - BS'!I:I,'Elimination - BS'!D:D,'Standalone TB'!B160,'Elimination - BS'!A:A,"EA21")</f>
        <v>0</v>
      </c>
      <c r="H160" s="652">
        <f t="shared" si="24"/>
        <v>19000</v>
      </c>
      <c r="J160" s="684">
        <v>0</v>
      </c>
      <c r="K160" s="652">
        <f>SUMIFS(OBE!$H:$H,OBE!$C:$C,'Standalone TB'!$B160,OBE!$B:$B,"A22")</f>
        <v>0</v>
      </c>
      <c r="L160" s="652">
        <f>SUMIFS('Elimination - BS'!I:I,'Elimination - BS'!D:D,'Standalone TB'!B160,'Elimination - BS'!A:A,"EA22")</f>
        <v>0</v>
      </c>
      <c r="M160" s="652">
        <f t="shared" si="18"/>
        <v>0</v>
      </c>
      <c r="N160" s="652">
        <f t="shared" si="19"/>
        <v>0</v>
      </c>
      <c r="P160" s="685"/>
      <c r="Q160" s="684">
        <v>0</v>
      </c>
      <c r="R160" s="652">
        <f>SUMIFS(OBE!$H:$H,OBE!$C:$C,'Standalone TB'!$B160,OBE!$B:$B,"A20")</f>
        <v>0</v>
      </c>
      <c r="S160" s="652">
        <f>SUMIFS('Elimination - BS'!I:I,'Elimination - BS'!D:D,'Standalone TB'!B160,'Elimination - BS'!A:A,"EA20")</f>
        <v>0</v>
      </c>
      <c r="T160" s="652">
        <f t="shared" si="20"/>
        <v>0</v>
      </c>
      <c r="U160" s="652">
        <f t="shared" si="21"/>
        <v>0</v>
      </c>
      <c r="W160" s="685"/>
      <c r="X160" s="689">
        <f t="shared" si="22"/>
        <v>19000</v>
      </c>
      <c r="Y160" s="689">
        <f t="shared" si="23"/>
        <v>0</v>
      </c>
      <c r="Z160" s="652" t="s">
        <v>2012</v>
      </c>
      <c r="AA160" s="652" t="s">
        <v>9</v>
      </c>
      <c r="AB160" s="666" t="s">
        <v>1989</v>
      </c>
      <c r="AD160" s="665"/>
    </row>
    <row r="161" spans="2:30" hidden="1" x14ac:dyDescent="0.2">
      <c r="B161" s="673" t="s">
        <v>2013</v>
      </c>
      <c r="C161" s="666" t="s">
        <v>2014</v>
      </c>
      <c r="D161" s="666" t="s">
        <v>3</v>
      </c>
      <c r="E161" s="684">
        <v>13668635.74</v>
      </c>
      <c r="F161" s="652">
        <f>SUMIFS(OBE!$H:$H,OBE!$C:$C,'Standalone TB'!$B161,OBE!$B:$B,"A21")</f>
        <v>0</v>
      </c>
      <c r="G161" s="652">
        <f>SUMIFS('Elimination - BS'!I:I,'Elimination - BS'!D:D,'Standalone TB'!B161,'Elimination - BS'!A:A,"EA21")</f>
        <v>0</v>
      </c>
      <c r="H161" s="652">
        <f t="shared" si="24"/>
        <v>13668635.74</v>
      </c>
      <c r="I161" s="652">
        <v>13668626.74</v>
      </c>
      <c r="J161" s="684">
        <v>29158.6</v>
      </c>
      <c r="K161" s="652">
        <f>SUMIFS(OBE!$H:$H,OBE!$C:$C,'Standalone TB'!$B161,OBE!$B:$B,"A22")</f>
        <v>0</v>
      </c>
      <c r="L161" s="652">
        <f>SUMIFS('Elimination - BS'!I:I,'Elimination - BS'!D:D,'Standalone TB'!B161,'Elimination - BS'!A:A,"EA22")</f>
        <v>0</v>
      </c>
      <c r="M161" s="652">
        <f t="shared" si="18"/>
        <v>29158.6</v>
      </c>
      <c r="N161" s="652">
        <f t="shared" si="19"/>
        <v>679217.51792975969</v>
      </c>
      <c r="O161" s="652">
        <v>29158.6</v>
      </c>
      <c r="P161" s="685">
        <v>661588.22297999996</v>
      </c>
      <c r="Q161" s="684">
        <v>0</v>
      </c>
      <c r="R161" s="652">
        <f>SUMIFS(OBE!$H:$H,OBE!$C:$C,'Standalone TB'!$B161,OBE!$B:$B,"A20")</f>
        <v>0</v>
      </c>
      <c r="S161" s="652">
        <f>SUMIFS('Elimination - BS'!I:I,'Elimination - BS'!D:D,'Standalone TB'!B161,'Elimination - BS'!A:A,"EA20")</f>
        <v>0</v>
      </c>
      <c r="T161" s="652">
        <f t="shared" si="20"/>
        <v>0</v>
      </c>
      <c r="U161" s="652">
        <f t="shared" si="21"/>
        <v>0</v>
      </c>
      <c r="V161" s="652">
        <v>0</v>
      </c>
      <c r="W161" s="685">
        <v>0</v>
      </c>
      <c r="X161" s="689">
        <f t="shared" si="22"/>
        <v>14347853.257929759</v>
      </c>
      <c r="Y161" s="689">
        <f t="shared" si="23"/>
        <v>14330214.96298</v>
      </c>
      <c r="Z161" s="652" t="s">
        <v>2012</v>
      </c>
      <c r="AA161" s="652" t="s">
        <v>9</v>
      </c>
      <c r="AB161" s="666" t="s">
        <v>1989</v>
      </c>
      <c r="AD161" s="665"/>
    </row>
    <row r="162" spans="2:30" hidden="1" x14ac:dyDescent="0.2">
      <c r="B162" s="673" t="s">
        <v>2015</v>
      </c>
      <c r="C162" s="666" t="s">
        <v>2016</v>
      </c>
      <c r="D162" s="666" t="s">
        <v>3</v>
      </c>
      <c r="E162" s="684">
        <v>0</v>
      </c>
      <c r="F162" s="652">
        <f>SUMIFS(OBE!$H:$H,OBE!$C:$C,'Standalone TB'!$B162,OBE!$B:$B,"A21")</f>
        <v>0</v>
      </c>
      <c r="G162" s="652">
        <f>SUMIFS('Elimination - BS'!I:I,'Elimination - BS'!D:D,'Standalone TB'!B162,'Elimination - BS'!A:A,"EA21")</f>
        <v>0</v>
      </c>
      <c r="H162" s="652">
        <f t="shared" si="24"/>
        <v>0</v>
      </c>
      <c r="I162" s="652">
        <v>0</v>
      </c>
      <c r="J162" s="684">
        <v>0</v>
      </c>
      <c r="K162" s="652">
        <f>SUMIFS(OBE!$H:$H,OBE!$C:$C,'Standalone TB'!$B162,OBE!$B:$B,"A22")</f>
        <v>0</v>
      </c>
      <c r="L162" s="652">
        <f>SUMIFS('Elimination - BS'!I:I,'Elimination - BS'!D:D,'Standalone TB'!B162,'Elimination - BS'!A:A,"EA22")</f>
        <v>0</v>
      </c>
      <c r="M162" s="652">
        <f t="shared" si="18"/>
        <v>0</v>
      </c>
      <c r="N162" s="652">
        <f t="shared" si="19"/>
        <v>0</v>
      </c>
      <c r="O162" s="652">
        <v>0</v>
      </c>
      <c r="P162" s="685">
        <v>0</v>
      </c>
      <c r="Q162" s="684">
        <v>0</v>
      </c>
      <c r="R162" s="652">
        <f>SUMIFS(OBE!$H:$H,OBE!$C:$C,'Standalone TB'!$B162,OBE!$B:$B,"A20")</f>
        <v>0</v>
      </c>
      <c r="S162" s="652">
        <f>SUMIFS('Elimination - BS'!I:I,'Elimination - BS'!D:D,'Standalone TB'!B162,'Elimination - BS'!A:A,"EA20")</f>
        <v>0</v>
      </c>
      <c r="T162" s="652">
        <f t="shared" si="20"/>
        <v>0</v>
      </c>
      <c r="U162" s="652">
        <f t="shared" si="21"/>
        <v>0</v>
      </c>
      <c r="V162" s="652">
        <v>0</v>
      </c>
      <c r="W162" s="685">
        <v>0</v>
      </c>
      <c r="X162" s="689">
        <f t="shared" si="22"/>
        <v>0</v>
      </c>
      <c r="Y162" s="689">
        <f t="shared" si="23"/>
        <v>0</v>
      </c>
      <c r="Z162" s="652" t="s">
        <v>1989</v>
      </c>
      <c r="AA162" s="652" t="s">
        <v>9</v>
      </c>
      <c r="AB162" s="666" t="s">
        <v>1989</v>
      </c>
      <c r="AD162" s="665"/>
    </row>
    <row r="163" spans="2:30" hidden="1" x14ac:dyDescent="0.2">
      <c r="B163" s="673" t="s">
        <v>2017</v>
      </c>
      <c r="C163" s="666" t="s">
        <v>1909</v>
      </c>
      <c r="D163" s="666" t="s">
        <v>3</v>
      </c>
      <c r="E163" s="684">
        <v>0</v>
      </c>
      <c r="F163" s="652">
        <f>SUMIFS(OBE!$H:$H,OBE!$C:$C,'Standalone TB'!$B163,OBE!$B:$B,"A21")</f>
        <v>0</v>
      </c>
      <c r="G163" s="652">
        <f>SUMIFS('Elimination - BS'!I:I,'Elimination - BS'!D:D,'Standalone TB'!B163,'Elimination - BS'!A:A,"EA21")</f>
        <v>0</v>
      </c>
      <c r="H163" s="652">
        <f t="shared" si="24"/>
        <v>0</v>
      </c>
      <c r="I163" s="652">
        <v>0</v>
      </c>
      <c r="J163" s="684">
        <v>0</v>
      </c>
      <c r="K163" s="652">
        <f>SUMIFS(OBE!$H:$H,OBE!$C:$C,'Standalone TB'!$B163,OBE!$B:$B,"A22")</f>
        <v>0</v>
      </c>
      <c r="L163" s="652">
        <f>SUMIFS('Elimination - BS'!I:I,'Elimination - BS'!D:D,'Standalone TB'!B163,'Elimination - BS'!A:A,"EA22")</f>
        <v>0</v>
      </c>
      <c r="M163" s="652">
        <f t="shared" si="18"/>
        <v>0</v>
      </c>
      <c r="N163" s="652">
        <f t="shared" si="19"/>
        <v>0</v>
      </c>
      <c r="O163" s="652">
        <v>0</v>
      </c>
      <c r="P163" s="685">
        <v>0</v>
      </c>
      <c r="Q163" s="684">
        <v>0</v>
      </c>
      <c r="R163" s="652">
        <f>SUMIFS(OBE!$H:$H,OBE!$C:$C,'Standalone TB'!$B163,OBE!$B:$B,"A20")</f>
        <v>0</v>
      </c>
      <c r="S163" s="652">
        <f>SUMIFS('Elimination - BS'!I:I,'Elimination - BS'!D:D,'Standalone TB'!B163,'Elimination - BS'!A:A,"EA20")</f>
        <v>0</v>
      </c>
      <c r="T163" s="652">
        <f t="shared" si="20"/>
        <v>0</v>
      </c>
      <c r="U163" s="652">
        <f t="shared" si="21"/>
        <v>0</v>
      </c>
      <c r="V163" s="652">
        <v>0</v>
      </c>
      <c r="W163" s="685">
        <v>0</v>
      </c>
      <c r="X163" s="689">
        <f t="shared" si="22"/>
        <v>0</v>
      </c>
      <c r="Y163" s="689">
        <f t="shared" si="23"/>
        <v>0</v>
      </c>
      <c r="Z163" s="652" t="s">
        <v>1989</v>
      </c>
      <c r="AA163" s="652" t="s">
        <v>9</v>
      </c>
      <c r="AB163" s="666" t="s">
        <v>1989</v>
      </c>
      <c r="AD163" s="665"/>
    </row>
    <row r="164" spans="2:30" hidden="1" x14ac:dyDescent="0.2">
      <c r="B164" s="673" t="s">
        <v>2018</v>
      </c>
      <c r="C164" s="666" t="s">
        <v>2019</v>
      </c>
      <c r="D164" s="666" t="s">
        <v>3</v>
      </c>
      <c r="E164" s="684">
        <v>-7401777.21</v>
      </c>
      <c r="F164" s="652">
        <f>SUMIFS(OBE!$H:$H,OBE!$C:$C,'Standalone TB'!$B164,OBE!$B:$B,"A21")</f>
        <v>0</v>
      </c>
      <c r="G164" s="652">
        <f>SUMIFS('Elimination - BS'!I:I,'Elimination - BS'!D:D,'Standalone TB'!B164,'Elimination - BS'!A:A,"EA21")</f>
        <v>0</v>
      </c>
      <c r="H164" s="652">
        <f t="shared" si="24"/>
        <v>-7401777.21</v>
      </c>
      <c r="I164" s="652">
        <v>-6942136.96</v>
      </c>
      <c r="J164" s="684">
        <v>0</v>
      </c>
      <c r="K164" s="652">
        <f>SUMIFS(OBE!$H:$H,OBE!$C:$C,'Standalone TB'!$B164,OBE!$B:$B,"A22")</f>
        <v>0</v>
      </c>
      <c r="L164" s="652">
        <f>SUMIFS('Elimination - BS'!I:I,'Elimination - BS'!D:D,'Standalone TB'!B164,'Elimination - BS'!A:A,"EA22")</f>
        <v>0</v>
      </c>
      <c r="M164" s="652">
        <f t="shared" si="18"/>
        <v>0</v>
      </c>
      <c r="N164" s="652">
        <f t="shared" si="19"/>
        <v>0</v>
      </c>
      <c r="O164" s="652">
        <v>0</v>
      </c>
      <c r="P164" s="685">
        <v>0</v>
      </c>
      <c r="Q164" s="684">
        <v>0</v>
      </c>
      <c r="R164" s="652">
        <f>SUMIFS(OBE!$H:$H,OBE!$C:$C,'Standalone TB'!$B164,OBE!$B:$B,"A20")</f>
        <v>0</v>
      </c>
      <c r="S164" s="652">
        <f>SUMIFS('Elimination - BS'!I:I,'Elimination - BS'!D:D,'Standalone TB'!B164,'Elimination - BS'!A:A,"EA20")</f>
        <v>0</v>
      </c>
      <c r="T164" s="652">
        <f t="shared" si="20"/>
        <v>0</v>
      </c>
      <c r="U164" s="652">
        <f t="shared" si="21"/>
        <v>0</v>
      </c>
      <c r="V164" s="652">
        <v>0</v>
      </c>
      <c r="W164" s="685">
        <v>0</v>
      </c>
      <c r="X164" s="689">
        <f t="shared" si="22"/>
        <v>-7401777.21</v>
      </c>
      <c r="Y164" s="689">
        <f t="shared" si="23"/>
        <v>-6942136.96</v>
      </c>
      <c r="Z164" s="652" t="s">
        <v>1995</v>
      </c>
      <c r="AA164" s="652" t="s">
        <v>9</v>
      </c>
      <c r="AB164" s="666" t="s">
        <v>1989</v>
      </c>
      <c r="AD164" s="665">
        <f>SUM(X164:X177)/10^5+SUM(X179:X181)/10^5</f>
        <v>-43100.936442278173</v>
      </c>
    </row>
    <row r="165" spans="2:30" hidden="1" x14ac:dyDescent="0.2">
      <c r="B165" s="673" t="s">
        <v>2020</v>
      </c>
      <c r="C165" s="666" t="s">
        <v>2021</v>
      </c>
      <c r="D165" s="666" t="s">
        <v>3</v>
      </c>
      <c r="E165" s="684">
        <v>0</v>
      </c>
      <c r="F165" s="652">
        <f>SUMIFS(OBE!$H:$H,OBE!$C:$C,'Standalone TB'!$B165,OBE!$B:$B,"A21")</f>
        <v>0</v>
      </c>
      <c r="G165" s="652">
        <f>SUMIFS('Elimination - BS'!I:I,'Elimination - BS'!D:D,'Standalone TB'!B165,'Elimination - BS'!A:A,"EA21")</f>
        <v>0</v>
      </c>
      <c r="H165" s="652">
        <f t="shared" si="24"/>
        <v>0</v>
      </c>
      <c r="I165" s="652">
        <v>0</v>
      </c>
      <c r="J165" s="684">
        <v>0</v>
      </c>
      <c r="K165" s="652">
        <f>SUMIFS(OBE!$H:$H,OBE!$C:$C,'Standalone TB'!$B165,OBE!$B:$B,"A22")</f>
        <v>0</v>
      </c>
      <c r="L165" s="652">
        <f>SUMIFS('Elimination - BS'!I:I,'Elimination - BS'!D:D,'Standalone TB'!B165,'Elimination - BS'!A:A,"EA22")</f>
        <v>0</v>
      </c>
      <c r="M165" s="652">
        <f t="shared" si="18"/>
        <v>0</v>
      </c>
      <c r="N165" s="652">
        <f t="shared" si="19"/>
        <v>0</v>
      </c>
      <c r="O165" s="652">
        <v>0</v>
      </c>
      <c r="P165" s="685">
        <v>0</v>
      </c>
      <c r="Q165" s="684">
        <v>0</v>
      </c>
      <c r="R165" s="652">
        <f>SUMIFS(OBE!$H:$H,OBE!$C:$C,'Standalone TB'!$B165,OBE!$B:$B,"A20")</f>
        <v>0</v>
      </c>
      <c r="S165" s="652">
        <f>SUMIFS('Elimination - BS'!I:I,'Elimination - BS'!D:D,'Standalone TB'!B165,'Elimination - BS'!A:A,"EA20")</f>
        <v>0</v>
      </c>
      <c r="T165" s="652">
        <f t="shared" si="20"/>
        <v>0</v>
      </c>
      <c r="U165" s="652">
        <f t="shared" si="21"/>
        <v>0</v>
      </c>
      <c r="V165" s="652">
        <v>0</v>
      </c>
      <c r="W165" s="685">
        <v>0</v>
      </c>
      <c r="X165" s="689">
        <f t="shared" si="22"/>
        <v>0</v>
      </c>
      <c r="Y165" s="689">
        <f t="shared" si="23"/>
        <v>0</v>
      </c>
      <c r="Z165" s="652" t="s">
        <v>1989</v>
      </c>
      <c r="AA165" s="652" t="s">
        <v>9</v>
      </c>
      <c r="AB165" s="666" t="s">
        <v>1989</v>
      </c>
      <c r="AD165" s="665">
        <f>SUM(AD164:AD164)</f>
        <v>-43100.936442278173</v>
      </c>
    </row>
    <row r="166" spans="2:30" hidden="1" x14ac:dyDescent="0.2">
      <c r="B166" s="673" t="s">
        <v>2022</v>
      </c>
      <c r="C166" s="666" t="s">
        <v>2023</v>
      </c>
      <c r="D166" s="666" t="s">
        <v>3</v>
      </c>
      <c r="E166" s="684">
        <v>-5552034.7199999997</v>
      </c>
      <c r="F166" s="652">
        <f>SUMIFS(OBE!$H:$H,OBE!$C:$C,'Standalone TB'!$B166,OBE!$B:$B,"A21")</f>
        <v>0</v>
      </c>
      <c r="G166" s="652">
        <f>SUMIFS('Elimination - BS'!I:I,'Elimination - BS'!D:D,'Standalone TB'!B166,'Elimination - BS'!A:A,"EA21")</f>
        <v>0</v>
      </c>
      <c r="H166" s="652">
        <f t="shared" si="24"/>
        <v>-5552034.7199999997</v>
      </c>
      <c r="I166" s="652">
        <v>-3470021.7</v>
      </c>
      <c r="J166" s="684">
        <v>0</v>
      </c>
      <c r="K166" s="652">
        <f>SUMIFS(OBE!$H:$H,OBE!$C:$C,'Standalone TB'!$B166,OBE!$B:$B,"A22")</f>
        <v>0</v>
      </c>
      <c r="L166" s="652">
        <f>SUMIFS('Elimination - BS'!I:I,'Elimination - BS'!D:D,'Standalone TB'!B166,'Elimination - BS'!A:A,"EA22")</f>
        <v>0</v>
      </c>
      <c r="M166" s="652">
        <f t="shared" si="18"/>
        <v>0</v>
      </c>
      <c r="N166" s="652">
        <f t="shared" si="19"/>
        <v>0</v>
      </c>
      <c r="O166" s="652">
        <v>0</v>
      </c>
      <c r="P166" s="685">
        <v>0</v>
      </c>
      <c r="Q166" s="684">
        <v>-2080.4299999999998</v>
      </c>
      <c r="R166" s="652">
        <f>SUMIFS(OBE!$H:$H,OBE!$C:$C,'Standalone TB'!$B166,OBE!$B:$B,"A20")</f>
        <v>0</v>
      </c>
      <c r="S166" s="652">
        <f>SUMIFS('Elimination - BS'!I:I,'Elimination - BS'!D:D,'Standalone TB'!B166,'Elimination - BS'!A:A,"EA20")</f>
        <v>0</v>
      </c>
      <c r="T166" s="652">
        <f t="shared" si="20"/>
        <v>-2080.4299999999998</v>
      </c>
      <c r="U166" s="652">
        <f t="shared" si="21"/>
        <v>-178009.43567467653</v>
      </c>
      <c r="V166" s="652">
        <v>-994.99</v>
      </c>
      <c r="W166" s="685">
        <v>-82923.561088999995</v>
      </c>
      <c r="X166" s="689">
        <f t="shared" si="22"/>
        <v>-5730044.1556746764</v>
      </c>
      <c r="Y166" s="689">
        <f t="shared" si="23"/>
        <v>-3552945.2610890004</v>
      </c>
      <c r="Z166" s="652" t="s">
        <v>1998</v>
      </c>
      <c r="AA166" s="652" t="s">
        <v>9</v>
      </c>
      <c r="AB166" s="666" t="s">
        <v>1989</v>
      </c>
      <c r="AD166" s="665"/>
    </row>
    <row r="167" spans="2:30" hidden="1" x14ac:dyDescent="0.2">
      <c r="B167" s="673" t="s">
        <v>2024</v>
      </c>
      <c r="C167" s="666" t="s">
        <v>2025</v>
      </c>
      <c r="D167" s="666" t="s">
        <v>3</v>
      </c>
      <c r="E167" s="684">
        <v>0</v>
      </c>
      <c r="F167" s="652">
        <f>SUMIFS(OBE!$H:$H,OBE!$C:$C,'Standalone TB'!$B167,OBE!$B:$B,"A21")</f>
        <v>0</v>
      </c>
      <c r="G167" s="652">
        <f>SUMIFS('Elimination - BS'!I:I,'Elimination - BS'!D:D,'Standalone TB'!B167,'Elimination - BS'!A:A,"EA21")</f>
        <v>0</v>
      </c>
      <c r="H167" s="652">
        <f t="shared" si="24"/>
        <v>0</v>
      </c>
      <c r="I167" s="652">
        <v>0</v>
      </c>
      <c r="J167" s="684">
        <v>-7775</v>
      </c>
      <c r="K167" s="652">
        <f>SUMIFS(OBE!$H:$H,OBE!$C:$C,'Standalone TB'!$B167,OBE!$B:$B,"A22")</f>
        <v>0</v>
      </c>
      <c r="L167" s="652">
        <f>SUMIFS('Elimination - BS'!I:I,'Elimination - BS'!D:D,'Standalone TB'!B167,'Elimination - BS'!A:A,"EA22")</f>
        <v>0</v>
      </c>
      <c r="M167" s="652">
        <f t="shared" si="18"/>
        <v>-7775</v>
      </c>
      <c r="N167" s="652">
        <f t="shared" si="19"/>
        <v>-181110.07393715341</v>
      </c>
      <c r="O167" s="652">
        <v>0</v>
      </c>
      <c r="P167" s="685">
        <v>0</v>
      </c>
      <c r="Q167" s="684">
        <v>0</v>
      </c>
      <c r="R167" s="652">
        <f>SUMIFS(OBE!$H:$H,OBE!$C:$C,'Standalone TB'!$B167,OBE!$B:$B,"A20")</f>
        <v>0</v>
      </c>
      <c r="S167" s="652">
        <f>SUMIFS('Elimination - BS'!I:I,'Elimination - BS'!D:D,'Standalone TB'!B167,'Elimination - BS'!A:A,"EA20")</f>
        <v>0</v>
      </c>
      <c r="T167" s="652">
        <f t="shared" si="20"/>
        <v>0</v>
      </c>
      <c r="U167" s="652">
        <f t="shared" si="21"/>
        <v>0</v>
      </c>
      <c r="V167" s="652">
        <v>0</v>
      </c>
      <c r="W167" s="685">
        <v>0</v>
      </c>
      <c r="X167" s="689">
        <f t="shared" si="22"/>
        <v>-181110.07393715341</v>
      </c>
      <c r="Y167" s="689">
        <f t="shared" si="23"/>
        <v>0</v>
      </c>
      <c r="Z167" s="652" t="s">
        <v>1998</v>
      </c>
      <c r="AA167" s="652" t="s">
        <v>9</v>
      </c>
      <c r="AB167" s="666" t="s">
        <v>1989</v>
      </c>
      <c r="AD167" s="665"/>
    </row>
    <row r="168" spans="2:30" hidden="1" x14ac:dyDescent="0.2">
      <c r="B168" s="673" t="s">
        <v>2026</v>
      </c>
      <c r="C168" s="666" t="s">
        <v>2027</v>
      </c>
      <c r="D168" s="666" t="s">
        <v>3</v>
      </c>
      <c r="E168" s="684">
        <v>-2520.9299999999998</v>
      </c>
      <c r="F168" s="652">
        <f>SUMIFS(OBE!$H:$H,OBE!$C:$C,'Standalone TB'!$B168,OBE!$B:$B,"A21")</f>
        <v>0</v>
      </c>
      <c r="G168" s="652">
        <f>SUMIFS('Elimination - BS'!I:I,'Elimination - BS'!D:D,'Standalone TB'!B168,'Elimination - BS'!A:A,"EA21")</f>
        <v>0</v>
      </c>
      <c r="H168" s="652">
        <f t="shared" si="24"/>
        <v>-2520.9299999999998</v>
      </c>
      <c r="I168" s="652">
        <v>-741.45</v>
      </c>
      <c r="J168" s="684">
        <v>0</v>
      </c>
      <c r="K168" s="652">
        <f>SUMIFS(OBE!$H:$H,OBE!$C:$C,'Standalone TB'!$B168,OBE!$B:$B,"A22")</f>
        <v>0</v>
      </c>
      <c r="L168" s="652">
        <f>SUMIFS('Elimination - BS'!I:I,'Elimination - BS'!D:D,'Standalone TB'!B168,'Elimination - BS'!A:A,"EA22")</f>
        <v>0</v>
      </c>
      <c r="M168" s="652">
        <f t="shared" si="18"/>
        <v>0</v>
      </c>
      <c r="N168" s="652">
        <f t="shared" si="19"/>
        <v>0</v>
      </c>
      <c r="O168" s="652">
        <v>0</v>
      </c>
      <c r="P168" s="685">
        <v>0</v>
      </c>
      <c r="Q168" s="684">
        <v>0</v>
      </c>
      <c r="R168" s="652">
        <f>SUMIFS(OBE!$H:$H,OBE!$C:$C,'Standalone TB'!$B168,OBE!$B:$B,"A20")</f>
        <v>0</v>
      </c>
      <c r="S168" s="652">
        <f>SUMIFS('Elimination - BS'!I:I,'Elimination - BS'!D:D,'Standalone TB'!B168,'Elimination - BS'!A:A,"EA20")</f>
        <v>0</v>
      </c>
      <c r="T168" s="652">
        <f t="shared" si="20"/>
        <v>0</v>
      </c>
      <c r="U168" s="652">
        <f t="shared" si="21"/>
        <v>0</v>
      </c>
      <c r="V168" s="652">
        <v>0</v>
      </c>
      <c r="W168" s="685">
        <v>0</v>
      </c>
      <c r="X168" s="689">
        <f t="shared" si="22"/>
        <v>-2520.9299999999998</v>
      </c>
      <c r="Y168" s="689">
        <f t="shared" si="23"/>
        <v>-741.45</v>
      </c>
      <c r="Z168" s="652" t="s">
        <v>1992</v>
      </c>
      <c r="AA168" s="652" t="s">
        <v>9</v>
      </c>
      <c r="AB168" s="666" t="s">
        <v>1989</v>
      </c>
      <c r="AD168" s="665"/>
    </row>
    <row r="169" spans="2:30" hidden="1" x14ac:dyDescent="0.2">
      <c r="B169" s="673" t="s">
        <v>1570</v>
      </c>
      <c r="C169" s="666" t="s">
        <v>2028</v>
      </c>
      <c r="D169" s="666" t="s">
        <v>3</v>
      </c>
      <c r="E169" s="684">
        <v>-105260156.15000001</v>
      </c>
      <c r="F169" s="652">
        <f>SUMIFS(OBE!$H:$H,OBE!$C:$C,'Standalone TB'!$B169,OBE!$B:$B,"A21")</f>
        <v>-673409.956117052</v>
      </c>
      <c r="G169" s="652">
        <f>SUMIFS('Elimination - BS'!I:I,'Elimination - BS'!D:D,'Standalone TB'!B169,'Elimination - BS'!A:A,"EA21")</f>
        <v>0</v>
      </c>
      <c r="H169" s="652">
        <f t="shared" si="24"/>
        <v>-105933566.10611705</v>
      </c>
      <c r="I169" s="652">
        <v>-110959247.89611705</v>
      </c>
      <c r="J169" s="684">
        <v>-181541.77</v>
      </c>
      <c r="K169" s="652">
        <f>SUMIFS(OBE!$H:$H,OBE!$C:$C,'Standalone TB'!$B169,OBE!$B:$B,"A22")</f>
        <v>0</v>
      </c>
      <c r="L169" s="652">
        <f>SUMIFS('Elimination - BS'!I:I,'Elimination - BS'!D:D,'Standalone TB'!B169,'Elimination - BS'!A:A,"EA22")</f>
        <v>0</v>
      </c>
      <c r="M169" s="652">
        <f t="shared" si="18"/>
        <v>-181541.77</v>
      </c>
      <c r="N169" s="652">
        <f t="shared" si="19"/>
        <v>-4228815.869759704</v>
      </c>
      <c r="O169" s="652">
        <v>-180103.14</v>
      </c>
      <c r="P169" s="685">
        <v>-4086414.1744020004</v>
      </c>
      <c r="Q169" s="684">
        <v>0</v>
      </c>
      <c r="R169" s="652">
        <f>SUMIFS(OBE!$H:$H,OBE!$C:$C,'Standalone TB'!$B169,OBE!$B:$B,"A20")</f>
        <v>0</v>
      </c>
      <c r="S169" s="652">
        <f>SUMIFS('Elimination - BS'!I:I,'Elimination - BS'!D:D,'Standalone TB'!B169,'Elimination - BS'!A:A,"EA20")</f>
        <v>0</v>
      </c>
      <c r="T169" s="652">
        <f t="shared" si="20"/>
        <v>0</v>
      </c>
      <c r="U169" s="652">
        <f t="shared" si="21"/>
        <v>0</v>
      </c>
      <c r="V169" s="652">
        <v>0</v>
      </c>
      <c r="W169" s="685">
        <v>0</v>
      </c>
      <c r="X169" s="689">
        <f t="shared" si="22"/>
        <v>-110162381.97587676</v>
      </c>
      <c r="Y169" s="689">
        <f t="shared" si="23"/>
        <v>-115045662.07051904</v>
      </c>
      <c r="Z169" s="652" t="s">
        <v>1998</v>
      </c>
      <c r="AA169" s="652" t="s">
        <v>9</v>
      </c>
      <c r="AB169" s="666" t="s">
        <v>1989</v>
      </c>
      <c r="AD169" s="665"/>
    </row>
    <row r="170" spans="2:30" hidden="1" x14ac:dyDescent="0.2">
      <c r="B170" s="673" t="s">
        <v>2029</v>
      </c>
      <c r="C170" s="666" t="s">
        <v>2030</v>
      </c>
      <c r="D170" s="666" t="s">
        <v>3</v>
      </c>
      <c r="E170" s="684">
        <v>-311218.88</v>
      </c>
      <c r="F170" s="652">
        <f>SUMIFS(OBE!$H:$H,OBE!$C:$C,'Standalone TB'!$B170,OBE!$B:$B,"A21")</f>
        <v>0</v>
      </c>
      <c r="G170" s="652">
        <f>SUMIFS('Elimination - BS'!I:I,'Elimination - BS'!D:D,'Standalone TB'!B170,'Elimination - BS'!A:A,"EA21")</f>
        <v>0</v>
      </c>
      <c r="H170" s="652">
        <f t="shared" si="24"/>
        <v>-311218.88</v>
      </c>
      <c r="I170" s="652">
        <v>-62243.78</v>
      </c>
      <c r="J170" s="684">
        <v>0</v>
      </c>
      <c r="K170" s="652">
        <f>SUMIFS(OBE!$H:$H,OBE!$C:$C,'Standalone TB'!$B170,OBE!$B:$B,"A22")</f>
        <v>0</v>
      </c>
      <c r="L170" s="652">
        <f>SUMIFS('Elimination - BS'!I:I,'Elimination - BS'!D:D,'Standalone TB'!B170,'Elimination - BS'!A:A,"EA22")</f>
        <v>0</v>
      </c>
      <c r="M170" s="652">
        <f t="shared" si="18"/>
        <v>0</v>
      </c>
      <c r="N170" s="652">
        <f t="shared" si="19"/>
        <v>0</v>
      </c>
      <c r="O170" s="652">
        <v>0</v>
      </c>
      <c r="P170" s="685">
        <v>0</v>
      </c>
      <c r="Q170" s="684">
        <v>0</v>
      </c>
      <c r="R170" s="652">
        <f>SUMIFS(OBE!$H:$H,OBE!$C:$C,'Standalone TB'!$B170,OBE!$B:$B,"A20")</f>
        <v>0</v>
      </c>
      <c r="S170" s="652">
        <f>SUMIFS('Elimination - BS'!I:I,'Elimination - BS'!D:D,'Standalone TB'!B170,'Elimination - BS'!A:A,"EA20")</f>
        <v>0</v>
      </c>
      <c r="T170" s="652">
        <f t="shared" si="20"/>
        <v>0</v>
      </c>
      <c r="U170" s="652">
        <f t="shared" si="21"/>
        <v>0</v>
      </c>
      <c r="V170" s="652">
        <v>0</v>
      </c>
      <c r="W170" s="685">
        <v>0</v>
      </c>
      <c r="X170" s="689">
        <f t="shared" si="22"/>
        <v>-311218.88</v>
      </c>
      <c r="Y170" s="689">
        <f t="shared" si="23"/>
        <v>-62243.78</v>
      </c>
      <c r="Z170" s="652" t="s">
        <v>1998</v>
      </c>
      <c r="AA170" s="652" t="s">
        <v>9</v>
      </c>
      <c r="AB170" s="666" t="s">
        <v>1989</v>
      </c>
      <c r="AD170" s="665"/>
    </row>
    <row r="171" spans="2:30" hidden="1" x14ac:dyDescent="0.2">
      <c r="B171" s="673" t="s">
        <v>2031</v>
      </c>
      <c r="C171" s="666" t="s">
        <v>2032</v>
      </c>
      <c r="D171" s="666" t="s">
        <v>3</v>
      </c>
      <c r="E171" s="684">
        <v>-1990235.32</v>
      </c>
      <c r="F171" s="652">
        <f>SUMIFS(OBE!$H:$H,OBE!$C:$C,'Standalone TB'!$B171,OBE!$B:$B,"A21")</f>
        <v>0</v>
      </c>
      <c r="G171" s="652">
        <f>SUMIFS('Elimination - BS'!I:I,'Elimination - BS'!D:D,'Standalone TB'!B171,'Elimination - BS'!A:A,"EA21")</f>
        <v>0</v>
      </c>
      <c r="H171" s="652">
        <f t="shared" si="24"/>
        <v>-1990235.32</v>
      </c>
      <c r="I171" s="652">
        <v>-1062292.69</v>
      </c>
      <c r="J171" s="684">
        <v>-83189.5</v>
      </c>
      <c r="K171" s="652">
        <f>SUMIFS(OBE!$H:$H,OBE!$C:$C,'Standalone TB'!$B171,OBE!$B:$B,"A22")</f>
        <v>0</v>
      </c>
      <c r="L171" s="652">
        <f>SUMIFS('Elimination - BS'!I:I,'Elimination - BS'!D:D,'Standalone TB'!B171,'Elimination - BS'!A:A,"EA22")</f>
        <v>0</v>
      </c>
      <c r="M171" s="652">
        <f t="shared" si="18"/>
        <v>-83189.5</v>
      </c>
      <c r="N171" s="652">
        <f t="shared" si="19"/>
        <v>-1937807.9094269869</v>
      </c>
      <c r="O171" s="652">
        <v>-83189.5</v>
      </c>
      <c r="P171" s="685">
        <v>-1887511.52235</v>
      </c>
      <c r="Q171" s="684">
        <v>0</v>
      </c>
      <c r="R171" s="652">
        <f>SUMIFS(OBE!$H:$H,OBE!$C:$C,'Standalone TB'!$B171,OBE!$B:$B,"A20")</f>
        <v>0</v>
      </c>
      <c r="S171" s="652">
        <f>SUMIFS('Elimination - BS'!I:I,'Elimination - BS'!D:D,'Standalone TB'!B171,'Elimination - BS'!A:A,"EA20")</f>
        <v>0</v>
      </c>
      <c r="T171" s="652">
        <f t="shared" si="20"/>
        <v>0</v>
      </c>
      <c r="U171" s="652">
        <f t="shared" si="21"/>
        <v>0</v>
      </c>
      <c r="V171" s="652">
        <v>0</v>
      </c>
      <c r="W171" s="685">
        <v>0</v>
      </c>
      <c r="X171" s="689">
        <f t="shared" si="22"/>
        <v>-3928043.229426987</v>
      </c>
      <c r="Y171" s="689">
        <f t="shared" si="23"/>
        <v>-2949804.2123499997</v>
      </c>
      <c r="Z171" s="652" t="s">
        <v>1992</v>
      </c>
      <c r="AA171" s="652" t="s">
        <v>9</v>
      </c>
      <c r="AB171" s="666" t="s">
        <v>1989</v>
      </c>
      <c r="AD171" s="665"/>
    </row>
    <row r="172" spans="2:30" hidden="1" x14ac:dyDescent="0.2">
      <c r="B172" s="673" t="s">
        <v>2033</v>
      </c>
      <c r="C172" s="666" t="s">
        <v>2034</v>
      </c>
      <c r="D172" s="666" t="s">
        <v>3</v>
      </c>
      <c r="E172" s="684">
        <v>0</v>
      </c>
      <c r="F172" s="652">
        <f>SUMIFS(OBE!$H:$H,OBE!$C:$C,'Standalone TB'!$B172,OBE!$B:$B,"A21")</f>
        <v>0</v>
      </c>
      <c r="G172" s="652">
        <f>SUMIFS('Elimination - BS'!I:I,'Elimination - BS'!D:D,'Standalone TB'!B172,'Elimination - BS'!A:A,"EA21")</f>
        <v>0</v>
      </c>
      <c r="H172" s="652">
        <f t="shared" si="24"/>
        <v>0</v>
      </c>
      <c r="I172" s="652">
        <v>0</v>
      </c>
      <c r="J172" s="684">
        <v>0</v>
      </c>
      <c r="K172" s="652">
        <f>SUMIFS(OBE!$H:$H,OBE!$C:$C,'Standalone TB'!$B172,OBE!$B:$B,"A22")</f>
        <v>0</v>
      </c>
      <c r="L172" s="652">
        <f>SUMIFS('Elimination - BS'!I:I,'Elimination - BS'!D:D,'Standalone TB'!B172,'Elimination - BS'!A:A,"EA22")</f>
        <v>0</v>
      </c>
      <c r="M172" s="652">
        <f t="shared" si="18"/>
        <v>0</v>
      </c>
      <c r="N172" s="652">
        <f t="shared" si="19"/>
        <v>0</v>
      </c>
      <c r="O172" s="652">
        <v>0</v>
      </c>
      <c r="P172" s="685">
        <v>0</v>
      </c>
      <c r="Q172" s="684">
        <v>0</v>
      </c>
      <c r="R172" s="652">
        <f>SUMIFS(OBE!$H:$H,OBE!$C:$C,'Standalone TB'!$B172,OBE!$B:$B,"A20")</f>
        <v>0</v>
      </c>
      <c r="S172" s="652">
        <f>SUMIFS('Elimination - BS'!I:I,'Elimination - BS'!D:D,'Standalone TB'!B172,'Elimination - BS'!A:A,"EA20")</f>
        <v>0</v>
      </c>
      <c r="T172" s="652">
        <f t="shared" si="20"/>
        <v>0</v>
      </c>
      <c r="U172" s="652">
        <f t="shared" si="21"/>
        <v>0</v>
      </c>
      <c r="V172" s="652">
        <v>0</v>
      </c>
      <c r="W172" s="685">
        <v>0</v>
      </c>
      <c r="X172" s="689">
        <f t="shared" si="22"/>
        <v>0</v>
      </c>
      <c r="Y172" s="689">
        <f t="shared" si="23"/>
        <v>0</v>
      </c>
      <c r="Z172" s="652" t="s">
        <v>1989</v>
      </c>
      <c r="AA172" s="652" t="s">
        <v>9</v>
      </c>
      <c r="AB172" s="666" t="s">
        <v>1989</v>
      </c>
      <c r="AD172" s="665"/>
    </row>
    <row r="173" spans="2:30" hidden="1" x14ac:dyDescent="0.2">
      <c r="B173" s="673" t="s">
        <v>2035</v>
      </c>
      <c r="C173" s="666" t="s">
        <v>2036</v>
      </c>
      <c r="D173" s="666" t="s">
        <v>3</v>
      </c>
      <c r="E173" s="684">
        <v>-10168860.74</v>
      </c>
      <c r="F173" s="652">
        <f>SUMIFS(OBE!$H:$H,OBE!$C:$C,'Standalone TB'!$B173,OBE!$B:$B,"A21")</f>
        <v>0</v>
      </c>
      <c r="G173" s="652">
        <f>SUMIFS('Elimination - BS'!I:I,'Elimination - BS'!D:D,'Standalone TB'!B173,'Elimination - BS'!A:A,"EA21")</f>
        <v>0</v>
      </c>
      <c r="H173" s="652">
        <f t="shared" si="24"/>
        <v>-10168860.74</v>
      </c>
      <c r="I173" s="652">
        <v>-7751264.5599999996</v>
      </c>
      <c r="J173" s="684">
        <v>-30855.5</v>
      </c>
      <c r="K173" s="652">
        <f>SUMIFS(OBE!$H:$H,OBE!$C:$C,'Standalone TB'!$B173,OBE!$B:$B,"A22")</f>
        <v>0</v>
      </c>
      <c r="L173" s="652">
        <f>SUMIFS('Elimination - BS'!I:I,'Elimination - BS'!D:D,'Standalone TB'!B173,'Elimination - BS'!A:A,"EA22")</f>
        <v>0</v>
      </c>
      <c r="M173" s="652">
        <f t="shared" si="18"/>
        <v>-30855.5</v>
      </c>
      <c r="N173" s="652">
        <f t="shared" si="19"/>
        <v>-718744.9371534196</v>
      </c>
      <c r="O173" s="652">
        <v>-30855.5</v>
      </c>
      <c r="P173" s="685">
        <v>-700089.69614999997</v>
      </c>
      <c r="Q173" s="684">
        <v>0</v>
      </c>
      <c r="R173" s="652">
        <f>SUMIFS(OBE!$H:$H,OBE!$C:$C,'Standalone TB'!$B173,OBE!$B:$B,"A20")</f>
        <v>0</v>
      </c>
      <c r="S173" s="652">
        <f>SUMIFS('Elimination - BS'!I:I,'Elimination - BS'!D:D,'Standalone TB'!B173,'Elimination - BS'!A:A,"EA20")</f>
        <v>0</v>
      </c>
      <c r="T173" s="652">
        <f t="shared" si="20"/>
        <v>0</v>
      </c>
      <c r="U173" s="652">
        <f t="shared" si="21"/>
        <v>0</v>
      </c>
      <c r="V173" s="652">
        <v>0</v>
      </c>
      <c r="W173" s="685">
        <v>0</v>
      </c>
      <c r="X173" s="689">
        <f t="shared" si="22"/>
        <v>-10887605.67715342</v>
      </c>
      <c r="Y173" s="689">
        <f t="shared" si="23"/>
        <v>-8451354.2561499998</v>
      </c>
      <c r="Z173" s="652" t="s">
        <v>2009</v>
      </c>
      <c r="AA173" s="652" t="s">
        <v>9</v>
      </c>
      <c r="AB173" s="666" t="s">
        <v>1989</v>
      </c>
      <c r="AD173" s="665"/>
    </row>
    <row r="174" spans="2:30" hidden="1" x14ac:dyDescent="0.2">
      <c r="B174" s="673" t="s">
        <v>2037</v>
      </c>
      <c r="C174" s="666" t="s">
        <v>2038</v>
      </c>
      <c r="D174" s="666" t="s">
        <v>3</v>
      </c>
      <c r="E174" s="684">
        <v>-1900</v>
      </c>
      <c r="F174" s="652">
        <f>SUMIFS(OBE!$H:$H,OBE!$C:$C,'Standalone TB'!$B174,OBE!$B:$B,"A21")</f>
        <v>0</v>
      </c>
      <c r="G174" s="652">
        <f>SUMIFS('Elimination - BS'!I:I,'Elimination - BS'!D:D,'Standalone TB'!B174,'Elimination - BS'!A:A,"EA21")</f>
        <v>0</v>
      </c>
      <c r="H174" s="652">
        <f t="shared" si="24"/>
        <v>-1900</v>
      </c>
      <c r="J174" s="684">
        <v>0</v>
      </c>
      <c r="K174" s="652">
        <f>SUMIFS(OBE!$H:$H,OBE!$C:$C,'Standalone TB'!$B174,OBE!$B:$B,"A22")</f>
        <v>0</v>
      </c>
      <c r="L174" s="652">
        <f>SUMIFS('Elimination - BS'!I:I,'Elimination - BS'!D:D,'Standalone TB'!B174,'Elimination - BS'!A:A,"EA22")</f>
        <v>0</v>
      </c>
      <c r="M174" s="652">
        <f t="shared" si="18"/>
        <v>0</v>
      </c>
      <c r="N174" s="652">
        <f t="shared" si="19"/>
        <v>0</v>
      </c>
      <c r="P174" s="685"/>
      <c r="Q174" s="684">
        <v>0</v>
      </c>
      <c r="R174" s="652">
        <f>SUMIFS(OBE!$H:$H,OBE!$C:$C,'Standalone TB'!$B174,OBE!$B:$B,"A20")</f>
        <v>0</v>
      </c>
      <c r="S174" s="652">
        <f>SUMIFS('Elimination - BS'!I:I,'Elimination - BS'!D:D,'Standalone TB'!B174,'Elimination - BS'!A:A,"EA20")</f>
        <v>0</v>
      </c>
      <c r="T174" s="652">
        <f t="shared" si="20"/>
        <v>0</v>
      </c>
      <c r="U174" s="652">
        <f t="shared" si="21"/>
        <v>0</v>
      </c>
      <c r="W174" s="685"/>
      <c r="X174" s="689">
        <f t="shared" si="22"/>
        <v>-1900</v>
      </c>
      <c r="Y174" s="689">
        <f t="shared" si="23"/>
        <v>0</v>
      </c>
      <c r="Z174" s="652" t="s">
        <v>2012</v>
      </c>
      <c r="AA174" s="652" t="s">
        <v>9</v>
      </c>
      <c r="AB174" s="666" t="s">
        <v>1989</v>
      </c>
      <c r="AD174" s="665"/>
    </row>
    <row r="175" spans="2:30" hidden="1" x14ac:dyDescent="0.2">
      <c r="B175" s="673" t="s">
        <v>2039</v>
      </c>
      <c r="C175" s="666" t="s">
        <v>2040</v>
      </c>
      <c r="D175" s="666" t="s">
        <v>3</v>
      </c>
      <c r="E175" s="684">
        <v>-292662836.88</v>
      </c>
      <c r="F175" s="652">
        <f>SUMIFS(OBE!$H:$H,OBE!$C:$C,'Standalone TB'!$B175,OBE!$B:$B,"A21")</f>
        <v>0</v>
      </c>
      <c r="G175" s="652">
        <f>SUMIFS('Elimination - BS'!I:I,'Elimination - BS'!D:D,'Standalone TB'!B175,'Elimination - BS'!A:A,"EA21")</f>
        <v>0</v>
      </c>
      <c r="H175" s="652">
        <f t="shared" si="24"/>
        <v>-292662836.88</v>
      </c>
      <c r="I175" s="652">
        <v>-292662836.88</v>
      </c>
      <c r="J175" s="684">
        <v>-24468.639999999999</v>
      </c>
      <c r="K175" s="652">
        <f>SUMIFS(OBE!$H:$H,OBE!$C:$C,'Standalone TB'!$B175,OBE!$B:$B,"A22")</f>
        <v>0</v>
      </c>
      <c r="L175" s="652">
        <f>SUMIFS('Elimination - BS'!I:I,'Elimination - BS'!D:D,'Standalone TB'!B175,'Elimination - BS'!A:A,"EA22")</f>
        <v>0</v>
      </c>
      <c r="M175" s="652">
        <f t="shared" si="18"/>
        <v>-24468.639999999999</v>
      </c>
      <c r="N175" s="652">
        <f t="shared" si="19"/>
        <v>-569970.05781885399</v>
      </c>
      <c r="O175" s="652">
        <v>-24468.639999999999</v>
      </c>
      <c r="P175" s="685">
        <v>-555176.31355199998</v>
      </c>
      <c r="Q175" s="684">
        <v>0</v>
      </c>
      <c r="R175" s="652">
        <f>SUMIFS(OBE!$H:$H,OBE!$C:$C,'Standalone TB'!$B175,OBE!$B:$B,"A20")</f>
        <v>0</v>
      </c>
      <c r="S175" s="652">
        <f>SUMIFS('Elimination - BS'!I:I,'Elimination - BS'!D:D,'Standalone TB'!B175,'Elimination - BS'!A:A,"EA20")</f>
        <v>0</v>
      </c>
      <c r="T175" s="652">
        <f t="shared" si="20"/>
        <v>0</v>
      </c>
      <c r="U175" s="652">
        <f t="shared" si="21"/>
        <v>0</v>
      </c>
      <c r="V175" s="652">
        <v>0</v>
      </c>
      <c r="W175" s="685">
        <v>0</v>
      </c>
      <c r="X175" s="689">
        <f t="shared" si="22"/>
        <v>-293232806.93781883</v>
      </c>
      <c r="Y175" s="689">
        <f t="shared" si="23"/>
        <v>-293218013.19355202</v>
      </c>
      <c r="Z175" s="652" t="s">
        <v>2041</v>
      </c>
      <c r="AA175" s="652" t="s">
        <v>9</v>
      </c>
      <c r="AB175" s="666" t="s">
        <v>2042</v>
      </c>
      <c r="AD175" s="665"/>
    </row>
    <row r="176" spans="2:30" hidden="1" x14ac:dyDescent="0.2">
      <c r="B176" s="673" t="s">
        <v>2043</v>
      </c>
      <c r="C176" s="666" t="s">
        <v>2044</v>
      </c>
      <c r="D176" s="666" t="s">
        <v>3</v>
      </c>
      <c r="E176" s="684">
        <v>-12488964.99</v>
      </c>
      <c r="F176" s="652">
        <f>SUMIFS(OBE!$H:$H,OBE!$C:$C,'Standalone TB'!$B176,OBE!$B:$B,"A21")</f>
        <v>0</v>
      </c>
      <c r="G176" s="652">
        <f>SUMIFS('Elimination - BS'!I:I,'Elimination - BS'!D:D,'Standalone TB'!B176,'Elimination - BS'!A:A,"EA21")</f>
        <v>0</v>
      </c>
      <c r="H176" s="652">
        <f t="shared" si="24"/>
        <v>-12488964.99</v>
      </c>
      <c r="I176" s="652">
        <v>-11787406.810000001</v>
      </c>
      <c r="J176" s="684">
        <v>-29158.6</v>
      </c>
      <c r="K176" s="652">
        <f>SUMIFS(OBE!$H:$H,OBE!$C:$C,'Standalone TB'!$B176,OBE!$B:$B,"A22")</f>
        <v>0</v>
      </c>
      <c r="L176" s="652">
        <f>SUMIFS('Elimination - BS'!I:I,'Elimination - BS'!D:D,'Standalone TB'!B176,'Elimination - BS'!A:A,"EA22")</f>
        <v>0</v>
      </c>
      <c r="M176" s="652">
        <f t="shared" si="18"/>
        <v>-29158.6</v>
      </c>
      <c r="N176" s="652">
        <f t="shared" si="19"/>
        <v>-679217.51792975969</v>
      </c>
      <c r="O176" s="652">
        <v>-29158.6</v>
      </c>
      <c r="P176" s="685">
        <v>-661588.22297999996</v>
      </c>
      <c r="Q176" s="684">
        <v>0</v>
      </c>
      <c r="R176" s="652">
        <f>SUMIFS(OBE!$H:$H,OBE!$C:$C,'Standalone TB'!$B176,OBE!$B:$B,"A20")</f>
        <v>0</v>
      </c>
      <c r="S176" s="652">
        <f>SUMIFS('Elimination - BS'!I:I,'Elimination - BS'!D:D,'Standalone TB'!B176,'Elimination - BS'!A:A,"EA20")</f>
        <v>0</v>
      </c>
      <c r="T176" s="652">
        <f t="shared" si="20"/>
        <v>0</v>
      </c>
      <c r="U176" s="652">
        <f t="shared" si="21"/>
        <v>0</v>
      </c>
      <c r="V176" s="652">
        <v>0</v>
      </c>
      <c r="W176" s="685">
        <v>0</v>
      </c>
      <c r="X176" s="689">
        <f t="shared" si="22"/>
        <v>-13168182.507929759</v>
      </c>
      <c r="Y176" s="689">
        <f t="shared" si="23"/>
        <v>-12448995.032980001</v>
      </c>
      <c r="Z176" s="652" t="s">
        <v>2012</v>
      </c>
      <c r="AA176" s="652" t="s">
        <v>9</v>
      </c>
      <c r="AB176" s="666" t="s">
        <v>1989</v>
      </c>
      <c r="AD176" s="665"/>
    </row>
    <row r="177" spans="2:30" hidden="1" x14ac:dyDescent="0.2">
      <c r="B177" s="673" t="s">
        <v>2045</v>
      </c>
      <c r="C177" s="666" t="s">
        <v>2046</v>
      </c>
      <c r="D177" s="666" t="s">
        <v>3</v>
      </c>
      <c r="E177" s="684">
        <v>-216664979.65000001</v>
      </c>
      <c r="F177" s="652">
        <f>SUMIFS(OBE!$H:$H,OBE!$C:$C,'Standalone TB'!$B177,OBE!$B:$B,"A21")</f>
        <v>0</v>
      </c>
      <c r="G177" s="652">
        <f>SUMIFS('Elimination - BS'!I:I,'Elimination - BS'!D:D,'Standalone TB'!B177,'Elimination - BS'!A:A,"EA21")</f>
        <v>0</v>
      </c>
      <c r="H177" s="652">
        <f t="shared" ref="H177:H208" si="25">SUM(E177:G177)</f>
        <v>-216664979.65000001</v>
      </c>
      <c r="I177" s="652">
        <v>-21429472.578125</v>
      </c>
      <c r="J177" s="684">
        <v>0</v>
      </c>
      <c r="K177" s="652">
        <f>SUMIFS(OBE!$H:$H,OBE!$C:$C,'Standalone TB'!$B177,OBE!$B:$B,"A22")</f>
        <v>0</v>
      </c>
      <c r="L177" s="652">
        <f>SUMIFS('Elimination - BS'!I:I,'Elimination - BS'!D:D,'Standalone TB'!B177,'Elimination - BS'!A:A,"EA22")</f>
        <v>0</v>
      </c>
      <c r="M177" s="652">
        <f t="shared" si="18"/>
        <v>0</v>
      </c>
      <c r="N177" s="652">
        <f t="shared" si="19"/>
        <v>0</v>
      </c>
      <c r="O177" s="652">
        <v>0</v>
      </c>
      <c r="P177" s="685">
        <v>0</v>
      </c>
      <c r="Q177" s="684">
        <v>0</v>
      </c>
      <c r="R177" s="652">
        <f>SUMIFS(OBE!$H:$H,OBE!$C:$C,'Standalone TB'!$B177,OBE!$B:$B,"A20")</f>
        <v>0</v>
      </c>
      <c r="S177" s="652">
        <f>SUMIFS('Elimination - BS'!I:I,'Elimination - BS'!D:D,'Standalone TB'!B177,'Elimination - BS'!A:A,"EA20")</f>
        <v>0</v>
      </c>
      <c r="T177" s="652">
        <f t="shared" si="20"/>
        <v>0</v>
      </c>
      <c r="U177" s="652">
        <f t="shared" si="21"/>
        <v>0</v>
      </c>
      <c r="V177" s="652">
        <v>0</v>
      </c>
      <c r="W177" s="685">
        <v>0</v>
      </c>
      <c r="X177" s="689">
        <f t="shared" si="22"/>
        <v>-216664979.65000001</v>
      </c>
      <c r="Y177" s="689">
        <f t="shared" si="23"/>
        <v>-21429472.578125</v>
      </c>
      <c r="Z177" s="652" t="s">
        <v>2047</v>
      </c>
      <c r="AA177" s="652" t="s">
        <v>9</v>
      </c>
      <c r="AB177" s="666" t="s">
        <v>2047</v>
      </c>
      <c r="AD177" s="665"/>
    </row>
    <row r="178" spans="2:30" hidden="1" x14ac:dyDescent="0.2">
      <c r="B178" s="673" t="s">
        <v>1538</v>
      </c>
      <c r="C178" s="666" t="s">
        <v>1553</v>
      </c>
      <c r="D178" s="666" t="s">
        <v>3</v>
      </c>
      <c r="E178" s="684">
        <v>-30259310.760000002</v>
      </c>
      <c r="F178" s="652">
        <f>SUMIFS(OBE!$H:$H,OBE!$C:$C,'Standalone TB'!$B178,OBE!$B:$B,"A21")</f>
        <v>-28087130.908903003</v>
      </c>
      <c r="G178" s="652">
        <f>SUMIFS('Elimination - BS'!I:I,'Elimination - BS'!D:D,'Standalone TB'!B178,'Elimination - BS'!A:A,"EA21")</f>
        <v>0</v>
      </c>
      <c r="H178" s="652">
        <f t="shared" si="25"/>
        <v>-58346441.668903008</v>
      </c>
      <c r="I178" s="652">
        <v>-30259310.632895701</v>
      </c>
      <c r="J178" s="684">
        <v>11517.3</v>
      </c>
      <c r="K178" s="652">
        <f>SUMIFS(OBE!$H:$H,OBE!$C:$C,'Standalone TB'!$B178,OBE!$B:$B,"A22")</f>
        <v>-11517.3</v>
      </c>
      <c r="L178" s="652">
        <f>SUMIFS('Elimination - BS'!I:I,'Elimination - BS'!D:D,'Standalone TB'!B178,'Elimination - BS'!A:A,"EA22")</f>
        <v>0</v>
      </c>
      <c r="M178" s="652">
        <f t="shared" si="18"/>
        <v>0</v>
      </c>
      <c r="N178" s="652">
        <f t="shared" si="19"/>
        <v>0</v>
      </c>
      <c r="O178" s="652">
        <v>0</v>
      </c>
      <c r="P178" s="685">
        <v>0</v>
      </c>
      <c r="Q178" s="684">
        <v>-118586.1</v>
      </c>
      <c r="R178" s="652">
        <f>SUMIFS(OBE!$H:$H,OBE!$C:$C,'Standalone TB'!$B178,OBE!$B:$B,"A20")</f>
        <v>46144.100000000006</v>
      </c>
      <c r="S178" s="652">
        <f>SUMIFS('Elimination - BS'!I:I,'Elimination - BS'!D:D,'Standalone TB'!B178,'Elimination - BS'!A:A,"EA20")</f>
        <v>0</v>
      </c>
      <c r="T178" s="652">
        <f t="shared" si="20"/>
        <v>-72442</v>
      </c>
      <c r="U178" s="652">
        <f t="shared" si="21"/>
        <v>-6198410.6839186698</v>
      </c>
      <c r="V178" s="652">
        <v>0</v>
      </c>
      <c r="W178" s="685">
        <v>0</v>
      </c>
      <c r="X178" s="689">
        <f t="shared" si="22"/>
        <v>-64544852.352821678</v>
      </c>
      <c r="Y178" s="689">
        <f t="shared" si="23"/>
        <v>-30259310.632895701</v>
      </c>
      <c r="Z178" s="652" t="s">
        <v>1908</v>
      </c>
      <c r="AA178" s="652" t="s">
        <v>9</v>
      </c>
      <c r="AB178" s="666" t="s">
        <v>1909</v>
      </c>
      <c r="AD178" s="665" t="s">
        <v>1913</v>
      </c>
    </row>
    <row r="179" spans="2:30" hidden="1" x14ac:dyDescent="0.2">
      <c r="B179" s="673" t="s">
        <v>2048</v>
      </c>
      <c r="C179" s="666" t="s">
        <v>2049</v>
      </c>
      <c r="D179" s="666" t="s">
        <v>3</v>
      </c>
      <c r="E179" s="684">
        <v>0</v>
      </c>
      <c r="F179" s="652">
        <f>SUMIFS(OBE!$H:$H,OBE!$C:$C,'Standalone TB'!$B179,OBE!$B:$B,"A21")</f>
        <v>0</v>
      </c>
      <c r="G179" s="652">
        <f>SUMIFS('Elimination - BS'!I:I,'Elimination - BS'!D:D,'Standalone TB'!B179,'Elimination - BS'!A:A,"EA21")</f>
        <v>0</v>
      </c>
      <c r="H179" s="652">
        <f t="shared" si="25"/>
        <v>0</v>
      </c>
      <c r="I179" s="652">
        <v>0</v>
      </c>
      <c r="J179" s="684">
        <v>0</v>
      </c>
      <c r="K179" s="652">
        <f>SUMIFS(OBE!$H:$H,OBE!$C:$C,'Standalone TB'!$B179,OBE!$B:$B,"A22")</f>
        <v>0</v>
      </c>
      <c r="L179" s="652">
        <f>SUMIFS('Elimination - BS'!I:I,'Elimination - BS'!D:D,'Standalone TB'!B179,'Elimination - BS'!A:A,"EA22")</f>
        <v>0</v>
      </c>
      <c r="M179" s="652">
        <f t="shared" si="18"/>
        <v>0</v>
      </c>
      <c r="N179" s="652">
        <f t="shared" si="19"/>
        <v>0</v>
      </c>
      <c r="O179" s="652">
        <v>0</v>
      </c>
      <c r="P179" s="685">
        <v>0</v>
      </c>
      <c r="Q179" s="684">
        <v>0</v>
      </c>
      <c r="R179" s="652">
        <f>SUMIFS(OBE!$H:$H,OBE!$C:$C,'Standalone TB'!$B179,OBE!$B:$B,"A20")</f>
        <v>0</v>
      </c>
      <c r="S179" s="652">
        <f>SUMIFS('Elimination - BS'!I:I,'Elimination - BS'!D:D,'Standalone TB'!B179,'Elimination - BS'!A:A,"EA20")</f>
        <v>0</v>
      </c>
      <c r="T179" s="652">
        <f t="shared" si="20"/>
        <v>0</v>
      </c>
      <c r="U179" s="652">
        <f t="shared" si="21"/>
        <v>0</v>
      </c>
      <c r="V179" s="652">
        <v>0</v>
      </c>
      <c r="W179" s="685">
        <v>0</v>
      </c>
      <c r="X179" s="689">
        <f t="shared" si="22"/>
        <v>0</v>
      </c>
      <c r="Y179" s="689">
        <f t="shared" si="23"/>
        <v>0</v>
      </c>
      <c r="Z179" s="652" t="s">
        <v>1989</v>
      </c>
      <c r="AA179" s="652" t="s">
        <v>9</v>
      </c>
      <c r="AB179" s="666" t="s">
        <v>1989</v>
      </c>
      <c r="AD179" s="665"/>
    </row>
    <row r="180" spans="2:30" hidden="1" x14ac:dyDescent="0.2">
      <c r="B180" s="673" t="s">
        <v>2050</v>
      </c>
      <c r="C180" s="666" t="s">
        <v>2051</v>
      </c>
      <c r="D180" s="666" t="s">
        <v>3</v>
      </c>
      <c r="E180" s="684">
        <v>-3648421073</v>
      </c>
      <c r="F180" s="652">
        <f>SUMIFS(OBE!$H:$H,OBE!$C:$C,'Standalone TB'!$B180,OBE!$B:$B,"A21")</f>
        <v>0</v>
      </c>
      <c r="G180" s="652">
        <f>SUMIFS('Elimination - BS'!I:I,'Elimination - BS'!D:D,'Standalone TB'!B180,'Elimination - BS'!A:A,"EA21")</f>
        <v>0</v>
      </c>
      <c r="H180" s="652">
        <f t="shared" si="25"/>
        <v>-3648421073</v>
      </c>
      <c r="I180" s="652">
        <v>-3648421073</v>
      </c>
      <c r="J180" s="684">
        <v>0</v>
      </c>
      <c r="K180" s="652">
        <f>SUMIFS(OBE!$H:$H,OBE!$C:$C,'Standalone TB'!$B180,OBE!$B:$B,"A22")</f>
        <v>0</v>
      </c>
      <c r="L180" s="652">
        <f>SUMIFS('Elimination - BS'!I:I,'Elimination - BS'!D:D,'Standalone TB'!B180,'Elimination - BS'!A:A,"EA22")</f>
        <v>0</v>
      </c>
      <c r="M180" s="652">
        <f t="shared" si="18"/>
        <v>0</v>
      </c>
      <c r="N180" s="652">
        <f t="shared" si="19"/>
        <v>0</v>
      </c>
      <c r="O180" s="652">
        <v>0</v>
      </c>
      <c r="P180" s="685">
        <v>0</v>
      </c>
      <c r="Q180" s="684">
        <v>0</v>
      </c>
      <c r="R180" s="652">
        <f>SUMIFS(OBE!$H:$H,OBE!$C:$C,'Standalone TB'!$B180,OBE!$B:$B,"A20")</f>
        <v>0</v>
      </c>
      <c r="S180" s="652">
        <f>SUMIFS('Elimination - BS'!I:I,'Elimination - BS'!D:D,'Standalone TB'!B180,'Elimination - BS'!A:A,"EA20")</f>
        <v>0</v>
      </c>
      <c r="T180" s="652">
        <f t="shared" si="20"/>
        <v>0</v>
      </c>
      <c r="U180" s="652">
        <f t="shared" si="21"/>
        <v>0</v>
      </c>
      <c r="V180" s="652">
        <v>0</v>
      </c>
      <c r="W180" s="685">
        <v>0</v>
      </c>
      <c r="X180" s="689">
        <f t="shared" si="22"/>
        <v>-3648421073</v>
      </c>
      <c r="Y180" s="689">
        <f t="shared" si="23"/>
        <v>-3648421073</v>
      </c>
      <c r="Z180" s="652" t="s">
        <v>494</v>
      </c>
      <c r="AA180" s="652" t="s">
        <v>9</v>
      </c>
      <c r="AB180" s="666" t="s">
        <v>2042</v>
      </c>
      <c r="AD180" s="665"/>
    </row>
    <row r="181" spans="2:30" hidden="1" x14ac:dyDescent="0.2">
      <c r="B181" s="673" t="s">
        <v>2052</v>
      </c>
      <c r="C181" s="666" t="s">
        <v>2053</v>
      </c>
      <c r="D181" s="666" t="s">
        <v>3</v>
      </c>
      <c r="E181" s="684">
        <v>0</v>
      </c>
      <c r="F181" s="652">
        <f>SUMIFS(OBE!$H:$H,OBE!$C:$C,'Standalone TB'!$B181,OBE!$B:$B,"A21")</f>
        <v>0</v>
      </c>
      <c r="G181" s="652">
        <f>SUMIFS('Elimination - BS'!I:I,'Elimination - BS'!D:D,'Standalone TB'!B181,'Elimination - BS'!A:A,"EA21")</f>
        <v>0</v>
      </c>
      <c r="H181" s="652">
        <f t="shared" si="25"/>
        <v>0</v>
      </c>
      <c r="I181" s="652">
        <v>0</v>
      </c>
      <c r="J181" s="684">
        <v>0</v>
      </c>
      <c r="K181" s="652">
        <f>SUMIFS(OBE!$H:$H,OBE!$C:$C,'Standalone TB'!$B181,OBE!$B:$B,"A22")</f>
        <v>0</v>
      </c>
      <c r="L181" s="652">
        <f>SUMIFS('Elimination - BS'!I:I,'Elimination - BS'!D:D,'Standalone TB'!B181,'Elimination - BS'!A:A,"EA22")</f>
        <v>0</v>
      </c>
      <c r="M181" s="652">
        <f t="shared" si="18"/>
        <v>0</v>
      </c>
      <c r="N181" s="652">
        <f t="shared" si="19"/>
        <v>0</v>
      </c>
      <c r="O181" s="652">
        <v>0</v>
      </c>
      <c r="P181" s="685">
        <v>0</v>
      </c>
      <c r="Q181" s="684">
        <v>0</v>
      </c>
      <c r="R181" s="652">
        <f>SUMIFS(OBE!$H:$H,OBE!$C:$C,'Standalone TB'!$B181,OBE!$B:$B,"A20")</f>
        <v>0</v>
      </c>
      <c r="S181" s="652">
        <f>SUMIFS('Elimination - BS'!I:I,'Elimination - BS'!D:D,'Standalone TB'!B181,'Elimination - BS'!A:A,"EA20")</f>
        <v>0</v>
      </c>
      <c r="T181" s="652">
        <f t="shared" si="20"/>
        <v>0</v>
      </c>
      <c r="U181" s="652">
        <f t="shared" si="21"/>
        <v>0</v>
      </c>
      <c r="V181" s="652">
        <v>0</v>
      </c>
      <c r="W181" s="685">
        <v>0</v>
      </c>
      <c r="X181" s="689">
        <f t="shared" si="22"/>
        <v>0</v>
      </c>
      <c r="Y181" s="689">
        <f t="shared" si="23"/>
        <v>0</v>
      </c>
      <c r="Z181" s="652" t="s">
        <v>1989</v>
      </c>
      <c r="AA181" s="652" t="s">
        <v>9</v>
      </c>
      <c r="AB181" s="666" t="s">
        <v>1989</v>
      </c>
      <c r="AD181" s="665"/>
    </row>
    <row r="182" spans="2:30" hidden="1" x14ac:dyDescent="0.2">
      <c r="B182" s="673" t="s">
        <v>2054</v>
      </c>
      <c r="C182" s="666" t="s">
        <v>2055</v>
      </c>
      <c r="D182" s="666" t="s">
        <v>3</v>
      </c>
      <c r="E182" s="684">
        <v>292662836.88</v>
      </c>
      <c r="F182" s="652">
        <f>SUMIFS(OBE!$H:$H,OBE!$C:$C,'Standalone TB'!$B182,OBE!$B:$B,"A21")</f>
        <v>0</v>
      </c>
      <c r="G182" s="652">
        <f>SUMIFS('Elimination - BS'!I:I,'Elimination - BS'!D:D,'Standalone TB'!B182,'Elimination - BS'!A:A,"EA21")</f>
        <v>0</v>
      </c>
      <c r="H182" s="652">
        <f t="shared" si="25"/>
        <v>292662836.88</v>
      </c>
      <c r="I182" s="652">
        <v>292662836.88</v>
      </c>
      <c r="J182" s="684">
        <v>24468.639999999999</v>
      </c>
      <c r="K182" s="652">
        <f>SUMIFS(OBE!$H:$H,OBE!$C:$C,'Standalone TB'!$B182,OBE!$B:$B,"A22")</f>
        <v>0</v>
      </c>
      <c r="L182" s="652">
        <f>SUMIFS('Elimination - BS'!I:I,'Elimination - BS'!D:D,'Standalone TB'!B182,'Elimination - BS'!A:A,"EA22")</f>
        <v>0</v>
      </c>
      <c r="M182" s="652">
        <f t="shared" si="18"/>
        <v>24468.639999999999</v>
      </c>
      <c r="N182" s="652">
        <f t="shared" si="19"/>
        <v>569970.05781885399</v>
      </c>
      <c r="O182" s="652">
        <v>24468.639999999999</v>
      </c>
      <c r="P182" s="685">
        <v>555176.31355199998</v>
      </c>
      <c r="Q182" s="684">
        <v>0</v>
      </c>
      <c r="R182" s="652">
        <f>SUMIFS(OBE!$H:$H,OBE!$C:$C,'Standalone TB'!$B182,OBE!$B:$B,"A20")</f>
        <v>0</v>
      </c>
      <c r="S182" s="652">
        <f>SUMIFS('Elimination - BS'!I:I,'Elimination - BS'!D:D,'Standalone TB'!B182,'Elimination - BS'!A:A,"EA20")</f>
        <v>0</v>
      </c>
      <c r="T182" s="652">
        <f t="shared" si="20"/>
        <v>0</v>
      </c>
      <c r="U182" s="652">
        <f t="shared" si="21"/>
        <v>0</v>
      </c>
      <c r="V182" s="652">
        <v>0</v>
      </c>
      <c r="W182" s="685">
        <v>0</v>
      </c>
      <c r="X182" s="689">
        <f t="shared" si="22"/>
        <v>293232806.93781883</v>
      </c>
      <c r="Y182" s="689">
        <f t="shared" si="23"/>
        <v>293218013.19355202</v>
      </c>
      <c r="Z182" s="652" t="s">
        <v>2041</v>
      </c>
      <c r="AA182" s="652" t="s">
        <v>9</v>
      </c>
      <c r="AB182" s="666" t="s">
        <v>2042</v>
      </c>
      <c r="AD182" s="665"/>
    </row>
    <row r="183" spans="2:30" hidden="1" x14ac:dyDescent="0.2">
      <c r="B183" s="673" t="s">
        <v>2056</v>
      </c>
      <c r="C183" s="666" t="s">
        <v>2057</v>
      </c>
      <c r="D183" s="666" t="s">
        <v>3</v>
      </c>
      <c r="E183" s="684">
        <v>3648421073</v>
      </c>
      <c r="F183" s="652">
        <f>SUMIFS(OBE!$H:$H,OBE!$C:$C,'Standalone TB'!$B183,OBE!$B:$B,"A21")</f>
        <v>0</v>
      </c>
      <c r="G183" s="652">
        <f>SUMIFS('Elimination - BS'!I:I,'Elimination - BS'!D:D,'Standalone TB'!B183,'Elimination - BS'!A:A,"EA21")</f>
        <v>0</v>
      </c>
      <c r="H183" s="652">
        <f t="shared" si="25"/>
        <v>3648421073</v>
      </c>
      <c r="I183" s="652">
        <v>3648421073</v>
      </c>
      <c r="J183" s="684">
        <v>0</v>
      </c>
      <c r="K183" s="652">
        <f>SUMIFS(OBE!$H:$H,OBE!$C:$C,'Standalone TB'!$B183,OBE!$B:$B,"A22")</f>
        <v>0</v>
      </c>
      <c r="L183" s="652">
        <f>SUMIFS('Elimination - BS'!I:I,'Elimination - BS'!D:D,'Standalone TB'!B183,'Elimination - BS'!A:A,"EA22")</f>
        <v>0</v>
      </c>
      <c r="M183" s="652">
        <f t="shared" si="18"/>
        <v>0</v>
      </c>
      <c r="N183" s="652">
        <f t="shared" si="19"/>
        <v>0</v>
      </c>
      <c r="O183" s="652">
        <v>0</v>
      </c>
      <c r="P183" s="685">
        <v>0</v>
      </c>
      <c r="Q183" s="684">
        <v>0</v>
      </c>
      <c r="R183" s="652">
        <f>SUMIFS(OBE!$H:$H,OBE!$C:$C,'Standalone TB'!$B183,OBE!$B:$B,"A20")</f>
        <v>0</v>
      </c>
      <c r="S183" s="652">
        <f>SUMIFS('Elimination - BS'!I:I,'Elimination - BS'!D:D,'Standalone TB'!B183,'Elimination - BS'!A:A,"EA20")</f>
        <v>0</v>
      </c>
      <c r="T183" s="652">
        <f t="shared" si="20"/>
        <v>0</v>
      </c>
      <c r="U183" s="652">
        <f t="shared" si="21"/>
        <v>0</v>
      </c>
      <c r="V183" s="652">
        <v>0</v>
      </c>
      <c r="W183" s="685">
        <v>0</v>
      </c>
      <c r="X183" s="689">
        <f t="shared" si="22"/>
        <v>3648421073</v>
      </c>
      <c r="Y183" s="689">
        <f t="shared" si="23"/>
        <v>3648421073</v>
      </c>
      <c r="Z183" s="652" t="s">
        <v>494</v>
      </c>
      <c r="AA183" s="652" t="s">
        <v>9</v>
      </c>
      <c r="AB183" s="666" t="s">
        <v>2042</v>
      </c>
      <c r="AD183" s="665"/>
    </row>
    <row r="184" spans="2:30" hidden="1" x14ac:dyDescent="0.2">
      <c r="B184" s="673" t="s">
        <v>2058</v>
      </c>
      <c r="C184" s="666" t="s">
        <v>2059</v>
      </c>
      <c r="D184" s="666" t="s">
        <v>3</v>
      </c>
      <c r="E184" s="684">
        <v>0</v>
      </c>
      <c r="F184" s="652">
        <f>SUMIFS(OBE!$H:$H,OBE!$C:$C,'Standalone TB'!$B184,OBE!$B:$B,"A21")</f>
        <v>0</v>
      </c>
      <c r="G184" s="652">
        <f>SUMIFS('Elimination - BS'!I:I,'Elimination - BS'!D:D,'Standalone TB'!B184,'Elimination - BS'!A:A,"EA21")</f>
        <v>0</v>
      </c>
      <c r="H184" s="652">
        <f t="shared" si="25"/>
        <v>0</v>
      </c>
      <c r="I184" s="652">
        <v>0</v>
      </c>
      <c r="J184" s="684">
        <v>0</v>
      </c>
      <c r="K184" s="652">
        <f>SUMIFS(OBE!$H:$H,OBE!$C:$C,'Standalone TB'!$B184,OBE!$B:$B,"A22")</f>
        <v>0</v>
      </c>
      <c r="L184" s="652">
        <f>SUMIFS('Elimination - BS'!I:I,'Elimination - BS'!D:D,'Standalone TB'!B184,'Elimination - BS'!A:A,"EA22")</f>
        <v>0</v>
      </c>
      <c r="M184" s="652">
        <f t="shared" si="18"/>
        <v>0</v>
      </c>
      <c r="N184" s="652">
        <f t="shared" si="19"/>
        <v>0</v>
      </c>
      <c r="O184" s="652">
        <v>0</v>
      </c>
      <c r="P184" s="685">
        <v>0</v>
      </c>
      <c r="Q184" s="684">
        <v>0</v>
      </c>
      <c r="R184" s="652">
        <f>SUMIFS(OBE!$H:$H,OBE!$C:$C,'Standalone TB'!$B184,OBE!$B:$B,"A20")</f>
        <v>0</v>
      </c>
      <c r="S184" s="652">
        <f>SUMIFS('Elimination - BS'!I:I,'Elimination - BS'!D:D,'Standalone TB'!B184,'Elimination - BS'!A:A,"EA20")</f>
        <v>0</v>
      </c>
      <c r="T184" s="652">
        <f t="shared" si="20"/>
        <v>0</v>
      </c>
      <c r="U184" s="652">
        <f t="shared" si="21"/>
        <v>0</v>
      </c>
      <c r="V184" s="652">
        <v>0</v>
      </c>
      <c r="W184" s="685">
        <v>0</v>
      </c>
      <c r="X184" s="689">
        <f t="shared" si="22"/>
        <v>0</v>
      </c>
      <c r="Y184" s="689">
        <f t="shared" si="23"/>
        <v>0</v>
      </c>
      <c r="Z184" s="652" t="s">
        <v>1989</v>
      </c>
      <c r="AA184" s="652" t="s">
        <v>9</v>
      </c>
      <c r="AB184" s="666" t="s">
        <v>1989</v>
      </c>
      <c r="AD184" s="665"/>
    </row>
    <row r="185" spans="2:30" hidden="1" x14ac:dyDescent="0.2">
      <c r="B185" s="673" t="s">
        <v>2060</v>
      </c>
      <c r="C185" s="666" t="s">
        <v>2061</v>
      </c>
      <c r="D185" s="666" t="s">
        <v>3</v>
      </c>
      <c r="E185" s="684">
        <v>608022217.98000002</v>
      </c>
      <c r="F185" s="652">
        <f>SUMIFS(OBE!$H:$H,OBE!$C:$C,'Standalone TB'!$B185,OBE!$B:$B,"A21")</f>
        <v>0</v>
      </c>
      <c r="G185" s="652">
        <f>SUMIFS('Elimination - BS'!I:I,'Elimination - BS'!D:D,'Standalone TB'!B185,'Elimination - BS'!A:A,"EA21")</f>
        <v>0</v>
      </c>
      <c r="H185" s="652">
        <f t="shared" si="25"/>
        <v>608022217.98000002</v>
      </c>
      <c r="I185" s="652">
        <v>342871561.19</v>
      </c>
      <c r="J185" s="684">
        <v>0</v>
      </c>
      <c r="K185" s="652">
        <f>SUMIFS(OBE!$H:$H,OBE!$C:$C,'Standalone TB'!$B185,OBE!$B:$B,"A22")</f>
        <v>0</v>
      </c>
      <c r="L185" s="652">
        <f>SUMIFS('Elimination - BS'!I:I,'Elimination - BS'!D:D,'Standalone TB'!B185,'Elimination - BS'!A:A,"EA22")</f>
        <v>0</v>
      </c>
      <c r="M185" s="652">
        <f t="shared" si="18"/>
        <v>0</v>
      </c>
      <c r="N185" s="652">
        <f t="shared" si="19"/>
        <v>0</v>
      </c>
      <c r="O185" s="652">
        <v>0</v>
      </c>
      <c r="P185" s="685">
        <v>0</v>
      </c>
      <c r="Q185" s="684">
        <v>0</v>
      </c>
      <c r="R185" s="652">
        <f>SUMIFS(OBE!$H:$H,OBE!$C:$C,'Standalone TB'!$B185,OBE!$B:$B,"A20")</f>
        <v>0</v>
      </c>
      <c r="S185" s="652">
        <f>SUMIFS('Elimination - BS'!I:I,'Elimination - BS'!D:D,'Standalone TB'!B185,'Elimination - BS'!A:A,"EA20")</f>
        <v>0</v>
      </c>
      <c r="T185" s="652">
        <f t="shared" si="20"/>
        <v>0</v>
      </c>
      <c r="U185" s="652">
        <f t="shared" si="21"/>
        <v>0</v>
      </c>
      <c r="V185" s="652">
        <v>0</v>
      </c>
      <c r="W185" s="685">
        <v>0</v>
      </c>
      <c r="X185" s="689">
        <f t="shared" si="22"/>
        <v>608022217.98000002</v>
      </c>
      <c r="Y185" s="689">
        <f t="shared" si="23"/>
        <v>342871561.19</v>
      </c>
      <c r="Z185" s="652" t="s">
        <v>2047</v>
      </c>
      <c r="AA185" s="652" t="s">
        <v>9</v>
      </c>
      <c r="AB185" s="666" t="s">
        <v>2047</v>
      </c>
      <c r="AD185" s="665"/>
    </row>
    <row r="186" spans="2:30" hidden="1" x14ac:dyDescent="0.2">
      <c r="B186" s="673" t="s">
        <v>2062</v>
      </c>
      <c r="C186" s="666" t="s">
        <v>2063</v>
      </c>
      <c r="D186" s="666" t="s">
        <v>3</v>
      </c>
      <c r="E186" s="684">
        <v>0</v>
      </c>
      <c r="F186" s="652">
        <f>SUMIFS(OBE!$H:$H,OBE!$C:$C,'Standalone TB'!$B186,OBE!$B:$B,"A21")</f>
        <v>0</v>
      </c>
      <c r="G186" s="652">
        <f>SUMIFS('Elimination - BS'!I:I,'Elimination - BS'!D:D,'Standalone TB'!B186,'Elimination - BS'!A:A,"EA21")</f>
        <v>0</v>
      </c>
      <c r="H186" s="652">
        <f t="shared" si="25"/>
        <v>0</v>
      </c>
      <c r="I186" s="652">
        <v>58877497</v>
      </c>
      <c r="J186" s="684">
        <v>0</v>
      </c>
      <c r="K186" s="652">
        <f>SUMIFS(OBE!$H:$H,OBE!$C:$C,'Standalone TB'!$B186,OBE!$B:$B,"A22")</f>
        <v>0</v>
      </c>
      <c r="L186" s="652">
        <f>SUMIFS('Elimination - BS'!I:I,'Elimination - BS'!D:D,'Standalone TB'!B186,'Elimination - BS'!A:A,"EA22")</f>
        <v>0</v>
      </c>
      <c r="M186" s="652">
        <f t="shared" si="18"/>
        <v>0</v>
      </c>
      <c r="N186" s="652">
        <f t="shared" si="19"/>
        <v>0</v>
      </c>
      <c r="O186" s="652">
        <v>0</v>
      </c>
      <c r="P186" s="685">
        <v>0</v>
      </c>
      <c r="Q186" s="684">
        <v>0</v>
      </c>
      <c r="R186" s="652">
        <f>SUMIFS(OBE!$H:$H,OBE!$C:$C,'Standalone TB'!$B186,OBE!$B:$B,"A20")</f>
        <v>0</v>
      </c>
      <c r="S186" s="652">
        <f>SUMIFS('Elimination - BS'!I:I,'Elimination - BS'!D:D,'Standalone TB'!B186,'Elimination - BS'!A:A,"EA20")</f>
        <v>0</v>
      </c>
      <c r="T186" s="652">
        <f t="shared" si="20"/>
        <v>0</v>
      </c>
      <c r="U186" s="652">
        <f t="shared" si="21"/>
        <v>0</v>
      </c>
      <c r="V186" s="652">
        <v>0</v>
      </c>
      <c r="W186" s="685">
        <v>0</v>
      </c>
      <c r="X186" s="689">
        <f t="shared" si="22"/>
        <v>0</v>
      </c>
      <c r="Y186" s="689">
        <f t="shared" si="23"/>
        <v>58877497</v>
      </c>
      <c r="Z186" s="652" t="s">
        <v>2064</v>
      </c>
      <c r="AA186" s="652" t="s">
        <v>9</v>
      </c>
      <c r="AB186" s="666" t="s">
        <v>14</v>
      </c>
      <c r="AD186" s="665"/>
    </row>
    <row r="187" spans="2:30" hidden="1" x14ac:dyDescent="0.2">
      <c r="B187" s="673" t="s">
        <v>2065</v>
      </c>
      <c r="C187" s="666" t="s">
        <v>2066</v>
      </c>
      <c r="D187" s="666" t="s">
        <v>3</v>
      </c>
      <c r="E187" s="684">
        <v>0</v>
      </c>
      <c r="F187" s="652">
        <f>SUMIFS(OBE!$H:$H,OBE!$C:$C,'Standalone TB'!$B187,OBE!$B:$B,"A21")</f>
        <v>0</v>
      </c>
      <c r="G187" s="652">
        <f>SUMIFS('Elimination - BS'!I:I,'Elimination - BS'!D:D,'Standalone TB'!B187,'Elimination - BS'!A:A,"EA21")</f>
        <v>0</v>
      </c>
      <c r="H187" s="652">
        <f t="shared" si="25"/>
        <v>0</v>
      </c>
      <c r="I187" s="652">
        <v>0</v>
      </c>
      <c r="J187" s="684">
        <v>0</v>
      </c>
      <c r="K187" s="652">
        <f>SUMIFS(OBE!$H:$H,OBE!$C:$C,'Standalone TB'!$B187,OBE!$B:$B,"A22")</f>
        <v>0</v>
      </c>
      <c r="L187" s="652">
        <f>SUMIFS('Elimination - BS'!I:I,'Elimination - BS'!D:D,'Standalone TB'!B187,'Elimination - BS'!A:A,"EA22")</f>
        <v>0</v>
      </c>
      <c r="M187" s="652">
        <f t="shared" si="18"/>
        <v>0</v>
      </c>
      <c r="N187" s="652">
        <f t="shared" si="19"/>
        <v>0</v>
      </c>
      <c r="O187" s="652">
        <v>0</v>
      </c>
      <c r="P187" s="685">
        <v>0</v>
      </c>
      <c r="Q187" s="684">
        <v>0</v>
      </c>
      <c r="R187" s="652">
        <f>SUMIFS(OBE!$H:$H,OBE!$C:$C,'Standalone TB'!$B187,OBE!$B:$B,"A20")</f>
        <v>0</v>
      </c>
      <c r="S187" s="652">
        <f>SUMIFS('Elimination - BS'!I:I,'Elimination - BS'!D:D,'Standalone TB'!B187,'Elimination - BS'!A:A,"EA20")</f>
        <v>0</v>
      </c>
      <c r="T187" s="652">
        <f t="shared" si="20"/>
        <v>0</v>
      </c>
      <c r="U187" s="652">
        <f t="shared" si="21"/>
        <v>0</v>
      </c>
      <c r="V187" s="652">
        <v>0</v>
      </c>
      <c r="W187" s="685">
        <v>0</v>
      </c>
      <c r="X187" s="689">
        <f t="shared" si="22"/>
        <v>0</v>
      </c>
      <c r="Y187" s="689">
        <f t="shared" si="23"/>
        <v>0</v>
      </c>
      <c r="Z187" s="652" t="s">
        <v>2067</v>
      </c>
      <c r="AA187" s="652"/>
      <c r="AB187" s="666" t="s">
        <v>2068</v>
      </c>
      <c r="AD187" s="665"/>
    </row>
    <row r="188" spans="2:30" hidden="1" x14ac:dyDescent="0.2">
      <c r="B188" s="673" t="s">
        <v>2069</v>
      </c>
      <c r="C188" s="666" t="s">
        <v>2070</v>
      </c>
      <c r="D188" s="666" t="s">
        <v>3</v>
      </c>
      <c r="E188" s="684">
        <v>0</v>
      </c>
      <c r="F188" s="652">
        <f>SUMIFS(OBE!$H:$H,OBE!$C:$C,'Standalone TB'!$B188,OBE!$B:$B,"A21")</f>
        <v>0</v>
      </c>
      <c r="G188" s="652">
        <f>SUMIFS('Elimination - BS'!I:I,'Elimination - BS'!D:D,'Standalone TB'!B188,'Elimination - BS'!A:A,"EA21")</f>
        <v>0</v>
      </c>
      <c r="H188" s="652">
        <f t="shared" si="25"/>
        <v>0</v>
      </c>
      <c r="I188" s="652">
        <v>0</v>
      </c>
      <c r="J188" s="684">
        <v>0</v>
      </c>
      <c r="K188" s="652">
        <f>SUMIFS(OBE!$H:$H,OBE!$C:$C,'Standalone TB'!$B188,OBE!$B:$B,"A22")</f>
        <v>0</v>
      </c>
      <c r="L188" s="652">
        <f>SUMIFS('Elimination - BS'!I:I,'Elimination - BS'!D:D,'Standalone TB'!B188,'Elimination - BS'!A:A,"EA22")</f>
        <v>0</v>
      </c>
      <c r="M188" s="652">
        <f t="shared" si="18"/>
        <v>0</v>
      </c>
      <c r="N188" s="652">
        <f t="shared" si="19"/>
        <v>0</v>
      </c>
      <c r="O188" s="652">
        <v>0</v>
      </c>
      <c r="P188" s="685">
        <v>0</v>
      </c>
      <c r="Q188" s="684">
        <v>0</v>
      </c>
      <c r="R188" s="652">
        <f>SUMIFS(OBE!$H:$H,OBE!$C:$C,'Standalone TB'!$B188,OBE!$B:$B,"A20")</f>
        <v>0</v>
      </c>
      <c r="S188" s="652">
        <f>SUMIFS('Elimination - BS'!I:I,'Elimination - BS'!D:D,'Standalone TB'!B188,'Elimination - BS'!A:A,"EA20")</f>
        <v>0</v>
      </c>
      <c r="T188" s="652">
        <f t="shared" si="20"/>
        <v>0</v>
      </c>
      <c r="U188" s="652">
        <f t="shared" si="21"/>
        <v>0</v>
      </c>
      <c r="V188" s="652">
        <v>0</v>
      </c>
      <c r="W188" s="685">
        <v>0</v>
      </c>
      <c r="X188" s="689">
        <f t="shared" si="22"/>
        <v>0</v>
      </c>
      <c r="Y188" s="689">
        <f t="shared" si="23"/>
        <v>0</v>
      </c>
      <c r="Z188" s="652" t="s">
        <v>2067</v>
      </c>
      <c r="AA188" s="652"/>
      <c r="AB188" s="666" t="s">
        <v>2068</v>
      </c>
      <c r="AD188" s="665"/>
    </row>
    <row r="189" spans="2:30" hidden="1" x14ac:dyDescent="0.2">
      <c r="B189" s="673" t="s">
        <v>2071</v>
      </c>
      <c r="C189" s="666" t="s">
        <v>2072</v>
      </c>
      <c r="D189" s="666" t="s">
        <v>3</v>
      </c>
      <c r="E189" s="684">
        <v>0</v>
      </c>
      <c r="F189" s="652">
        <f>SUMIFS(OBE!$H:$H,OBE!$C:$C,'Standalone TB'!$B189,OBE!$B:$B,"A21")</f>
        <v>0</v>
      </c>
      <c r="G189" s="652">
        <f>SUMIFS('Elimination - BS'!I:I,'Elimination - BS'!D:D,'Standalone TB'!B189,'Elimination - BS'!A:A,"EA21")</f>
        <v>0</v>
      </c>
      <c r="H189" s="652">
        <f t="shared" si="25"/>
        <v>0</v>
      </c>
      <c r="I189" s="652">
        <v>0</v>
      </c>
      <c r="J189" s="684">
        <v>0</v>
      </c>
      <c r="K189" s="652">
        <f>SUMIFS(OBE!$H:$H,OBE!$C:$C,'Standalone TB'!$B189,OBE!$B:$B,"A22")</f>
        <v>0</v>
      </c>
      <c r="L189" s="652">
        <f>SUMIFS('Elimination - BS'!I:I,'Elimination - BS'!D:D,'Standalone TB'!B189,'Elimination - BS'!A:A,"EA22")</f>
        <v>0</v>
      </c>
      <c r="M189" s="652">
        <f t="shared" si="18"/>
        <v>0</v>
      </c>
      <c r="N189" s="652">
        <f t="shared" si="19"/>
        <v>0</v>
      </c>
      <c r="O189" s="652">
        <v>0</v>
      </c>
      <c r="P189" s="685">
        <v>0</v>
      </c>
      <c r="Q189" s="684">
        <v>0</v>
      </c>
      <c r="R189" s="652">
        <f>SUMIFS(OBE!$H:$H,OBE!$C:$C,'Standalone TB'!$B189,OBE!$B:$B,"A20")</f>
        <v>0</v>
      </c>
      <c r="S189" s="652">
        <f>SUMIFS('Elimination - BS'!I:I,'Elimination - BS'!D:D,'Standalone TB'!B189,'Elimination - BS'!A:A,"EA20")</f>
        <v>0</v>
      </c>
      <c r="T189" s="652">
        <f t="shared" si="20"/>
        <v>0</v>
      </c>
      <c r="U189" s="652">
        <f t="shared" si="21"/>
        <v>0</v>
      </c>
      <c r="V189" s="652">
        <v>0</v>
      </c>
      <c r="W189" s="685">
        <v>0</v>
      </c>
      <c r="X189" s="689">
        <f t="shared" si="22"/>
        <v>0</v>
      </c>
      <c r="Y189" s="689">
        <f t="shared" si="23"/>
        <v>0</v>
      </c>
      <c r="Z189" s="652"/>
      <c r="AA189" s="652"/>
      <c r="AD189" s="665"/>
    </row>
    <row r="190" spans="2:30" hidden="1" x14ac:dyDescent="0.2">
      <c r="B190" s="673" t="s">
        <v>2073</v>
      </c>
      <c r="C190" s="666" t="s">
        <v>2074</v>
      </c>
      <c r="D190" s="666" t="s">
        <v>3</v>
      </c>
      <c r="E190" s="684">
        <v>0</v>
      </c>
      <c r="F190" s="652">
        <f>SUMIFS(OBE!$H:$H,OBE!$C:$C,'Standalone TB'!$B190,OBE!$B:$B,"A21")</f>
        <v>0</v>
      </c>
      <c r="G190" s="652">
        <f>SUMIFS('Elimination - BS'!I:I,'Elimination - BS'!D:D,'Standalone TB'!B190,'Elimination - BS'!A:A,"EA21")</f>
        <v>0</v>
      </c>
      <c r="H190" s="652">
        <f t="shared" si="25"/>
        <v>0</v>
      </c>
      <c r="I190" s="652">
        <v>0</v>
      </c>
      <c r="J190" s="684">
        <v>0</v>
      </c>
      <c r="K190" s="652">
        <f>SUMIFS(OBE!$H:$H,OBE!$C:$C,'Standalone TB'!$B190,OBE!$B:$B,"A22")</f>
        <v>0</v>
      </c>
      <c r="L190" s="652">
        <f>SUMIFS('Elimination - BS'!I:I,'Elimination - BS'!D:D,'Standalone TB'!B190,'Elimination - BS'!A:A,"EA22")</f>
        <v>0</v>
      </c>
      <c r="M190" s="652">
        <f t="shared" si="18"/>
        <v>0</v>
      </c>
      <c r="N190" s="652">
        <f t="shared" si="19"/>
        <v>0</v>
      </c>
      <c r="O190" s="652">
        <v>0</v>
      </c>
      <c r="P190" s="685">
        <v>0</v>
      </c>
      <c r="Q190" s="684">
        <v>0</v>
      </c>
      <c r="R190" s="652">
        <f>SUMIFS(OBE!$H:$H,OBE!$C:$C,'Standalone TB'!$B190,OBE!$B:$B,"A20")</f>
        <v>0</v>
      </c>
      <c r="S190" s="652">
        <f>SUMIFS('Elimination - BS'!I:I,'Elimination - BS'!D:D,'Standalone TB'!B190,'Elimination - BS'!A:A,"EA20")</f>
        <v>0</v>
      </c>
      <c r="T190" s="652">
        <f t="shared" si="20"/>
        <v>0</v>
      </c>
      <c r="U190" s="652">
        <f t="shared" si="21"/>
        <v>0</v>
      </c>
      <c r="V190" s="652">
        <v>0</v>
      </c>
      <c r="W190" s="685">
        <v>0</v>
      </c>
      <c r="X190" s="689">
        <f t="shared" si="22"/>
        <v>0</v>
      </c>
      <c r="Y190" s="689">
        <f t="shared" si="23"/>
        <v>0</v>
      </c>
      <c r="Z190" s="652"/>
      <c r="AA190" s="652"/>
      <c r="AD190" s="665"/>
    </row>
    <row r="191" spans="2:30" hidden="1" x14ac:dyDescent="0.2">
      <c r="B191" s="673" t="s">
        <v>2075</v>
      </c>
      <c r="C191" s="666" t="s">
        <v>2076</v>
      </c>
      <c r="D191" s="666" t="s">
        <v>3</v>
      </c>
      <c r="E191" s="684">
        <v>57567435.240000002</v>
      </c>
      <c r="F191" s="652">
        <f>SUMIFS(OBE!$H:$H,OBE!$C:$C,'Standalone TB'!$B191,OBE!$B:$B,"A21")</f>
        <v>0</v>
      </c>
      <c r="G191" s="652">
        <f>SUMIFS('Elimination - BS'!I:I,'Elimination - BS'!D:D,'Standalone TB'!B191,'Elimination - BS'!A:A,"EA21")</f>
        <v>0</v>
      </c>
      <c r="H191" s="652">
        <f t="shared" si="25"/>
        <v>57567435.240000002</v>
      </c>
      <c r="I191" s="652">
        <v>76774331.700000003</v>
      </c>
      <c r="J191" s="684">
        <v>898945.76</v>
      </c>
      <c r="K191" s="652">
        <f>SUMIFS(OBE!$H:$H,OBE!$C:$C,'Standalone TB'!$B191,OBE!$B:$B,"A22")</f>
        <v>0</v>
      </c>
      <c r="L191" s="652">
        <f>SUMIFS('Elimination - BS'!I:I,'Elimination - BS'!D:D,'Standalone TB'!B191,'Elimination - BS'!A:A,"EA22")</f>
        <v>0</v>
      </c>
      <c r="M191" s="652">
        <f t="shared" si="18"/>
        <v>898945.76</v>
      </c>
      <c r="N191" s="652">
        <f t="shared" si="19"/>
        <v>20939952.805027727</v>
      </c>
      <c r="O191" s="652">
        <v>700473.82</v>
      </c>
      <c r="P191" s="685">
        <v>15893260.644125998</v>
      </c>
      <c r="Q191" s="684">
        <v>-5458.04</v>
      </c>
      <c r="R191" s="652">
        <f>SUMIFS(OBE!$H:$H,OBE!$C:$C,'Standalone TB'!$B191,OBE!$B:$B,"A20")</f>
        <v>0</v>
      </c>
      <c r="S191" s="652">
        <f>SUMIFS('Elimination - BS'!I:I,'Elimination - BS'!D:D,'Standalone TB'!B191,'Elimination - BS'!A:A,"EA20")</f>
        <v>0</v>
      </c>
      <c r="T191" s="652">
        <f t="shared" si="20"/>
        <v>-5458.04</v>
      </c>
      <c r="U191" s="652">
        <f t="shared" si="21"/>
        <v>-467010.48354898341</v>
      </c>
      <c r="V191" s="652">
        <v>230013.3</v>
      </c>
      <c r="W191" s="685">
        <v>19169561.436629999</v>
      </c>
      <c r="X191" s="689">
        <f t="shared" si="22"/>
        <v>78040377.561478749</v>
      </c>
      <c r="Y191" s="689">
        <f t="shared" si="23"/>
        <v>111837153.780756</v>
      </c>
      <c r="Z191" s="652" t="s">
        <v>554</v>
      </c>
      <c r="AA191" s="652" t="s">
        <v>9</v>
      </c>
      <c r="AB191" s="652" t="s">
        <v>2077</v>
      </c>
      <c r="AD191" s="652" t="s">
        <v>554</v>
      </c>
    </row>
    <row r="192" spans="2:30" ht="10.5" hidden="1" x14ac:dyDescent="0.25">
      <c r="B192" s="676" t="s">
        <v>1680</v>
      </c>
      <c r="C192" s="666" t="s">
        <v>2078</v>
      </c>
      <c r="D192" s="666" t="s">
        <v>3</v>
      </c>
      <c r="E192" s="684">
        <v>-5211817.46</v>
      </c>
      <c r="F192" s="652">
        <f>SUMIFS(OBE!$H:$H,OBE!$C:$C,'Standalone TB'!$B192,OBE!$B:$B,"A21")</f>
        <v>5567686</v>
      </c>
      <c r="G192" s="652">
        <f>SUMIFS('Elimination - BS'!I:I,'Elimination - BS'!D:D,'Standalone TB'!B192,'Elimination - BS'!A:A,"EA21")</f>
        <v>0</v>
      </c>
      <c r="H192" s="652">
        <f t="shared" si="25"/>
        <v>355868.54000000004</v>
      </c>
      <c r="I192" s="652">
        <v>60309607.170000002</v>
      </c>
      <c r="J192" s="684">
        <v>1065640.8700000001</v>
      </c>
      <c r="K192" s="652">
        <f>SUMIFS(OBE!$H:$H,OBE!$C:$C,'Standalone TB'!$B192,OBE!$B:$B,"A22")</f>
        <v>0</v>
      </c>
      <c r="L192" s="652">
        <f>SUMIFS('Elimination - BS'!I:I,'Elimination - BS'!D:D,'Standalone TB'!B192,'Elimination - BS'!A:A,"EA22")</f>
        <v>0</v>
      </c>
      <c r="M192" s="652">
        <f t="shared" si="18"/>
        <v>1065640.8700000001</v>
      </c>
      <c r="N192" s="652">
        <f t="shared" si="19"/>
        <v>24822932.058669135</v>
      </c>
      <c r="O192" s="652">
        <v>258103.35</v>
      </c>
      <c r="P192" s="685">
        <v>5856184.3391549997</v>
      </c>
      <c r="Q192" s="684">
        <v>0</v>
      </c>
      <c r="R192" s="652">
        <f>SUMIFS(OBE!$H:$H,OBE!$C:$C,'Standalone TB'!$B192,OBE!$B:$B,"A20")</f>
        <v>0</v>
      </c>
      <c r="S192" s="652">
        <f>SUMIFS('Elimination - BS'!I:I,'Elimination - BS'!D:D,'Standalone TB'!B192,'Elimination - BS'!A:A,"EA20")</f>
        <v>0</v>
      </c>
      <c r="T192" s="652">
        <f t="shared" si="20"/>
        <v>0</v>
      </c>
      <c r="U192" s="652">
        <f t="shared" si="21"/>
        <v>0</v>
      </c>
      <c r="V192" s="652">
        <v>0</v>
      </c>
      <c r="W192" s="685">
        <v>0</v>
      </c>
      <c r="X192" s="689">
        <f t="shared" si="22"/>
        <v>25178800.598669134</v>
      </c>
      <c r="Y192" s="689">
        <f t="shared" si="23"/>
        <v>66165791.509155005</v>
      </c>
      <c r="Z192" s="652" t="s">
        <v>554</v>
      </c>
      <c r="AA192" s="652" t="s">
        <v>9</v>
      </c>
      <c r="AB192" s="652" t="s">
        <v>2077</v>
      </c>
      <c r="AD192" s="652" t="s">
        <v>2079</v>
      </c>
    </row>
    <row r="193" spans="2:31" hidden="1" x14ac:dyDescent="0.2">
      <c r="B193" s="673" t="s">
        <v>2080</v>
      </c>
      <c r="C193" s="666" t="s">
        <v>2081</v>
      </c>
      <c r="D193" s="666" t="s">
        <v>3</v>
      </c>
      <c r="E193" s="684">
        <v>0</v>
      </c>
      <c r="F193" s="652">
        <f>SUMIFS(OBE!$H:$H,OBE!$C:$C,'Standalone TB'!$B193,OBE!$B:$B,"A21")</f>
        <v>0</v>
      </c>
      <c r="G193" s="652">
        <f>SUMIFS('Elimination - BS'!I:I,'Elimination - BS'!D:D,'Standalone TB'!B193,'Elimination - BS'!A:A,"EA21")</f>
        <v>0</v>
      </c>
      <c r="H193" s="652">
        <f t="shared" si="25"/>
        <v>0</v>
      </c>
      <c r="I193" s="652">
        <v>0</v>
      </c>
      <c r="J193" s="684">
        <v>0</v>
      </c>
      <c r="K193" s="652">
        <f>SUMIFS(OBE!$H:$H,OBE!$C:$C,'Standalone TB'!$B193,OBE!$B:$B,"A22")</f>
        <v>0</v>
      </c>
      <c r="L193" s="652">
        <f>SUMIFS('Elimination - BS'!I:I,'Elimination - BS'!D:D,'Standalone TB'!B193,'Elimination - BS'!A:A,"EA22")</f>
        <v>0</v>
      </c>
      <c r="M193" s="652">
        <f t="shared" si="18"/>
        <v>0</v>
      </c>
      <c r="N193" s="652">
        <f t="shared" si="19"/>
        <v>0</v>
      </c>
      <c r="O193" s="652">
        <v>0</v>
      </c>
      <c r="P193" s="685">
        <v>0</v>
      </c>
      <c r="Q193" s="684">
        <v>0</v>
      </c>
      <c r="R193" s="652">
        <f>SUMIFS(OBE!$H:$H,OBE!$C:$C,'Standalone TB'!$B193,OBE!$B:$B,"A20")</f>
        <v>0</v>
      </c>
      <c r="S193" s="652">
        <f>SUMIFS('Elimination - BS'!I:I,'Elimination - BS'!D:D,'Standalone TB'!B193,'Elimination - BS'!A:A,"EA20")</f>
        <v>0</v>
      </c>
      <c r="T193" s="652">
        <f t="shared" si="20"/>
        <v>0</v>
      </c>
      <c r="U193" s="652">
        <f t="shared" si="21"/>
        <v>0</v>
      </c>
      <c r="V193" s="652">
        <v>0</v>
      </c>
      <c r="W193" s="685">
        <v>0</v>
      </c>
      <c r="X193" s="689">
        <f t="shared" si="22"/>
        <v>0</v>
      </c>
      <c r="Y193" s="689">
        <f t="shared" si="23"/>
        <v>0</v>
      </c>
      <c r="Z193" s="652" t="s">
        <v>554</v>
      </c>
      <c r="AA193" s="652" t="s">
        <v>9</v>
      </c>
      <c r="AB193" s="652" t="s">
        <v>2077</v>
      </c>
      <c r="AD193" s="652" t="s">
        <v>554</v>
      </c>
    </row>
    <row r="194" spans="2:31" hidden="1" x14ac:dyDescent="0.2">
      <c r="B194" s="673" t="s">
        <v>1682</v>
      </c>
      <c r="C194" s="666" t="s">
        <v>2082</v>
      </c>
      <c r="D194" s="666" t="s">
        <v>3</v>
      </c>
      <c r="E194" s="684">
        <v>6396817</v>
      </c>
      <c r="F194" s="652">
        <f>SUMIFS(OBE!$H:$H,OBE!$C:$C,'Standalone TB'!$B194,OBE!$B:$B,"A21")</f>
        <v>-6396817</v>
      </c>
      <c r="G194" s="652">
        <f>SUMIFS('Elimination - BS'!I:I,'Elimination - BS'!D:D,'Standalone TB'!B194,'Elimination - BS'!A:A,"EA21")</f>
        <v>0</v>
      </c>
      <c r="H194" s="652">
        <f t="shared" si="25"/>
        <v>0</v>
      </c>
      <c r="I194" s="652">
        <v>0</v>
      </c>
      <c r="J194" s="684">
        <v>434104.45</v>
      </c>
      <c r="K194" s="652">
        <f>SUMIFS(OBE!$H:$H,OBE!$C:$C,'Standalone TB'!$B194,OBE!$B:$B,"A22")</f>
        <v>0</v>
      </c>
      <c r="L194" s="652">
        <f>SUMIFS('Elimination - BS'!I:I,'Elimination - BS'!D:D,'Standalone TB'!B194,'Elimination - BS'!A:A,"EA22")</f>
        <v>0</v>
      </c>
      <c r="M194" s="652">
        <f t="shared" si="18"/>
        <v>434104.45</v>
      </c>
      <c r="N194" s="652">
        <f t="shared" si="19"/>
        <v>10111985.728096118</v>
      </c>
      <c r="O194" s="652">
        <v>177340.18000000002</v>
      </c>
      <c r="P194" s="685">
        <v>4023724.5460740002</v>
      </c>
      <c r="Q194" s="684">
        <v>0</v>
      </c>
      <c r="R194" s="652">
        <f>SUMIFS(OBE!$H:$H,OBE!$C:$C,'Standalone TB'!$B194,OBE!$B:$B,"A20")</f>
        <v>0</v>
      </c>
      <c r="S194" s="652">
        <f>SUMIFS('Elimination - BS'!I:I,'Elimination - BS'!D:D,'Standalone TB'!B194,'Elimination - BS'!A:A,"EA20")</f>
        <v>0</v>
      </c>
      <c r="T194" s="652">
        <f t="shared" si="20"/>
        <v>0</v>
      </c>
      <c r="U194" s="652">
        <f t="shared" si="21"/>
        <v>0</v>
      </c>
      <c r="V194" s="652">
        <v>0</v>
      </c>
      <c r="W194" s="685">
        <v>0</v>
      </c>
      <c r="X194" s="689">
        <f t="shared" si="22"/>
        <v>10111985.728096118</v>
      </c>
      <c r="Y194" s="689">
        <f>I194+P194+W194</f>
        <v>4023724.5460740002</v>
      </c>
      <c r="Z194" s="652" t="s">
        <v>96</v>
      </c>
      <c r="AA194" s="652" t="s">
        <v>9</v>
      </c>
      <c r="AB194" s="666" t="s">
        <v>1923</v>
      </c>
      <c r="AC194" s="666" t="s">
        <v>2083</v>
      </c>
      <c r="AD194" s="652" t="s">
        <v>554</v>
      </c>
    </row>
    <row r="195" spans="2:31" hidden="1" x14ac:dyDescent="0.2">
      <c r="B195" s="673" t="s">
        <v>2084</v>
      </c>
      <c r="C195" s="666" t="s">
        <v>2085</v>
      </c>
      <c r="D195" s="666" t="s">
        <v>3</v>
      </c>
      <c r="E195" s="684">
        <v>1256619.5</v>
      </c>
      <c r="F195" s="652">
        <f>SUMIFS(OBE!$H:$H,OBE!$C:$C,'Standalone TB'!$B195,OBE!$B:$B,"A21")</f>
        <v>0</v>
      </c>
      <c r="G195" s="652">
        <f>SUMIFS('Elimination - BS'!I:I,'Elimination - BS'!D:D,'Standalone TB'!B195,'Elimination - BS'!A:A,"EA21")</f>
        <v>0</v>
      </c>
      <c r="H195" s="652">
        <f t="shared" si="25"/>
        <v>1256619.5</v>
      </c>
      <c r="I195" s="652">
        <v>2403084.0099999998</v>
      </c>
      <c r="J195" s="684">
        <v>308408.74</v>
      </c>
      <c r="K195" s="652">
        <f>SUMIFS(OBE!$H:$H,OBE!$C:$C,'Standalone TB'!$B195,OBE!$B:$B,"A22")</f>
        <v>0</v>
      </c>
      <c r="L195" s="652">
        <f>SUMIFS('Elimination - BS'!I:I,'Elimination - BS'!D:D,'Standalone TB'!B195,'Elimination - BS'!A:A,"EA22")</f>
        <v>0</v>
      </c>
      <c r="M195" s="652">
        <f t="shared" si="18"/>
        <v>308408.74</v>
      </c>
      <c r="N195" s="652">
        <f t="shared" si="19"/>
        <v>7184042.4056931604</v>
      </c>
      <c r="O195" s="652">
        <v>980711.93</v>
      </c>
      <c r="P195" s="685">
        <v>22251667.193349</v>
      </c>
      <c r="Q195" s="684">
        <v>-9000</v>
      </c>
      <c r="R195" s="652">
        <f>SUMIFS(OBE!$H:$H,OBE!$C:$C,'Standalone TB'!$B195,OBE!$B:$B,"A20")</f>
        <v>0</v>
      </c>
      <c r="S195" s="652">
        <f>SUMIFS('Elimination - BS'!I:I,'Elimination - BS'!D:D,'Standalone TB'!B195,'Elimination - BS'!A:A,"EA20")</f>
        <v>0</v>
      </c>
      <c r="T195" s="652">
        <f t="shared" si="20"/>
        <v>-9000</v>
      </c>
      <c r="U195" s="652">
        <f t="shared" si="21"/>
        <v>-770073.93715341971</v>
      </c>
      <c r="V195" s="652">
        <v>0</v>
      </c>
      <c r="W195" s="685">
        <v>0</v>
      </c>
      <c r="X195" s="689">
        <f t="shared" si="22"/>
        <v>7670587.9685397409</v>
      </c>
      <c r="Y195" s="689">
        <f t="shared" si="23"/>
        <v>24654751.203349002</v>
      </c>
      <c r="Z195" s="652" t="s">
        <v>554</v>
      </c>
      <c r="AA195" s="652" t="s">
        <v>9</v>
      </c>
      <c r="AB195" s="652" t="s">
        <v>2077</v>
      </c>
      <c r="AD195" s="652" t="s">
        <v>554</v>
      </c>
    </row>
    <row r="196" spans="2:31" hidden="1" x14ac:dyDescent="0.2">
      <c r="B196" s="673" t="s">
        <v>2086</v>
      </c>
      <c r="C196" s="666" t="s">
        <v>2087</v>
      </c>
      <c r="D196" s="666" t="s">
        <v>3</v>
      </c>
      <c r="E196" s="684">
        <v>0</v>
      </c>
      <c r="F196" s="652">
        <f>SUMIFS(OBE!$H:$H,OBE!$C:$C,'Standalone TB'!$B196,OBE!$B:$B,"A21")</f>
        <v>0</v>
      </c>
      <c r="G196" s="652">
        <f>SUMIFS('Elimination - BS'!I:I,'Elimination - BS'!D:D,'Standalone TB'!B196,'Elimination - BS'!A:A,"EA21")</f>
        <v>0</v>
      </c>
      <c r="H196" s="652">
        <f t="shared" si="25"/>
        <v>0</v>
      </c>
      <c r="I196" s="652">
        <v>0</v>
      </c>
      <c r="J196" s="684">
        <v>0</v>
      </c>
      <c r="K196" s="652">
        <f>SUMIFS(OBE!$H:$H,OBE!$C:$C,'Standalone TB'!$B196,OBE!$B:$B,"A22")</f>
        <v>0</v>
      </c>
      <c r="L196" s="652">
        <f>SUMIFS('Elimination - BS'!I:I,'Elimination - BS'!D:D,'Standalone TB'!B196,'Elimination - BS'!A:A,"EA22")</f>
        <v>0</v>
      </c>
      <c r="M196" s="652">
        <f t="shared" si="18"/>
        <v>0</v>
      </c>
      <c r="N196" s="652">
        <f t="shared" si="19"/>
        <v>0</v>
      </c>
      <c r="O196" s="652">
        <v>0</v>
      </c>
      <c r="P196" s="685">
        <v>0</v>
      </c>
      <c r="Q196" s="684">
        <v>0</v>
      </c>
      <c r="R196" s="652">
        <f>SUMIFS(OBE!$H:$H,OBE!$C:$C,'Standalone TB'!$B196,OBE!$B:$B,"A20")</f>
        <v>0</v>
      </c>
      <c r="S196" s="652">
        <f>SUMIFS('Elimination - BS'!I:I,'Elimination - BS'!D:D,'Standalone TB'!B196,'Elimination - BS'!A:A,"EA20")</f>
        <v>0</v>
      </c>
      <c r="T196" s="652">
        <f t="shared" si="20"/>
        <v>0</v>
      </c>
      <c r="U196" s="652">
        <f t="shared" si="21"/>
        <v>0</v>
      </c>
      <c r="V196" s="652">
        <v>0</v>
      </c>
      <c r="W196" s="685">
        <v>0</v>
      </c>
      <c r="X196" s="689">
        <f t="shared" si="22"/>
        <v>0</v>
      </c>
      <c r="Y196" s="689">
        <f t="shared" si="23"/>
        <v>0</v>
      </c>
      <c r="Z196" s="652" t="s">
        <v>554</v>
      </c>
      <c r="AA196" s="652" t="s">
        <v>9</v>
      </c>
      <c r="AB196" s="652" t="s">
        <v>2077</v>
      </c>
      <c r="AD196" s="652" t="s">
        <v>554</v>
      </c>
    </row>
    <row r="197" spans="2:31" hidden="1" x14ac:dyDescent="0.2">
      <c r="B197" s="673" t="s">
        <v>1668</v>
      </c>
      <c r="C197" s="666" t="s">
        <v>2088</v>
      </c>
      <c r="D197" s="666" t="s">
        <v>3</v>
      </c>
      <c r="E197" s="684">
        <v>4222000</v>
      </c>
      <c r="F197" s="652">
        <f>SUMIFS(OBE!$H:$H,OBE!$C:$C,'Standalone TB'!$B197,OBE!$B:$B,"A21")</f>
        <v>-4222000</v>
      </c>
      <c r="G197" s="652">
        <f>SUMIFS('Elimination - BS'!I:I,'Elimination - BS'!D:D,'Standalone TB'!B197,'Elimination - BS'!A:A,"EA21")</f>
        <v>0</v>
      </c>
      <c r="H197" s="652">
        <f t="shared" si="25"/>
        <v>0</v>
      </c>
      <c r="I197" s="652">
        <v>0</v>
      </c>
      <c r="J197" s="684">
        <v>0</v>
      </c>
      <c r="K197" s="652">
        <f>SUMIFS(OBE!$H:$H,OBE!$C:$C,'Standalone TB'!$B197,OBE!$B:$B,"A22")</f>
        <v>0</v>
      </c>
      <c r="L197" s="652">
        <f>SUMIFS('Elimination - BS'!I:I,'Elimination - BS'!D:D,'Standalone TB'!B197,'Elimination - BS'!A:A,"EA22")</f>
        <v>0</v>
      </c>
      <c r="M197" s="652">
        <f t="shared" si="18"/>
        <v>0</v>
      </c>
      <c r="N197" s="652">
        <f t="shared" si="19"/>
        <v>0</v>
      </c>
      <c r="O197" s="652">
        <v>0</v>
      </c>
      <c r="P197" s="685">
        <v>0</v>
      </c>
      <c r="Q197" s="684">
        <v>0</v>
      </c>
      <c r="R197" s="652">
        <f>SUMIFS(OBE!$H:$H,OBE!$C:$C,'Standalone TB'!$B197,OBE!$B:$B,"A20")</f>
        <v>0</v>
      </c>
      <c r="S197" s="652">
        <f>SUMIFS('Elimination - BS'!I:I,'Elimination - BS'!D:D,'Standalone TB'!B197,'Elimination - BS'!A:A,"EA20")</f>
        <v>0</v>
      </c>
      <c r="T197" s="652">
        <f t="shared" si="20"/>
        <v>0</v>
      </c>
      <c r="U197" s="652">
        <f t="shared" si="21"/>
        <v>0</v>
      </c>
      <c r="V197" s="652">
        <v>0</v>
      </c>
      <c r="W197" s="685">
        <v>0</v>
      </c>
      <c r="X197" s="689">
        <f t="shared" si="22"/>
        <v>0</v>
      </c>
      <c r="Y197" s="689">
        <f t="shared" si="23"/>
        <v>0</v>
      </c>
      <c r="Z197" s="652" t="s">
        <v>554</v>
      </c>
      <c r="AA197" s="652" t="s">
        <v>9</v>
      </c>
      <c r="AB197" s="652" t="s">
        <v>2077</v>
      </c>
      <c r="AD197" s="652" t="s">
        <v>2079</v>
      </c>
    </row>
    <row r="198" spans="2:31" hidden="1" x14ac:dyDescent="0.2">
      <c r="B198" s="673" t="s">
        <v>2089</v>
      </c>
      <c r="C198" s="666" t="s">
        <v>2090</v>
      </c>
      <c r="D198" s="666" t="s">
        <v>3</v>
      </c>
      <c r="E198" s="684">
        <v>0</v>
      </c>
      <c r="F198" s="652">
        <f>SUMIFS(OBE!$H:$H,OBE!$C:$C,'Standalone TB'!$B198,OBE!$B:$B,"A21")</f>
        <v>0</v>
      </c>
      <c r="G198" s="652">
        <f>SUMIFS('Elimination - BS'!I:I,'Elimination - BS'!D:D,'Standalone TB'!B198,'Elimination - BS'!A:A,"EA21")</f>
        <v>0</v>
      </c>
      <c r="H198" s="652">
        <f t="shared" si="25"/>
        <v>0</v>
      </c>
      <c r="I198" s="652">
        <v>0</v>
      </c>
      <c r="J198" s="684">
        <v>0</v>
      </c>
      <c r="K198" s="652">
        <f>SUMIFS(OBE!$H:$H,OBE!$C:$C,'Standalone TB'!$B198,OBE!$B:$B,"A22")</f>
        <v>0</v>
      </c>
      <c r="L198" s="652">
        <f>SUMIFS('Elimination - BS'!I:I,'Elimination - BS'!D:D,'Standalone TB'!B198,'Elimination - BS'!A:A,"EA22")</f>
        <v>0</v>
      </c>
      <c r="M198" s="652">
        <f t="shared" si="18"/>
        <v>0</v>
      </c>
      <c r="N198" s="652">
        <f t="shared" si="19"/>
        <v>0</v>
      </c>
      <c r="O198" s="652">
        <v>0</v>
      </c>
      <c r="P198" s="685">
        <v>0</v>
      </c>
      <c r="Q198" s="684">
        <v>0</v>
      </c>
      <c r="R198" s="652">
        <f>SUMIFS(OBE!$H:$H,OBE!$C:$C,'Standalone TB'!$B198,OBE!$B:$B,"A20")</f>
        <v>0</v>
      </c>
      <c r="S198" s="652">
        <f>SUMIFS('Elimination - BS'!I:I,'Elimination - BS'!D:D,'Standalone TB'!B198,'Elimination - BS'!A:A,"EA20")</f>
        <v>0</v>
      </c>
      <c r="T198" s="652">
        <f t="shared" si="20"/>
        <v>0</v>
      </c>
      <c r="U198" s="652">
        <f t="shared" si="21"/>
        <v>0</v>
      </c>
      <c r="V198" s="652">
        <v>0</v>
      </c>
      <c r="W198" s="685">
        <v>0</v>
      </c>
      <c r="X198" s="689">
        <f t="shared" si="22"/>
        <v>0</v>
      </c>
      <c r="Y198" s="689">
        <f t="shared" si="23"/>
        <v>0</v>
      </c>
      <c r="Z198" s="652" t="s">
        <v>554</v>
      </c>
      <c r="AA198" s="652" t="s">
        <v>9</v>
      </c>
      <c r="AB198" s="652" t="s">
        <v>2077</v>
      </c>
      <c r="AD198" s="652" t="s">
        <v>2079</v>
      </c>
    </row>
    <row r="199" spans="2:31" hidden="1" x14ac:dyDescent="0.2">
      <c r="B199" s="673" t="s">
        <v>1500</v>
      </c>
      <c r="C199" s="666" t="s">
        <v>1501</v>
      </c>
      <c r="D199" s="666" t="s">
        <v>3</v>
      </c>
      <c r="E199" s="684">
        <v>421693802.99000001</v>
      </c>
      <c r="F199" s="652">
        <f>SUMIFS(OBE!$H:$H,OBE!$C:$C,'Standalone TB'!$B199,OBE!$B:$B,"A21")</f>
        <v>17911845.399999995</v>
      </c>
      <c r="G199" s="652">
        <f>SUMIFS('Elimination - BS'!I:I,'Elimination - BS'!D:D,'Standalone TB'!B199,'Elimination - BS'!A:A,"EA21")</f>
        <v>-11837173.720000021</v>
      </c>
      <c r="H199" s="652">
        <f t="shared" si="25"/>
        <v>427768474.66999996</v>
      </c>
      <c r="I199" s="652">
        <v>708753556.5</v>
      </c>
      <c r="J199" s="684">
        <v>34791532.689999998</v>
      </c>
      <c r="K199" s="652">
        <f>SUMIFS(OBE!$H:$H,OBE!$C:$C,'Standalone TB'!$B199,OBE!$B:$B,"A22")</f>
        <v>-465059.22499999992</v>
      </c>
      <c r="L199" s="652">
        <f>SUMIFS('Elimination - BS'!I:I,'Elimination - BS'!D:D,'Standalone TB'!B199,'Elimination - BS'!A:A,"EA22")</f>
        <v>-31649862.210000001</v>
      </c>
      <c r="M199" s="652">
        <f t="shared" si="18"/>
        <v>2676611.2549999952</v>
      </c>
      <c r="N199" s="652">
        <f t="shared" si="19"/>
        <v>62348715.407596931</v>
      </c>
      <c r="O199" s="652">
        <v>3240593.89</v>
      </c>
      <c r="P199" s="685">
        <v>73526806.948376998</v>
      </c>
      <c r="Q199" s="684">
        <v>17200</v>
      </c>
      <c r="R199" s="652">
        <f>SUMIFS(OBE!$H:$H,OBE!$C:$C,'Standalone TB'!$B199,OBE!$B:$B,"A20")</f>
        <v>0</v>
      </c>
      <c r="S199" s="652">
        <f>SUMIFS('Elimination - BS'!I:I,'Elimination - BS'!D:D,'Standalone TB'!B199,'Elimination - BS'!A:A,"EA20")</f>
        <v>0</v>
      </c>
      <c r="T199" s="652">
        <f t="shared" si="20"/>
        <v>17200</v>
      </c>
      <c r="U199" s="652">
        <f t="shared" si="21"/>
        <v>1471696.8576709798</v>
      </c>
      <c r="V199" s="652">
        <v>74565</v>
      </c>
      <c r="W199" s="685">
        <v>6214329.1214999994</v>
      </c>
      <c r="X199" s="689">
        <f t="shared" si="22"/>
        <v>491588886.93526787</v>
      </c>
      <c r="Y199" s="689">
        <f t="shared" si="23"/>
        <v>788494692.56987703</v>
      </c>
      <c r="Z199" s="652" t="s">
        <v>554</v>
      </c>
      <c r="AA199" s="652" t="s">
        <v>9</v>
      </c>
      <c r="AB199" s="652" t="s">
        <v>2077</v>
      </c>
      <c r="AD199" s="652" t="s">
        <v>2079</v>
      </c>
    </row>
    <row r="200" spans="2:31" hidden="1" x14ac:dyDescent="0.2">
      <c r="B200" s="673" t="s">
        <v>2091</v>
      </c>
      <c r="C200" s="666" t="s">
        <v>2092</v>
      </c>
      <c r="D200" s="666" t="s">
        <v>3</v>
      </c>
      <c r="E200" s="684">
        <v>0</v>
      </c>
      <c r="F200" s="652">
        <f>SUMIFS(OBE!$H:$H,OBE!$C:$C,'Standalone TB'!$B200,OBE!$B:$B,"A21")</f>
        <v>0</v>
      </c>
      <c r="G200" s="652">
        <f>SUMIFS('Elimination - BS'!I:I,'Elimination - BS'!D:D,'Standalone TB'!B200,'Elimination - BS'!A:A,"EA21")</f>
        <v>0</v>
      </c>
      <c r="H200" s="652">
        <f t="shared" si="25"/>
        <v>0</v>
      </c>
      <c r="I200" s="652">
        <v>0</v>
      </c>
      <c r="J200" s="684">
        <v>0</v>
      </c>
      <c r="K200" s="652">
        <f>SUMIFS(OBE!$H:$H,OBE!$C:$C,'Standalone TB'!$B200,OBE!$B:$B,"A22")</f>
        <v>0</v>
      </c>
      <c r="L200" s="652">
        <f>SUMIFS('Elimination - BS'!I:I,'Elimination - BS'!D:D,'Standalone TB'!B200,'Elimination - BS'!A:A,"EA22")</f>
        <v>0</v>
      </c>
      <c r="M200" s="652">
        <f t="shared" ref="M200:M263" si="26">SUM(J200:L200)</f>
        <v>0</v>
      </c>
      <c r="N200" s="652">
        <f t="shared" ref="N200:N263" si="27">M200*$O$2</f>
        <v>0</v>
      </c>
      <c r="O200" s="652">
        <v>0</v>
      </c>
      <c r="P200" s="685">
        <v>0</v>
      </c>
      <c r="Q200" s="684">
        <v>0</v>
      </c>
      <c r="R200" s="652">
        <f>SUMIFS(OBE!$H:$H,OBE!$C:$C,'Standalone TB'!$B200,OBE!$B:$B,"A20")</f>
        <v>0</v>
      </c>
      <c r="S200" s="652">
        <f>SUMIFS('Elimination - BS'!I:I,'Elimination - BS'!D:D,'Standalone TB'!B200,'Elimination - BS'!A:A,"EA20")</f>
        <v>0</v>
      </c>
      <c r="T200" s="652">
        <f t="shared" ref="T200:T263" si="28">SUM(Q200:S200)</f>
        <v>0</v>
      </c>
      <c r="U200" s="652">
        <f t="shared" ref="U200:U263" si="29">T200*$V$2</f>
        <v>0</v>
      </c>
      <c r="V200" s="652">
        <v>0</v>
      </c>
      <c r="W200" s="685">
        <v>0</v>
      </c>
      <c r="X200" s="689">
        <f t="shared" ref="X200:X263" si="30">H200+N200+U200</f>
        <v>0</v>
      </c>
      <c r="Y200" s="689">
        <f t="shared" ref="Y200:Y263" si="31">I200+P200+W200</f>
        <v>0</v>
      </c>
      <c r="Z200" s="652" t="s">
        <v>554</v>
      </c>
      <c r="AA200" s="652" t="s">
        <v>9</v>
      </c>
      <c r="AB200" s="652" t="s">
        <v>2077</v>
      </c>
      <c r="AD200" s="652" t="s">
        <v>554</v>
      </c>
    </row>
    <row r="201" spans="2:31" hidden="1" x14ac:dyDescent="0.2">
      <c r="B201" s="673" t="s">
        <v>1509</v>
      </c>
      <c r="C201" s="666" t="s">
        <v>2093</v>
      </c>
      <c r="D201" s="666" t="s">
        <v>3</v>
      </c>
      <c r="E201" s="684">
        <v>2799894.88</v>
      </c>
      <c r="F201" s="652">
        <f>SUMIFS(OBE!$H:$H,OBE!$C:$C,'Standalone TB'!$B201,OBE!$B:$B,"A21")</f>
        <v>0</v>
      </c>
      <c r="G201" s="652">
        <f>SUMIFS('Elimination - BS'!I:I,'Elimination - BS'!D:D,'Standalone TB'!B201,'Elimination - BS'!A:A,"EA21")</f>
        <v>76449.47000000003</v>
      </c>
      <c r="H201" s="652">
        <f t="shared" si="25"/>
        <v>2876344.35</v>
      </c>
      <c r="J201" s="684">
        <v>0</v>
      </c>
      <c r="K201" s="652">
        <f>SUMIFS(OBE!$H:$H,OBE!$C:$C,'Standalone TB'!$B201,OBE!$B:$B,"A22")</f>
        <v>0</v>
      </c>
      <c r="L201" s="652">
        <f>SUMIFS('Elimination - BS'!I:I,'Elimination - BS'!D:D,'Standalone TB'!B201,'Elimination - BS'!A:A,"EA22")</f>
        <v>0</v>
      </c>
      <c r="M201" s="652">
        <f t="shared" si="26"/>
        <v>0</v>
      </c>
      <c r="N201" s="652">
        <f t="shared" si="27"/>
        <v>0</v>
      </c>
      <c r="P201" s="685"/>
      <c r="Q201" s="684">
        <v>0</v>
      </c>
      <c r="R201" s="652">
        <f>SUMIFS(OBE!$H:$H,OBE!$C:$C,'Standalone TB'!$B201,OBE!$B:$B,"A20")</f>
        <v>0</v>
      </c>
      <c r="S201" s="652">
        <f>SUMIFS('Elimination - BS'!I:I,'Elimination - BS'!D:D,'Standalone TB'!B201,'Elimination - BS'!A:A,"EA20")</f>
        <v>0</v>
      </c>
      <c r="T201" s="652">
        <f t="shared" si="28"/>
        <v>0</v>
      </c>
      <c r="U201" s="652">
        <f t="shared" si="29"/>
        <v>0</v>
      </c>
      <c r="W201" s="685"/>
      <c r="X201" s="689">
        <f t="shared" si="30"/>
        <v>2876344.35</v>
      </c>
      <c r="Y201" s="689">
        <f t="shared" si="31"/>
        <v>0</v>
      </c>
      <c r="Z201" s="652" t="s">
        <v>554</v>
      </c>
      <c r="AA201" s="652" t="s">
        <v>9</v>
      </c>
      <c r="AB201" s="652" t="s">
        <v>2077</v>
      </c>
      <c r="AD201" s="652"/>
    </row>
    <row r="202" spans="2:31" ht="10.5" hidden="1" x14ac:dyDescent="0.25">
      <c r="B202" s="676" t="s">
        <v>2094</v>
      </c>
      <c r="C202" s="666" t="s">
        <v>2095</v>
      </c>
      <c r="D202" s="666" t="s">
        <v>3</v>
      </c>
      <c r="E202" s="684">
        <v>27058.080000000002</v>
      </c>
      <c r="F202" s="652">
        <f>SUMIFS(OBE!$H:$H,OBE!$C:$C,'Standalone TB'!$B202,OBE!$B:$B,"A21")</f>
        <v>0</v>
      </c>
      <c r="G202" s="652">
        <f>SUMIFS('Elimination - BS'!I:I,'Elimination - BS'!D:D,'Standalone TB'!B202,'Elimination - BS'!A:A,"EA21")</f>
        <v>0</v>
      </c>
      <c r="H202" s="652">
        <f t="shared" si="25"/>
        <v>27058.080000000002</v>
      </c>
      <c r="I202" s="652">
        <v>-679685.5400000501</v>
      </c>
      <c r="J202" s="684">
        <v>23519.11</v>
      </c>
      <c r="K202" s="652">
        <f>SUMIFS(OBE!$H:$H,OBE!$C:$C,'Standalone TB'!$B202,OBE!$B:$B,"A22")</f>
        <v>0</v>
      </c>
      <c r="L202" s="652">
        <f>SUMIFS('Elimination - BS'!I:I,'Elimination - BS'!D:D,'Standalone TB'!B202,'Elimination - BS'!A:A,"EA22")</f>
        <v>0</v>
      </c>
      <c r="M202" s="652">
        <f t="shared" si="26"/>
        <v>23519.11</v>
      </c>
      <c r="N202" s="652">
        <f t="shared" si="27"/>
        <v>547851.80077634007</v>
      </c>
      <c r="O202" s="652">
        <v>20665.189999999999</v>
      </c>
      <c r="P202" s="685">
        <v>468878.69546699995</v>
      </c>
      <c r="Q202" s="684">
        <v>0</v>
      </c>
      <c r="R202" s="652">
        <f>SUMIFS(OBE!$H:$H,OBE!$C:$C,'Standalone TB'!$B202,OBE!$B:$B,"A20")</f>
        <v>0</v>
      </c>
      <c r="S202" s="652">
        <f>SUMIFS('Elimination - BS'!I:I,'Elimination - BS'!D:D,'Standalone TB'!B202,'Elimination - BS'!A:A,"EA20")</f>
        <v>0</v>
      </c>
      <c r="T202" s="652">
        <f t="shared" si="28"/>
        <v>0</v>
      </c>
      <c r="U202" s="652">
        <f t="shared" si="29"/>
        <v>0</v>
      </c>
      <c r="V202" s="652">
        <v>0</v>
      </c>
      <c r="W202" s="685">
        <v>0</v>
      </c>
      <c r="X202" s="689">
        <f t="shared" si="30"/>
        <v>574909.88077634003</v>
      </c>
      <c r="Y202" s="689">
        <f t="shared" si="31"/>
        <v>-210806.84453305014</v>
      </c>
      <c r="Z202" s="652" t="s">
        <v>554</v>
      </c>
      <c r="AA202" s="652" t="s">
        <v>9</v>
      </c>
      <c r="AB202" s="652" t="s">
        <v>2077</v>
      </c>
      <c r="AD202" s="652" t="s">
        <v>554</v>
      </c>
    </row>
    <row r="203" spans="2:31" hidden="1" x14ac:dyDescent="0.2">
      <c r="B203" s="673" t="s">
        <v>2096</v>
      </c>
      <c r="C203" s="666" t="s">
        <v>2097</v>
      </c>
      <c r="D203" s="666" t="s">
        <v>3</v>
      </c>
      <c r="E203" s="684">
        <v>0</v>
      </c>
      <c r="F203" s="652">
        <f>SUMIFS(OBE!$H:$H,OBE!$C:$C,'Standalone TB'!$B203,OBE!$B:$B,"A21")</f>
        <v>0</v>
      </c>
      <c r="G203" s="652">
        <f>SUMIFS('Elimination - BS'!I:I,'Elimination - BS'!D:D,'Standalone TB'!B203,'Elimination - BS'!A:A,"EA21")</f>
        <v>0</v>
      </c>
      <c r="H203" s="652">
        <f t="shared" si="25"/>
        <v>0</v>
      </c>
      <c r="I203" s="652">
        <v>0</v>
      </c>
      <c r="J203" s="684">
        <v>0</v>
      </c>
      <c r="K203" s="652">
        <f>SUMIFS(OBE!$H:$H,OBE!$C:$C,'Standalone TB'!$B203,OBE!$B:$B,"A22")</f>
        <v>0</v>
      </c>
      <c r="L203" s="652">
        <f>SUMIFS('Elimination - BS'!I:I,'Elimination - BS'!D:D,'Standalone TB'!B203,'Elimination - BS'!A:A,"EA22")</f>
        <v>0</v>
      </c>
      <c r="M203" s="652">
        <f t="shared" si="26"/>
        <v>0</v>
      </c>
      <c r="N203" s="652">
        <f t="shared" si="27"/>
        <v>0</v>
      </c>
      <c r="O203" s="652">
        <v>0</v>
      </c>
      <c r="P203" s="685">
        <v>0</v>
      </c>
      <c r="Q203" s="684">
        <v>0</v>
      </c>
      <c r="R203" s="652">
        <f>SUMIFS(OBE!$H:$H,OBE!$C:$C,'Standalone TB'!$B203,OBE!$B:$B,"A20")</f>
        <v>0</v>
      </c>
      <c r="S203" s="652">
        <f>SUMIFS('Elimination - BS'!I:I,'Elimination - BS'!D:D,'Standalone TB'!B203,'Elimination - BS'!A:A,"EA20")</f>
        <v>0</v>
      </c>
      <c r="T203" s="652">
        <f t="shared" si="28"/>
        <v>0</v>
      </c>
      <c r="U203" s="652">
        <f t="shared" si="29"/>
        <v>0</v>
      </c>
      <c r="V203" s="652">
        <v>0</v>
      </c>
      <c r="W203" s="685">
        <v>0</v>
      </c>
      <c r="X203" s="689">
        <f t="shared" si="30"/>
        <v>0</v>
      </c>
      <c r="Y203" s="689">
        <f t="shared" si="31"/>
        <v>0</v>
      </c>
      <c r="Z203" s="652" t="s">
        <v>554</v>
      </c>
      <c r="AA203" s="652" t="s">
        <v>9</v>
      </c>
      <c r="AB203" s="652" t="s">
        <v>2077</v>
      </c>
      <c r="AD203" s="652" t="s">
        <v>554</v>
      </c>
    </row>
    <row r="204" spans="2:31" hidden="1" x14ac:dyDescent="0.2">
      <c r="B204" s="673" t="s">
        <v>2098</v>
      </c>
      <c r="C204" s="666" t="s">
        <v>2099</v>
      </c>
      <c r="D204" s="666" t="s">
        <v>3</v>
      </c>
      <c r="E204" s="684">
        <v>0</v>
      </c>
      <c r="F204" s="652">
        <f>SUMIFS(OBE!$H:$H,OBE!$C:$C,'Standalone TB'!$B204,OBE!$B:$B,"A21")</f>
        <v>0</v>
      </c>
      <c r="G204" s="652">
        <f>SUMIFS('Elimination - BS'!I:I,'Elimination - BS'!D:D,'Standalone TB'!B204,'Elimination - BS'!A:A,"EA21")</f>
        <v>0</v>
      </c>
      <c r="H204" s="652">
        <f t="shared" si="25"/>
        <v>0</v>
      </c>
      <c r="I204" s="652">
        <v>0</v>
      </c>
      <c r="J204" s="684">
        <v>0</v>
      </c>
      <c r="K204" s="652">
        <f>SUMIFS(OBE!$H:$H,OBE!$C:$C,'Standalone TB'!$B204,OBE!$B:$B,"A22")</f>
        <v>0</v>
      </c>
      <c r="L204" s="652">
        <f>SUMIFS('Elimination - BS'!I:I,'Elimination - BS'!D:D,'Standalone TB'!B204,'Elimination - BS'!A:A,"EA22")</f>
        <v>0</v>
      </c>
      <c r="M204" s="652">
        <f t="shared" si="26"/>
        <v>0</v>
      </c>
      <c r="N204" s="652">
        <f t="shared" si="27"/>
        <v>0</v>
      </c>
      <c r="O204" s="652">
        <v>0</v>
      </c>
      <c r="P204" s="685">
        <v>0</v>
      </c>
      <c r="Q204" s="684">
        <v>0</v>
      </c>
      <c r="R204" s="652">
        <f>SUMIFS(OBE!$H:$H,OBE!$C:$C,'Standalone TB'!$B204,OBE!$B:$B,"A20")</f>
        <v>0</v>
      </c>
      <c r="S204" s="652">
        <f>SUMIFS('Elimination - BS'!I:I,'Elimination - BS'!D:D,'Standalone TB'!B204,'Elimination - BS'!A:A,"EA20")</f>
        <v>0</v>
      </c>
      <c r="T204" s="652">
        <f t="shared" si="28"/>
        <v>0</v>
      </c>
      <c r="U204" s="652">
        <f t="shared" si="29"/>
        <v>0</v>
      </c>
      <c r="V204" s="652">
        <v>0</v>
      </c>
      <c r="W204" s="685">
        <v>0</v>
      </c>
      <c r="X204" s="689">
        <f t="shared" si="30"/>
        <v>0</v>
      </c>
      <c r="Y204" s="689">
        <f t="shared" si="31"/>
        <v>0</v>
      </c>
      <c r="Z204" s="652" t="s">
        <v>554</v>
      </c>
      <c r="AA204" s="652" t="s">
        <v>9</v>
      </c>
      <c r="AB204" s="652" t="s">
        <v>2077</v>
      </c>
      <c r="AD204" s="665"/>
    </row>
    <row r="205" spans="2:31" hidden="1" x14ac:dyDescent="0.2">
      <c r="B205" s="673" t="s">
        <v>1550</v>
      </c>
      <c r="C205" s="666" t="s">
        <v>2100</v>
      </c>
      <c r="D205" s="666" t="s">
        <v>3</v>
      </c>
      <c r="E205" s="684">
        <v>0</v>
      </c>
      <c r="F205" s="652">
        <f>SUMIFS(OBE!$H:$H,OBE!$C:$C,'Standalone TB'!$B205,OBE!$B:$B,"A21")</f>
        <v>0</v>
      </c>
      <c r="G205" s="652">
        <f>SUMIFS('Elimination - BS'!I:I,'Elimination - BS'!D:D,'Standalone TB'!B205,'Elimination - BS'!A:A,"EA21")</f>
        <v>0</v>
      </c>
      <c r="H205" s="652">
        <f t="shared" si="25"/>
        <v>0</v>
      </c>
      <c r="I205" s="652">
        <v>0</v>
      </c>
      <c r="J205" s="684">
        <v>0</v>
      </c>
      <c r="K205" s="652">
        <f>SUMIFS(OBE!$H:$H,OBE!$C:$C,'Standalone TB'!$B205,OBE!$B:$B,"A22")</f>
        <v>0</v>
      </c>
      <c r="L205" s="652">
        <f>SUMIFS('Elimination - BS'!I:I,'Elimination - BS'!D:D,'Standalone TB'!B205,'Elimination - BS'!A:A,"EA22")</f>
        <v>0</v>
      </c>
      <c r="M205" s="652">
        <f t="shared" si="26"/>
        <v>0</v>
      </c>
      <c r="N205" s="652">
        <f t="shared" si="27"/>
        <v>0</v>
      </c>
      <c r="O205" s="652">
        <v>0</v>
      </c>
      <c r="P205" s="685">
        <v>0</v>
      </c>
      <c r="Q205" s="684">
        <v>0</v>
      </c>
      <c r="R205" s="652">
        <f>SUMIFS(OBE!$H:$H,OBE!$C:$C,'Standalone TB'!$B205,OBE!$B:$B,"A20")</f>
        <v>0</v>
      </c>
      <c r="S205" s="652">
        <f>SUMIFS('Elimination - BS'!I:I,'Elimination - BS'!D:D,'Standalone TB'!B205,'Elimination - BS'!A:A,"EA20")</f>
        <v>0</v>
      </c>
      <c r="T205" s="652">
        <f t="shared" si="28"/>
        <v>0</v>
      </c>
      <c r="U205" s="652">
        <f t="shared" si="29"/>
        <v>0</v>
      </c>
      <c r="V205" s="652">
        <v>-3744.8631577256001</v>
      </c>
      <c r="W205" s="685">
        <v>-312101.01491432497</v>
      </c>
      <c r="X205" s="689">
        <f t="shared" si="30"/>
        <v>0</v>
      </c>
      <c r="Y205" s="689">
        <f t="shared" si="31"/>
        <v>-312101.01491432497</v>
      </c>
      <c r="Z205" s="652" t="s">
        <v>554</v>
      </c>
      <c r="AA205" s="652" t="s">
        <v>9</v>
      </c>
      <c r="AB205" s="652" t="s">
        <v>2077</v>
      </c>
      <c r="AD205" s="652" t="s">
        <v>568</v>
      </c>
      <c r="AE205" s="677"/>
    </row>
    <row r="206" spans="2:31" hidden="1" x14ac:dyDescent="0.2">
      <c r="B206" s="673" t="s">
        <v>1621</v>
      </c>
      <c r="C206" s="666" t="s">
        <v>2101</v>
      </c>
      <c r="D206" s="666" t="s">
        <v>3</v>
      </c>
      <c r="E206" s="684">
        <v>0</v>
      </c>
      <c r="F206" s="652">
        <f>SUMIFS(OBE!$H:$H,OBE!$C:$C,'Standalone TB'!$B206,OBE!$B:$B,"A21")</f>
        <v>-5348059.2449544668</v>
      </c>
      <c r="G206" s="652">
        <f>SUMIFS('Elimination - BS'!I:I,'Elimination - BS'!D:D,'Standalone TB'!B206,'Elimination - BS'!A:A,"EA21")</f>
        <v>0</v>
      </c>
      <c r="H206" s="652">
        <f t="shared" si="25"/>
        <v>-5348059.2449544668</v>
      </c>
      <c r="I206" s="652">
        <v>-3141014.4488923899</v>
      </c>
      <c r="J206" s="684">
        <v>0</v>
      </c>
      <c r="K206" s="652">
        <f>SUMIFS(OBE!$H:$H,OBE!$C:$C,'Standalone TB'!$B206,OBE!$B:$B,"A22")</f>
        <v>-94509.305097640405</v>
      </c>
      <c r="L206" s="652">
        <f>SUMIFS('Elimination - BS'!I:I,'Elimination - BS'!D:D,'Standalone TB'!B206,'Elimination - BS'!A:A,"EA22")</f>
        <v>0</v>
      </c>
      <c r="M206" s="652">
        <f t="shared" si="26"/>
        <v>-94509.305097640405</v>
      </c>
      <c r="N206" s="652">
        <f t="shared" si="27"/>
        <v>-2201490.3194832983</v>
      </c>
      <c r="O206" s="652">
        <v>-62226.847224443976</v>
      </c>
      <c r="P206" s="685">
        <v>-1411883.6047295767</v>
      </c>
      <c r="Q206" s="684">
        <v>0</v>
      </c>
      <c r="R206" s="652">
        <f>SUMIFS(OBE!$H:$H,OBE!$C:$C,'Standalone TB'!$B206,OBE!$B:$B,"A20")</f>
        <v>0</v>
      </c>
      <c r="S206" s="652">
        <f>SUMIFS('Elimination - BS'!I:I,'Elimination - BS'!D:D,'Standalone TB'!B206,'Elimination - BS'!A:A,"EA20")</f>
        <v>0</v>
      </c>
      <c r="T206" s="652">
        <f t="shared" si="28"/>
        <v>0</v>
      </c>
      <c r="U206" s="652">
        <f t="shared" si="29"/>
        <v>0</v>
      </c>
      <c r="V206" s="652">
        <v>0</v>
      </c>
      <c r="W206" s="685">
        <v>0</v>
      </c>
      <c r="X206" s="689">
        <f t="shared" si="30"/>
        <v>-7549549.5644377656</v>
      </c>
      <c r="Y206" s="689">
        <f t="shared" si="31"/>
        <v>-4552898.0536219664</v>
      </c>
      <c r="Z206" s="652" t="s">
        <v>554</v>
      </c>
      <c r="AA206" s="652" t="s">
        <v>9</v>
      </c>
      <c r="AB206" s="652" t="s">
        <v>2077</v>
      </c>
      <c r="AD206" s="652" t="s">
        <v>568</v>
      </c>
    </row>
    <row r="207" spans="2:31" hidden="1" x14ac:dyDescent="0.2">
      <c r="B207" s="673" t="s">
        <v>2102</v>
      </c>
      <c r="C207" s="666" t="s">
        <v>2087</v>
      </c>
      <c r="D207" s="666" t="s">
        <v>3</v>
      </c>
      <c r="E207" s="684">
        <v>0</v>
      </c>
      <c r="F207" s="652">
        <f>SUMIFS(OBE!$H:$H,OBE!$C:$C,'Standalone TB'!$B207,OBE!$B:$B,"A21")</f>
        <v>0</v>
      </c>
      <c r="G207" s="652">
        <f>SUMIFS('Elimination - BS'!I:I,'Elimination - BS'!D:D,'Standalone TB'!B207,'Elimination - BS'!A:A,"EA21")</f>
        <v>0</v>
      </c>
      <c r="H207" s="652">
        <f t="shared" si="25"/>
        <v>0</v>
      </c>
      <c r="I207" s="652">
        <v>0</v>
      </c>
      <c r="J207" s="684">
        <v>0</v>
      </c>
      <c r="K207" s="652">
        <f>SUMIFS(OBE!$H:$H,OBE!$C:$C,'Standalone TB'!$B207,OBE!$B:$B,"A22")</f>
        <v>0</v>
      </c>
      <c r="L207" s="652">
        <f>SUMIFS('Elimination - BS'!I:I,'Elimination - BS'!D:D,'Standalone TB'!B207,'Elimination - BS'!A:A,"EA22")</f>
        <v>0</v>
      </c>
      <c r="M207" s="652">
        <f t="shared" si="26"/>
        <v>0</v>
      </c>
      <c r="N207" s="652">
        <f t="shared" si="27"/>
        <v>0</v>
      </c>
      <c r="O207" s="652">
        <v>0</v>
      </c>
      <c r="P207" s="685">
        <v>0</v>
      </c>
      <c r="Q207" s="684">
        <v>0</v>
      </c>
      <c r="R207" s="652">
        <f>SUMIFS(OBE!$H:$H,OBE!$C:$C,'Standalone TB'!$B207,OBE!$B:$B,"A20")</f>
        <v>0</v>
      </c>
      <c r="S207" s="652">
        <f>SUMIFS('Elimination - BS'!I:I,'Elimination - BS'!D:D,'Standalone TB'!B207,'Elimination - BS'!A:A,"EA20")</f>
        <v>0</v>
      </c>
      <c r="T207" s="652">
        <f t="shared" si="28"/>
        <v>0</v>
      </c>
      <c r="U207" s="652">
        <f t="shared" si="29"/>
        <v>0</v>
      </c>
      <c r="V207" s="652">
        <v>0</v>
      </c>
      <c r="W207" s="685">
        <v>0</v>
      </c>
      <c r="X207" s="689">
        <f t="shared" si="30"/>
        <v>0</v>
      </c>
      <c r="Y207" s="689">
        <f t="shared" si="31"/>
        <v>0</v>
      </c>
      <c r="Z207" s="652" t="s">
        <v>721</v>
      </c>
      <c r="AA207" s="652" t="s">
        <v>35</v>
      </c>
      <c r="AB207" s="666" t="s">
        <v>1729</v>
      </c>
      <c r="AD207" s="665"/>
    </row>
    <row r="208" spans="2:31" hidden="1" x14ac:dyDescent="0.2">
      <c r="B208" s="673" t="s">
        <v>2103</v>
      </c>
      <c r="C208" s="666" t="s">
        <v>2104</v>
      </c>
      <c r="D208" s="666" t="s">
        <v>3</v>
      </c>
      <c r="E208" s="684">
        <v>0</v>
      </c>
      <c r="F208" s="652">
        <f>SUMIFS(OBE!$H:$H,OBE!$C:$C,'Standalone TB'!$B208,OBE!$B:$B,"A21")</f>
        <v>0</v>
      </c>
      <c r="G208" s="652">
        <f>SUMIFS('Elimination - BS'!I:I,'Elimination - BS'!D:D,'Standalone TB'!B208,'Elimination - BS'!A:A,"EA21")</f>
        <v>0</v>
      </c>
      <c r="H208" s="652">
        <f t="shared" si="25"/>
        <v>0</v>
      </c>
      <c r="I208" s="652">
        <v>0</v>
      </c>
      <c r="J208" s="684">
        <v>0</v>
      </c>
      <c r="K208" s="652">
        <f>SUMIFS(OBE!$H:$H,OBE!$C:$C,'Standalone TB'!$B208,OBE!$B:$B,"A22")</f>
        <v>0</v>
      </c>
      <c r="L208" s="652">
        <f>SUMIFS('Elimination - BS'!I:I,'Elimination - BS'!D:D,'Standalone TB'!B208,'Elimination - BS'!A:A,"EA22")</f>
        <v>0</v>
      </c>
      <c r="M208" s="652">
        <f t="shared" si="26"/>
        <v>0</v>
      </c>
      <c r="N208" s="652">
        <f t="shared" si="27"/>
        <v>0</v>
      </c>
      <c r="O208" s="652">
        <v>0</v>
      </c>
      <c r="P208" s="685">
        <v>0</v>
      </c>
      <c r="Q208" s="684">
        <v>0</v>
      </c>
      <c r="R208" s="652">
        <f>SUMIFS(OBE!$H:$H,OBE!$C:$C,'Standalone TB'!$B208,OBE!$B:$B,"A20")</f>
        <v>0</v>
      </c>
      <c r="S208" s="652">
        <f>SUMIFS('Elimination - BS'!I:I,'Elimination - BS'!D:D,'Standalone TB'!B208,'Elimination - BS'!A:A,"EA20")</f>
        <v>0</v>
      </c>
      <c r="T208" s="652">
        <f t="shared" si="28"/>
        <v>0</v>
      </c>
      <c r="U208" s="652">
        <f t="shared" si="29"/>
        <v>0</v>
      </c>
      <c r="V208" s="652">
        <v>0</v>
      </c>
      <c r="W208" s="685">
        <v>0</v>
      </c>
      <c r="X208" s="689">
        <f t="shared" si="30"/>
        <v>0</v>
      </c>
      <c r="Y208" s="689">
        <f t="shared" si="31"/>
        <v>0</v>
      </c>
      <c r="Z208" s="652" t="s">
        <v>721</v>
      </c>
      <c r="AA208" s="652" t="s">
        <v>35</v>
      </c>
      <c r="AB208" s="666" t="s">
        <v>1729</v>
      </c>
      <c r="AD208" s="665"/>
    </row>
    <row r="209" spans="2:30" hidden="1" x14ac:dyDescent="0.2">
      <c r="B209" s="673" t="s">
        <v>1631</v>
      </c>
      <c r="C209" s="666" t="s">
        <v>2105</v>
      </c>
      <c r="D209" s="666" t="s">
        <v>3</v>
      </c>
      <c r="E209" s="684">
        <v>0</v>
      </c>
      <c r="F209" s="652">
        <f>SUMIFS(OBE!$H:$H,OBE!$C:$C,'Standalone TB'!$B209,OBE!$B:$B,"A21")</f>
        <v>-21312521.099999998</v>
      </c>
      <c r="G209" s="652">
        <f>SUMIFS('Elimination - BS'!I:I,'Elimination - BS'!D:D,'Standalone TB'!B209,'Elimination - BS'!A:A,"EA21")</f>
        <v>0</v>
      </c>
      <c r="H209" s="652">
        <f t="shared" ref="H209:H226" si="32">SUM(E209:G209)</f>
        <v>-21312521.099999998</v>
      </c>
      <c r="I209" s="652">
        <v>-210625.46</v>
      </c>
      <c r="J209" s="684">
        <v>0</v>
      </c>
      <c r="K209" s="652">
        <f>SUMIFS(OBE!$H:$H,OBE!$C:$C,'Standalone TB'!$B209,OBE!$B:$B,"A22")</f>
        <v>0</v>
      </c>
      <c r="L209" s="652">
        <f>SUMIFS('Elimination - BS'!I:I,'Elimination - BS'!D:D,'Standalone TB'!B209,'Elimination - BS'!A:A,"EA22")</f>
        <v>0</v>
      </c>
      <c r="M209" s="652">
        <f t="shared" si="26"/>
        <v>0</v>
      </c>
      <c r="N209" s="652">
        <f t="shared" si="27"/>
        <v>0</v>
      </c>
      <c r="O209" s="652">
        <v>0</v>
      </c>
      <c r="P209" s="685">
        <v>0</v>
      </c>
      <c r="Q209" s="684">
        <v>0</v>
      </c>
      <c r="R209" s="652">
        <f>SUMIFS(OBE!$H:$H,OBE!$C:$C,'Standalone TB'!$B209,OBE!$B:$B,"A20")</f>
        <v>0</v>
      </c>
      <c r="S209" s="652">
        <f>SUMIFS('Elimination - BS'!I:I,'Elimination - BS'!D:D,'Standalone TB'!B209,'Elimination - BS'!A:A,"EA20")</f>
        <v>0</v>
      </c>
      <c r="T209" s="652">
        <f t="shared" si="28"/>
        <v>0</v>
      </c>
      <c r="U209" s="652">
        <f t="shared" si="29"/>
        <v>0</v>
      </c>
      <c r="V209" s="652">
        <v>0</v>
      </c>
      <c r="W209" s="685">
        <v>0</v>
      </c>
      <c r="X209" s="689">
        <f t="shared" si="30"/>
        <v>-21312521.099999998</v>
      </c>
      <c r="Y209" s="689">
        <f t="shared" si="31"/>
        <v>-210625.46</v>
      </c>
      <c r="Z209" s="652" t="s">
        <v>721</v>
      </c>
      <c r="AA209" s="652" t="s">
        <v>35</v>
      </c>
      <c r="AB209" s="666" t="s">
        <v>1729</v>
      </c>
      <c r="AD209" s="665"/>
    </row>
    <row r="210" spans="2:30" hidden="1" x14ac:dyDescent="0.2">
      <c r="B210" s="673" t="s">
        <v>2106</v>
      </c>
      <c r="C210" s="666" t="s">
        <v>2105</v>
      </c>
      <c r="D210" s="666" t="s">
        <v>3</v>
      </c>
      <c r="E210" s="684">
        <v>0</v>
      </c>
      <c r="F210" s="652">
        <f>SUMIFS(OBE!$H:$H,OBE!$C:$C,'Standalone TB'!$B210,OBE!$B:$B,"A21")</f>
        <v>0</v>
      </c>
      <c r="G210" s="652">
        <f>SUMIFS('Elimination - BS'!I:I,'Elimination - BS'!D:D,'Standalone TB'!B210,'Elimination - BS'!A:A,"EA21")</f>
        <v>0</v>
      </c>
      <c r="H210" s="652">
        <f t="shared" si="32"/>
        <v>0</v>
      </c>
      <c r="I210" s="652">
        <v>0</v>
      </c>
      <c r="J210" s="684">
        <v>0</v>
      </c>
      <c r="K210" s="652">
        <f>SUMIFS(OBE!$H:$H,OBE!$C:$C,'Standalone TB'!$B210,OBE!$B:$B,"A22")</f>
        <v>0</v>
      </c>
      <c r="L210" s="652">
        <f>SUMIFS('Elimination - BS'!I:I,'Elimination - BS'!D:D,'Standalone TB'!B210,'Elimination - BS'!A:A,"EA22")</f>
        <v>0</v>
      </c>
      <c r="M210" s="652">
        <f t="shared" si="26"/>
        <v>0</v>
      </c>
      <c r="N210" s="652">
        <f t="shared" si="27"/>
        <v>0</v>
      </c>
      <c r="O210" s="652">
        <v>0</v>
      </c>
      <c r="P210" s="685">
        <v>0</v>
      </c>
      <c r="Q210" s="684">
        <v>0</v>
      </c>
      <c r="R210" s="652">
        <f>SUMIFS(OBE!$H:$H,OBE!$C:$C,'Standalone TB'!$B210,OBE!$B:$B,"A20")</f>
        <v>0</v>
      </c>
      <c r="S210" s="652">
        <f>SUMIFS('Elimination - BS'!I:I,'Elimination - BS'!D:D,'Standalone TB'!B210,'Elimination - BS'!A:A,"EA20")</f>
        <v>0</v>
      </c>
      <c r="T210" s="652">
        <f t="shared" si="28"/>
        <v>0</v>
      </c>
      <c r="U210" s="652">
        <f t="shared" si="29"/>
        <v>0</v>
      </c>
      <c r="V210" s="652">
        <v>-9000</v>
      </c>
      <c r="W210" s="685">
        <v>-750069.9</v>
      </c>
      <c r="X210" s="689">
        <f t="shared" si="30"/>
        <v>0</v>
      </c>
      <c r="Y210" s="689">
        <f t="shared" si="31"/>
        <v>-750069.9</v>
      </c>
      <c r="Z210" s="652" t="s">
        <v>721</v>
      </c>
      <c r="AA210" s="652" t="s">
        <v>35</v>
      </c>
      <c r="AB210" s="666" t="s">
        <v>1729</v>
      </c>
      <c r="AD210" s="665"/>
    </row>
    <row r="211" spans="2:30" hidden="1" x14ac:dyDescent="0.2">
      <c r="B211" s="673" t="s">
        <v>2107</v>
      </c>
      <c r="C211" s="666" t="s">
        <v>2105</v>
      </c>
      <c r="D211" s="666" t="s">
        <v>3</v>
      </c>
      <c r="E211" s="684">
        <v>0</v>
      </c>
      <c r="F211" s="652">
        <f>SUMIFS(OBE!$H:$H,OBE!$C:$C,'Standalone TB'!$B211,OBE!$B:$B,"A21")</f>
        <v>0</v>
      </c>
      <c r="G211" s="652">
        <f>SUMIFS('Elimination - BS'!I:I,'Elimination - BS'!D:D,'Standalone TB'!B211,'Elimination - BS'!A:A,"EA21")</f>
        <v>0</v>
      </c>
      <c r="H211" s="652">
        <f t="shared" si="32"/>
        <v>0</v>
      </c>
      <c r="I211" s="652">
        <v>-43803.03</v>
      </c>
      <c r="J211" s="684">
        <v>0</v>
      </c>
      <c r="K211" s="652">
        <f>SUMIFS(OBE!$H:$H,OBE!$C:$C,'Standalone TB'!$B211,OBE!$B:$B,"A22")</f>
        <v>0</v>
      </c>
      <c r="L211" s="652">
        <f>SUMIFS('Elimination - BS'!I:I,'Elimination - BS'!D:D,'Standalone TB'!B211,'Elimination - BS'!A:A,"EA22")</f>
        <v>0</v>
      </c>
      <c r="M211" s="652">
        <f t="shared" si="26"/>
        <v>0</v>
      </c>
      <c r="N211" s="652">
        <f t="shared" si="27"/>
        <v>0</v>
      </c>
      <c r="O211" s="652">
        <v>0</v>
      </c>
      <c r="P211" s="685">
        <v>0</v>
      </c>
      <c r="Q211" s="684">
        <v>0</v>
      </c>
      <c r="R211" s="652">
        <f>SUMIFS(OBE!$H:$H,OBE!$C:$C,'Standalone TB'!$B211,OBE!$B:$B,"A20")</f>
        <v>0</v>
      </c>
      <c r="S211" s="652">
        <f>SUMIFS('Elimination - BS'!I:I,'Elimination - BS'!D:D,'Standalone TB'!B211,'Elimination - BS'!A:A,"EA20")</f>
        <v>0</v>
      </c>
      <c r="T211" s="652">
        <f t="shared" si="28"/>
        <v>0</v>
      </c>
      <c r="U211" s="652">
        <f t="shared" si="29"/>
        <v>0</v>
      </c>
      <c r="V211" s="652">
        <v>-4994.05</v>
      </c>
      <c r="W211" s="685">
        <v>-416209.62045500003</v>
      </c>
      <c r="X211" s="689">
        <f t="shared" si="30"/>
        <v>0</v>
      </c>
      <c r="Y211" s="689">
        <f t="shared" si="31"/>
        <v>-460012.650455</v>
      </c>
      <c r="Z211" s="652" t="s">
        <v>721</v>
      </c>
      <c r="AA211" s="652" t="s">
        <v>35</v>
      </c>
      <c r="AB211" s="666" t="s">
        <v>1729</v>
      </c>
      <c r="AD211" s="665"/>
    </row>
    <row r="212" spans="2:30" hidden="1" x14ac:dyDescent="0.2">
      <c r="B212" s="673" t="s">
        <v>1666</v>
      </c>
      <c r="C212" s="666" t="s">
        <v>2088</v>
      </c>
      <c r="D212" s="666" t="s">
        <v>3</v>
      </c>
      <c r="E212" s="684">
        <v>0</v>
      </c>
      <c r="F212" s="652">
        <f>SUMIFS(OBE!$H:$H,OBE!$C:$C,'Standalone TB'!$B212,OBE!$B:$B,"A21")</f>
        <v>4222000</v>
      </c>
      <c r="G212" s="652">
        <f>SUMIFS('Elimination - BS'!I:I,'Elimination - BS'!D:D,'Standalone TB'!B212,'Elimination - BS'!A:A,"EA21")</f>
        <v>0</v>
      </c>
      <c r="H212" s="652">
        <f t="shared" si="32"/>
        <v>4222000</v>
      </c>
      <c r="I212" s="652">
        <v>4222000</v>
      </c>
      <c r="J212" s="684">
        <v>0</v>
      </c>
      <c r="K212" s="652">
        <f>SUMIFS(OBE!$H:$H,OBE!$C:$C,'Standalone TB'!$B212,OBE!$B:$B,"A22")</f>
        <v>0</v>
      </c>
      <c r="L212" s="652">
        <f>SUMIFS('Elimination - BS'!I:I,'Elimination - BS'!D:D,'Standalone TB'!B212,'Elimination - BS'!A:A,"EA22")</f>
        <v>0</v>
      </c>
      <c r="M212" s="652">
        <f t="shared" si="26"/>
        <v>0</v>
      </c>
      <c r="N212" s="652">
        <f t="shared" si="27"/>
        <v>0</v>
      </c>
      <c r="O212" s="652">
        <v>0</v>
      </c>
      <c r="P212" s="685">
        <v>0</v>
      </c>
      <c r="Q212" s="684">
        <v>0</v>
      </c>
      <c r="R212" s="652">
        <f>SUMIFS(OBE!$H:$H,OBE!$C:$C,'Standalone TB'!$B212,OBE!$B:$B,"A20")</f>
        <v>0</v>
      </c>
      <c r="S212" s="652">
        <f>SUMIFS('Elimination - BS'!I:I,'Elimination - BS'!D:D,'Standalone TB'!B212,'Elimination - BS'!A:A,"EA20")</f>
        <v>0</v>
      </c>
      <c r="T212" s="652">
        <f t="shared" si="28"/>
        <v>0</v>
      </c>
      <c r="U212" s="652">
        <f t="shared" si="29"/>
        <v>0</v>
      </c>
      <c r="V212" s="652">
        <v>0</v>
      </c>
      <c r="W212" s="685">
        <v>0</v>
      </c>
      <c r="X212" s="689">
        <f t="shared" si="30"/>
        <v>4222000</v>
      </c>
      <c r="Y212" s="689">
        <f>I212+P212+W212</f>
        <v>4222000</v>
      </c>
      <c r="Z212" s="652" t="s">
        <v>95</v>
      </c>
      <c r="AA212" s="652" t="s">
        <v>9</v>
      </c>
      <c r="AB212" s="666" t="s">
        <v>1893</v>
      </c>
      <c r="AD212" s="665"/>
    </row>
    <row r="213" spans="2:30" hidden="1" x14ac:dyDescent="0.2">
      <c r="B213" s="673" t="s">
        <v>2108</v>
      </c>
      <c r="C213" s="666" t="s">
        <v>2109</v>
      </c>
      <c r="D213" s="666" t="s">
        <v>3</v>
      </c>
      <c r="E213" s="684">
        <v>0</v>
      </c>
      <c r="F213" s="652">
        <f>SUMIFS(OBE!$H:$H,OBE!$C:$C,'Standalone TB'!$B213,OBE!$B:$B,"A21")</f>
        <v>0</v>
      </c>
      <c r="G213" s="652">
        <f>SUMIFS('Elimination - BS'!I:I,'Elimination - BS'!D:D,'Standalone TB'!B213,'Elimination - BS'!A:A,"EA21")</f>
        <v>0</v>
      </c>
      <c r="H213" s="652">
        <f t="shared" si="32"/>
        <v>0</v>
      </c>
      <c r="I213" s="652">
        <v>0</v>
      </c>
      <c r="J213" s="684">
        <v>0</v>
      </c>
      <c r="K213" s="652">
        <f>SUMIFS(OBE!$H:$H,OBE!$C:$C,'Standalone TB'!$B213,OBE!$B:$B,"A22")</f>
        <v>0</v>
      </c>
      <c r="L213" s="652">
        <f>SUMIFS('Elimination - BS'!I:I,'Elimination - BS'!D:D,'Standalone TB'!B213,'Elimination - BS'!A:A,"EA22")</f>
        <v>0</v>
      </c>
      <c r="M213" s="652">
        <f t="shared" si="26"/>
        <v>0</v>
      </c>
      <c r="N213" s="652">
        <f t="shared" si="27"/>
        <v>0</v>
      </c>
      <c r="O213" s="652">
        <v>0</v>
      </c>
      <c r="P213" s="685">
        <v>0</v>
      </c>
      <c r="Q213" s="684">
        <v>0</v>
      </c>
      <c r="R213" s="652">
        <f>SUMIFS(OBE!$H:$H,OBE!$C:$C,'Standalone TB'!$B213,OBE!$B:$B,"A20")</f>
        <v>0</v>
      </c>
      <c r="S213" s="652">
        <f>SUMIFS('Elimination - BS'!I:I,'Elimination - BS'!D:D,'Standalone TB'!B213,'Elimination - BS'!A:A,"EA20")</f>
        <v>0</v>
      </c>
      <c r="T213" s="652">
        <f t="shared" si="28"/>
        <v>0</v>
      </c>
      <c r="U213" s="652">
        <f t="shared" si="29"/>
        <v>0</v>
      </c>
      <c r="V213" s="652">
        <v>0</v>
      </c>
      <c r="W213" s="685">
        <v>0</v>
      </c>
      <c r="X213" s="689">
        <f t="shared" si="30"/>
        <v>0</v>
      </c>
      <c r="Y213" s="689">
        <f t="shared" si="31"/>
        <v>0</v>
      </c>
      <c r="Z213" s="652" t="s">
        <v>721</v>
      </c>
      <c r="AA213" s="652" t="s">
        <v>35</v>
      </c>
      <c r="AB213" s="666" t="s">
        <v>1729</v>
      </c>
      <c r="AD213" s="665"/>
    </row>
    <row r="214" spans="2:30" hidden="1" x14ac:dyDescent="0.2">
      <c r="B214" s="673" t="s">
        <v>2110</v>
      </c>
      <c r="C214" s="666" t="s">
        <v>2111</v>
      </c>
      <c r="D214" s="666" t="s">
        <v>3</v>
      </c>
      <c r="E214" s="684">
        <v>0</v>
      </c>
      <c r="F214" s="652">
        <f>SUMIFS(OBE!$H:$H,OBE!$C:$C,'Standalone TB'!$B214,OBE!$B:$B,"A21")</f>
        <v>0</v>
      </c>
      <c r="G214" s="652">
        <f>SUMIFS('Elimination - BS'!I:I,'Elimination - BS'!D:D,'Standalone TB'!B214,'Elimination - BS'!A:A,"EA21")</f>
        <v>0</v>
      </c>
      <c r="H214" s="652">
        <f t="shared" si="32"/>
        <v>0</v>
      </c>
      <c r="I214" s="652">
        <v>0</v>
      </c>
      <c r="J214" s="684">
        <v>0</v>
      </c>
      <c r="K214" s="652">
        <f>SUMIFS(OBE!$H:$H,OBE!$C:$C,'Standalone TB'!$B214,OBE!$B:$B,"A22")</f>
        <v>0</v>
      </c>
      <c r="L214" s="652">
        <f>SUMIFS('Elimination - BS'!I:I,'Elimination - BS'!D:D,'Standalone TB'!B214,'Elimination - BS'!A:A,"EA22")</f>
        <v>0</v>
      </c>
      <c r="M214" s="652">
        <f t="shared" si="26"/>
        <v>0</v>
      </c>
      <c r="N214" s="652">
        <f t="shared" si="27"/>
        <v>0</v>
      </c>
      <c r="O214" s="652">
        <v>0</v>
      </c>
      <c r="P214" s="685">
        <v>0</v>
      </c>
      <c r="Q214" s="684">
        <v>0</v>
      </c>
      <c r="R214" s="652">
        <f>SUMIFS(OBE!$H:$H,OBE!$C:$C,'Standalone TB'!$B214,OBE!$B:$B,"A20")</f>
        <v>0</v>
      </c>
      <c r="S214" s="652">
        <f>SUMIFS('Elimination - BS'!I:I,'Elimination - BS'!D:D,'Standalone TB'!B214,'Elimination - BS'!A:A,"EA20")</f>
        <v>0</v>
      </c>
      <c r="T214" s="652">
        <f t="shared" si="28"/>
        <v>0</v>
      </c>
      <c r="U214" s="652">
        <f t="shared" si="29"/>
        <v>0</v>
      </c>
      <c r="V214" s="652">
        <v>0</v>
      </c>
      <c r="W214" s="685">
        <v>0</v>
      </c>
      <c r="X214" s="689">
        <f t="shared" si="30"/>
        <v>0</v>
      </c>
      <c r="Y214" s="689">
        <f t="shared" si="31"/>
        <v>0</v>
      </c>
      <c r="Z214" s="652"/>
      <c r="AA214" s="652"/>
      <c r="AB214" s="666" t="s">
        <v>2112</v>
      </c>
      <c r="AD214" s="665"/>
    </row>
    <row r="215" spans="2:30" hidden="1" x14ac:dyDescent="0.2">
      <c r="B215" s="673" t="s">
        <v>2113</v>
      </c>
      <c r="C215" s="666" t="s">
        <v>2111</v>
      </c>
      <c r="D215" s="666" t="s">
        <v>3</v>
      </c>
      <c r="E215" s="684">
        <v>0</v>
      </c>
      <c r="F215" s="652">
        <f>SUMIFS(OBE!$H:$H,OBE!$C:$C,'Standalone TB'!$B215,OBE!$B:$B,"A21")</f>
        <v>0</v>
      </c>
      <c r="G215" s="652">
        <f>SUMIFS('Elimination - BS'!I:I,'Elimination - BS'!D:D,'Standalone TB'!B215,'Elimination - BS'!A:A,"EA21")</f>
        <v>0</v>
      </c>
      <c r="H215" s="652">
        <f t="shared" si="32"/>
        <v>0</v>
      </c>
      <c r="I215" s="652">
        <v>0</v>
      </c>
      <c r="J215" s="684">
        <v>0</v>
      </c>
      <c r="K215" s="652">
        <f>SUMIFS(OBE!$H:$H,OBE!$C:$C,'Standalone TB'!$B215,OBE!$B:$B,"A22")</f>
        <v>0</v>
      </c>
      <c r="L215" s="652">
        <f>SUMIFS('Elimination - BS'!I:I,'Elimination - BS'!D:D,'Standalone TB'!B215,'Elimination - BS'!A:A,"EA22")</f>
        <v>0</v>
      </c>
      <c r="M215" s="652">
        <f t="shared" si="26"/>
        <v>0</v>
      </c>
      <c r="N215" s="652">
        <f t="shared" si="27"/>
        <v>0</v>
      </c>
      <c r="O215" s="652">
        <v>0</v>
      </c>
      <c r="P215" s="685">
        <v>0</v>
      </c>
      <c r="Q215" s="684">
        <v>0</v>
      </c>
      <c r="R215" s="652">
        <f>SUMIFS(OBE!$H:$H,OBE!$C:$C,'Standalone TB'!$B215,OBE!$B:$B,"A20")</f>
        <v>0</v>
      </c>
      <c r="S215" s="652">
        <f>SUMIFS('Elimination - BS'!I:I,'Elimination - BS'!D:D,'Standalone TB'!B215,'Elimination - BS'!A:A,"EA20")</f>
        <v>0</v>
      </c>
      <c r="T215" s="652">
        <f t="shared" si="28"/>
        <v>0</v>
      </c>
      <c r="U215" s="652">
        <f t="shared" si="29"/>
        <v>0</v>
      </c>
      <c r="V215" s="652">
        <v>0</v>
      </c>
      <c r="W215" s="685">
        <v>0</v>
      </c>
      <c r="X215" s="689">
        <f t="shared" si="30"/>
        <v>0</v>
      </c>
      <c r="Y215" s="689">
        <f t="shared" si="31"/>
        <v>0</v>
      </c>
      <c r="Z215" s="652"/>
      <c r="AA215" s="652"/>
      <c r="AB215" s="666" t="s">
        <v>2112</v>
      </c>
      <c r="AD215" s="665"/>
    </row>
    <row r="216" spans="2:30" hidden="1" x14ac:dyDescent="0.2">
      <c r="B216" s="673" t="s">
        <v>2114</v>
      </c>
      <c r="C216" s="666" t="s">
        <v>2115</v>
      </c>
      <c r="D216" s="666" t="s">
        <v>3</v>
      </c>
      <c r="E216" s="684">
        <v>182349150.69</v>
      </c>
      <c r="F216" s="652">
        <f>SUMIFS(OBE!$H:$H,OBE!$C:$C,'Standalone TB'!$B216,OBE!$B:$B,"A21")</f>
        <v>0</v>
      </c>
      <c r="G216" s="652">
        <f>SUMIFS('Elimination - BS'!I:I,'Elimination - BS'!D:D,'Standalone TB'!B216,'Elimination - BS'!A:A,"EA21")</f>
        <v>0</v>
      </c>
      <c r="H216" s="652">
        <f t="shared" si="32"/>
        <v>182349150.69</v>
      </c>
      <c r="I216" s="652">
        <v>41539275.969999999</v>
      </c>
      <c r="J216" s="684">
        <v>0</v>
      </c>
      <c r="K216" s="652">
        <f>SUMIFS(OBE!$H:$H,OBE!$C:$C,'Standalone TB'!$B216,OBE!$B:$B,"A22")</f>
        <v>0</v>
      </c>
      <c r="L216" s="652">
        <f>SUMIFS('Elimination - BS'!I:I,'Elimination - BS'!D:D,'Standalone TB'!B216,'Elimination - BS'!A:A,"EA22")</f>
        <v>0</v>
      </c>
      <c r="M216" s="652">
        <f t="shared" si="26"/>
        <v>0</v>
      </c>
      <c r="N216" s="652">
        <f t="shared" si="27"/>
        <v>0</v>
      </c>
      <c r="O216" s="652">
        <v>0</v>
      </c>
      <c r="P216" s="685">
        <v>0</v>
      </c>
      <c r="Q216" s="684">
        <v>0</v>
      </c>
      <c r="R216" s="652">
        <f>SUMIFS(OBE!$H:$H,OBE!$C:$C,'Standalone TB'!$B216,OBE!$B:$B,"A20")</f>
        <v>0</v>
      </c>
      <c r="S216" s="652">
        <f>SUMIFS('Elimination - BS'!I:I,'Elimination - BS'!D:D,'Standalone TB'!B216,'Elimination - BS'!A:A,"EA20")</f>
        <v>0</v>
      </c>
      <c r="T216" s="652">
        <f t="shared" si="28"/>
        <v>0</v>
      </c>
      <c r="U216" s="652">
        <f t="shared" si="29"/>
        <v>0</v>
      </c>
      <c r="V216" s="652">
        <v>0</v>
      </c>
      <c r="W216" s="685">
        <v>0</v>
      </c>
      <c r="X216" s="689">
        <f t="shared" si="30"/>
        <v>182349150.69</v>
      </c>
      <c r="Y216" s="689">
        <f t="shared" si="31"/>
        <v>41539275.969999999</v>
      </c>
      <c r="Z216" s="652" t="s">
        <v>593</v>
      </c>
      <c r="AA216" s="652" t="s">
        <v>9</v>
      </c>
      <c r="AB216" s="666" t="s">
        <v>1919</v>
      </c>
      <c r="AD216" s="665"/>
    </row>
    <row r="217" spans="2:30" hidden="1" x14ac:dyDescent="0.2">
      <c r="B217" s="673" t="s">
        <v>2116</v>
      </c>
      <c r="C217" s="666" t="s">
        <v>2117</v>
      </c>
      <c r="D217" s="666" t="s">
        <v>3</v>
      </c>
      <c r="E217" s="684">
        <v>55909933.350000001</v>
      </c>
      <c r="F217" s="652">
        <f>SUMIFS(OBE!$H:$H,OBE!$C:$C,'Standalone TB'!$B217,OBE!$B:$B,"A21")</f>
        <v>0</v>
      </c>
      <c r="G217" s="652">
        <f>SUMIFS('Elimination - BS'!I:I,'Elimination - BS'!D:D,'Standalone TB'!B217,'Elimination - BS'!A:A,"EA21")</f>
        <v>0</v>
      </c>
      <c r="H217" s="652">
        <f t="shared" si="32"/>
        <v>55909933.350000001</v>
      </c>
      <c r="I217" s="652">
        <v>2367034.5099999998</v>
      </c>
      <c r="J217" s="684">
        <v>0</v>
      </c>
      <c r="K217" s="652">
        <f>SUMIFS(OBE!$H:$H,OBE!$C:$C,'Standalone TB'!$B217,OBE!$B:$B,"A22")</f>
        <v>0</v>
      </c>
      <c r="L217" s="652">
        <f>SUMIFS('Elimination - BS'!I:I,'Elimination - BS'!D:D,'Standalone TB'!B217,'Elimination - BS'!A:A,"EA22")</f>
        <v>0</v>
      </c>
      <c r="M217" s="652">
        <f t="shared" si="26"/>
        <v>0</v>
      </c>
      <c r="N217" s="652">
        <f t="shared" si="27"/>
        <v>0</v>
      </c>
      <c r="O217" s="652">
        <v>0</v>
      </c>
      <c r="P217" s="685">
        <v>0</v>
      </c>
      <c r="Q217" s="684">
        <v>0</v>
      </c>
      <c r="R217" s="652">
        <f>SUMIFS(OBE!$H:$H,OBE!$C:$C,'Standalone TB'!$B217,OBE!$B:$B,"A20")</f>
        <v>0</v>
      </c>
      <c r="S217" s="652">
        <f>SUMIFS('Elimination - BS'!I:I,'Elimination - BS'!D:D,'Standalone TB'!B217,'Elimination - BS'!A:A,"EA20")</f>
        <v>0</v>
      </c>
      <c r="T217" s="652">
        <f t="shared" si="28"/>
        <v>0</v>
      </c>
      <c r="U217" s="652">
        <f t="shared" si="29"/>
        <v>0</v>
      </c>
      <c r="V217" s="652">
        <v>0</v>
      </c>
      <c r="W217" s="685">
        <v>0</v>
      </c>
      <c r="X217" s="689">
        <f t="shared" si="30"/>
        <v>55909933.350000001</v>
      </c>
      <c r="Y217" s="689">
        <f t="shared" si="31"/>
        <v>2367034.5099999998</v>
      </c>
      <c r="Z217" s="652" t="s">
        <v>594</v>
      </c>
      <c r="AA217" s="652" t="s">
        <v>9</v>
      </c>
      <c r="AB217" s="666" t="s">
        <v>1919</v>
      </c>
      <c r="AD217" s="665"/>
    </row>
    <row r="218" spans="2:30" hidden="1" x14ac:dyDescent="0.2">
      <c r="B218" s="673" t="s">
        <v>2118</v>
      </c>
      <c r="C218" s="666" t="s">
        <v>2119</v>
      </c>
      <c r="D218" s="666" t="s">
        <v>3</v>
      </c>
      <c r="E218" s="684">
        <v>15194988.119999999</v>
      </c>
      <c r="F218" s="652">
        <f>SUMIFS(OBE!$H:$H,OBE!$C:$C,'Standalone TB'!$B218,OBE!$B:$B,"A21")</f>
        <v>0</v>
      </c>
      <c r="G218" s="652">
        <f>SUMIFS('Elimination - BS'!I:I,'Elimination - BS'!D:D,'Standalone TB'!B218,'Elimination - BS'!A:A,"EA21")</f>
        <v>0</v>
      </c>
      <c r="H218" s="652">
        <f t="shared" si="32"/>
        <v>15194988.119999999</v>
      </c>
      <c r="I218" s="652">
        <v>2871642.99</v>
      </c>
      <c r="J218" s="684">
        <v>0</v>
      </c>
      <c r="K218" s="652">
        <f>SUMIFS(OBE!$H:$H,OBE!$C:$C,'Standalone TB'!$B218,OBE!$B:$B,"A22")</f>
        <v>0</v>
      </c>
      <c r="L218" s="652">
        <f>SUMIFS('Elimination - BS'!I:I,'Elimination - BS'!D:D,'Standalone TB'!B218,'Elimination - BS'!A:A,"EA22")</f>
        <v>0</v>
      </c>
      <c r="M218" s="652">
        <f t="shared" si="26"/>
        <v>0</v>
      </c>
      <c r="N218" s="652">
        <f t="shared" si="27"/>
        <v>0</v>
      </c>
      <c r="O218" s="652">
        <v>0</v>
      </c>
      <c r="P218" s="685">
        <v>0</v>
      </c>
      <c r="Q218" s="684">
        <v>0</v>
      </c>
      <c r="R218" s="652">
        <f>SUMIFS(OBE!$H:$H,OBE!$C:$C,'Standalone TB'!$B218,OBE!$B:$B,"A20")</f>
        <v>0</v>
      </c>
      <c r="S218" s="652">
        <f>SUMIFS('Elimination - BS'!I:I,'Elimination - BS'!D:D,'Standalone TB'!B218,'Elimination - BS'!A:A,"EA20")</f>
        <v>0</v>
      </c>
      <c r="T218" s="652">
        <f t="shared" si="28"/>
        <v>0</v>
      </c>
      <c r="U218" s="652">
        <f t="shared" si="29"/>
        <v>0</v>
      </c>
      <c r="V218" s="652">
        <v>0</v>
      </c>
      <c r="W218" s="685">
        <v>0</v>
      </c>
      <c r="X218" s="689">
        <f t="shared" si="30"/>
        <v>15194988.119999999</v>
      </c>
      <c r="Y218" s="689">
        <f t="shared" si="31"/>
        <v>2871642.99</v>
      </c>
      <c r="Z218" s="652" t="s">
        <v>594</v>
      </c>
      <c r="AA218" s="652" t="s">
        <v>9</v>
      </c>
      <c r="AB218" s="666" t="s">
        <v>1919</v>
      </c>
      <c r="AD218" s="665"/>
    </row>
    <row r="219" spans="2:30" hidden="1" x14ac:dyDescent="0.2">
      <c r="B219" s="673" t="s">
        <v>2120</v>
      </c>
      <c r="C219" s="666" t="s">
        <v>2121</v>
      </c>
      <c r="D219" s="666" t="s">
        <v>3</v>
      </c>
      <c r="E219" s="684">
        <v>8397922.2599999998</v>
      </c>
      <c r="F219" s="652">
        <f>SUMIFS(OBE!$H:$H,OBE!$C:$C,'Standalone TB'!$B219,OBE!$B:$B,"A21")</f>
        <v>0</v>
      </c>
      <c r="G219" s="652">
        <f>SUMIFS('Elimination - BS'!I:I,'Elimination - BS'!D:D,'Standalone TB'!B219,'Elimination - BS'!A:A,"EA21")</f>
        <v>0</v>
      </c>
      <c r="H219" s="652">
        <f t="shared" si="32"/>
        <v>8397922.2599999998</v>
      </c>
      <c r="I219" s="652">
        <v>3755030.79</v>
      </c>
      <c r="J219" s="684">
        <v>0</v>
      </c>
      <c r="K219" s="652">
        <f>SUMIFS(OBE!$H:$H,OBE!$C:$C,'Standalone TB'!$B219,OBE!$B:$B,"A22")</f>
        <v>0</v>
      </c>
      <c r="L219" s="652">
        <f>SUMIFS('Elimination - BS'!I:I,'Elimination - BS'!D:D,'Standalone TB'!B219,'Elimination - BS'!A:A,"EA22")</f>
        <v>0</v>
      </c>
      <c r="M219" s="652">
        <f t="shared" si="26"/>
        <v>0</v>
      </c>
      <c r="N219" s="652">
        <f t="shared" si="27"/>
        <v>0</v>
      </c>
      <c r="O219" s="652">
        <v>0</v>
      </c>
      <c r="P219" s="685">
        <v>0</v>
      </c>
      <c r="Q219" s="684">
        <v>0</v>
      </c>
      <c r="R219" s="652">
        <f>SUMIFS(OBE!$H:$H,OBE!$C:$C,'Standalone TB'!$B219,OBE!$B:$B,"A20")</f>
        <v>0</v>
      </c>
      <c r="S219" s="652">
        <f>SUMIFS('Elimination - BS'!I:I,'Elimination - BS'!D:D,'Standalone TB'!B219,'Elimination - BS'!A:A,"EA20")</f>
        <v>0</v>
      </c>
      <c r="T219" s="652">
        <f t="shared" si="28"/>
        <v>0</v>
      </c>
      <c r="U219" s="652">
        <f t="shared" si="29"/>
        <v>0</v>
      </c>
      <c r="V219" s="652">
        <v>0</v>
      </c>
      <c r="W219" s="685">
        <v>0</v>
      </c>
      <c r="X219" s="689">
        <f t="shared" si="30"/>
        <v>8397922.2599999998</v>
      </c>
      <c r="Y219" s="689">
        <f t="shared" si="31"/>
        <v>3755030.79</v>
      </c>
      <c r="Z219" s="652" t="s">
        <v>593</v>
      </c>
      <c r="AA219" s="652" t="s">
        <v>9</v>
      </c>
      <c r="AB219" s="666" t="s">
        <v>1919</v>
      </c>
      <c r="AD219" s="665"/>
    </row>
    <row r="220" spans="2:30" hidden="1" x14ac:dyDescent="0.2">
      <c r="B220" s="673" t="s">
        <v>2122</v>
      </c>
      <c r="C220" s="666" t="s">
        <v>2123</v>
      </c>
      <c r="D220" s="666" t="s">
        <v>3</v>
      </c>
      <c r="E220" s="684">
        <v>0</v>
      </c>
      <c r="F220" s="652">
        <f>SUMIFS(OBE!$H:$H,OBE!$C:$C,'Standalone TB'!$B220,OBE!$B:$B,"A21")</f>
        <v>0</v>
      </c>
      <c r="G220" s="652">
        <f>SUMIFS('Elimination - BS'!I:I,'Elimination - BS'!D:D,'Standalone TB'!B220,'Elimination - BS'!A:A,"EA21")</f>
        <v>0</v>
      </c>
      <c r="H220" s="652">
        <f t="shared" si="32"/>
        <v>0</v>
      </c>
      <c r="I220" s="652">
        <v>0</v>
      </c>
      <c r="J220" s="684">
        <v>0</v>
      </c>
      <c r="K220" s="652">
        <f>SUMIFS(OBE!$H:$H,OBE!$C:$C,'Standalone TB'!$B220,OBE!$B:$B,"A22")</f>
        <v>0</v>
      </c>
      <c r="L220" s="652">
        <f>SUMIFS('Elimination - BS'!I:I,'Elimination - BS'!D:D,'Standalone TB'!B220,'Elimination - BS'!A:A,"EA22")</f>
        <v>0</v>
      </c>
      <c r="M220" s="652">
        <f t="shared" si="26"/>
        <v>0</v>
      </c>
      <c r="N220" s="652">
        <f t="shared" si="27"/>
        <v>0</v>
      </c>
      <c r="O220" s="652">
        <v>0</v>
      </c>
      <c r="P220" s="685">
        <v>0</v>
      </c>
      <c r="Q220" s="684">
        <v>0</v>
      </c>
      <c r="R220" s="652">
        <f>SUMIFS(OBE!$H:$H,OBE!$C:$C,'Standalone TB'!$B220,OBE!$B:$B,"A20")</f>
        <v>0</v>
      </c>
      <c r="S220" s="652">
        <f>SUMIFS('Elimination - BS'!I:I,'Elimination - BS'!D:D,'Standalone TB'!B220,'Elimination - BS'!A:A,"EA20")</f>
        <v>0</v>
      </c>
      <c r="T220" s="652">
        <f t="shared" si="28"/>
        <v>0</v>
      </c>
      <c r="U220" s="652">
        <f t="shared" si="29"/>
        <v>0</v>
      </c>
      <c r="V220" s="652">
        <v>0</v>
      </c>
      <c r="W220" s="685">
        <v>0</v>
      </c>
      <c r="X220" s="689">
        <f t="shared" si="30"/>
        <v>0</v>
      </c>
      <c r="Y220" s="689">
        <f t="shared" si="31"/>
        <v>0</v>
      </c>
      <c r="Z220" s="652" t="s">
        <v>593</v>
      </c>
      <c r="AA220" s="652" t="s">
        <v>9</v>
      </c>
      <c r="AB220" s="666" t="s">
        <v>1919</v>
      </c>
      <c r="AD220" s="665"/>
    </row>
    <row r="221" spans="2:30" hidden="1" x14ac:dyDescent="0.2">
      <c r="B221" s="673" t="s">
        <v>2124</v>
      </c>
      <c r="C221" s="666" t="s">
        <v>2125</v>
      </c>
      <c r="D221" s="666" t="s">
        <v>3</v>
      </c>
      <c r="E221" s="684">
        <v>142306.23999999999</v>
      </c>
      <c r="F221" s="652">
        <f>SUMIFS(OBE!$H:$H,OBE!$C:$C,'Standalone TB'!$B221,OBE!$B:$B,"A21")</f>
        <v>0</v>
      </c>
      <c r="G221" s="652">
        <f>SUMIFS('Elimination - BS'!I:I,'Elimination - BS'!D:D,'Standalone TB'!B221,'Elimination - BS'!A:A,"EA21")</f>
        <v>0</v>
      </c>
      <c r="H221" s="652">
        <f t="shared" si="32"/>
        <v>142306.23999999999</v>
      </c>
      <c r="I221" s="652">
        <v>142306.23999999999</v>
      </c>
      <c r="J221" s="684">
        <v>0</v>
      </c>
      <c r="K221" s="652">
        <f>SUMIFS(OBE!$H:$H,OBE!$C:$C,'Standalone TB'!$B221,OBE!$B:$B,"A22")</f>
        <v>0</v>
      </c>
      <c r="L221" s="652">
        <f>SUMIFS('Elimination - BS'!I:I,'Elimination - BS'!D:D,'Standalone TB'!B221,'Elimination - BS'!A:A,"EA22")</f>
        <v>0</v>
      </c>
      <c r="M221" s="652">
        <f t="shared" si="26"/>
        <v>0</v>
      </c>
      <c r="N221" s="652">
        <f t="shared" si="27"/>
        <v>0</v>
      </c>
      <c r="O221" s="652">
        <v>0</v>
      </c>
      <c r="P221" s="685">
        <v>0</v>
      </c>
      <c r="Q221" s="684">
        <v>0</v>
      </c>
      <c r="R221" s="652">
        <f>SUMIFS(OBE!$H:$H,OBE!$C:$C,'Standalone TB'!$B221,OBE!$B:$B,"A20")</f>
        <v>0</v>
      </c>
      <c r="S221" s="652">
        <f>SUMIFS('Elimination - BS'!I:I,'Elimination - BS'!D:D,'Standalone TB'!B221,'Elimination - BS'!A:A,"EA20")</f>
        <v>0</v>
      </c>
      <c r="T221" s="652">
        <f t="shared" si="28"/>
        <v>0</v>
      </c>
      <c r="U221" s="652">
        <f t="shared" si="29"/>
        <v>0</v>
      </c>
      <c r="V221" s="652">
        <v>0</v>
      </c>
      <c r="W221" s="685">
        <v>0</v>
      </c>
      <c r="X221" s="689">
        <f t="shared" si="30"/>
        <v>142306.23999999999</v>
      </c>
      <c r="Y221" s="689">
        <f t="shared" si="31"/>
        <v>142306.23999999999</v>
      </c>
      <c r="Z221" s="652" t="s">
        <v>593</v>
      </c>
      <c r="AA221" s="652" t="s">
        <v>9</v>
      </c>
      <c r="AB221" s="666" t="s">
        <v>1919</v>
      </c>
      <c r="AD221" s="665"/>
    </row>
    <row r="222" spans="2:30" hidden="1" x14ac:dyDescent="0.2">
      <c r="B222" s="673" t="s">
        <v>2126</v>
      </c>
      <c r="C222" s="666" t="s">
        <v>2127</v>
      </c>
      <c r="D222" s="666" t="s">
        <v>3</v>
      </c>
      <c r="E222" s="684">
        <v>289466.09000000003</v>
      </c>
      <c r="F222" s="652">
        <f>SUMIFS(OBE!$H:$H,OBE!$C:$C,'Standalone TB'!$B222,OBE!$B:$B,"A21")</f>
        <v>0</v>
      </c>
      <c r="G222" s="652">
        <f>SUMIFS('Elimination - BS'!I:I,'Elimination - BS'!D:D,'Standalone TB'!B222,'Elimination - BS'!A:A,"EA21")</f>
        <v>0</v>
      </c>
      <c r="H222" s="652">
        <f t="shared" si="32"/>
        <v>289466.09000000003</v>
      </c>
      <c r="I222" s="652">
        <v>289466.09000000003</v>
      </c>
      <c r="J222" s="684">
        <v>0</v>
      </c>
      <c r="K222" s="652">
        <f>SUMIFS(OBE!$H:$H,OBE!$C:$C,'Standalone TB'!$B222,OBE!$B:$B,"A22")</f>
        <v>0</v>
      </c>
      <c r="L222" s="652">
        <f>SUMIFS('Elimination - BS'!I:I,'Elimination - BS'!D:D,'Standalone TB'!B222,'Elimination - BS'!A:A,"EA22")</f>
        <v>0</v>
      </c>
      <c r="M222" s="652">
        <f t="shared" si="26"/>
        <v>0</v>
      </c>
      <c r="N222" s="652">
        <f t="shared" si="27"/>
        <v>0</v>
      </c>
      <c r="O222" s="652">
        <v>0</v>
      </c>
      <c r="P222" s="685">
        <v>0</v>
      </c>
      <c r="Q222" s="684">
        <v>0</v>
      </c>
      <c r="R222" s="652">
        <f>SUMIFS(OBE!$H:$H,OBE!$C:$C,'Standalone TB'!$B222,OBE!$B:$B,"A20")</f>
        <v>0</v>
      </c>
      <c r="S222" s="652">
        <f>SUMIFS('Elimination - BS'!I:I,'Elimination - BS'!D:D,'Standalone TB'!B222,'Elimination - BS'!A:A,"EA20")</f>
        <v>0</v>
      </c>
      <c r="T222" s="652">
        <f t="shared" si="28"/>
        <v>0</v>
      </c>
      <c r="U222" s="652">
        <f t="shared" si="29"/>
        <v>0</v>
      </c>
      <c r="V222" s="652">
        <v>0</v>
      </c>
      <c r="W222" s="685">
        <v>0</v>
      </c>
      <c r="X222" s="689">
        <f t="shared" si="30"/>
        <v>289466.09000000003</v>
      </c>
      <c r="Y222" s="689">
        <f t="shared" si="31"/>
        <v>289466.09000000003</v>
      </c>
      <c r="Z222" s="652" t="s">
        <v>593</v>
      </c>
      <c r="AA222" s="652" t="s">
        <v>9</v>
      </c>
      <c r="AB222" s="666" t="s">
        <v>1919</v>
      </c>
      <c r="AD222" s="665"/>
    </row>
    <row r="223" spans="2:30" hidden="1" x14ac:dyDescent="0.2">
      <c r="B223" s="673" t="s">
        <v>2128</v>
      </c>
      <c r="C223" s="666" t="s">
        <v>2129</v>
      </c>
      <c r="D223" s="666" t="s">
        <v>3</v>
      </c>
      <c r="E223" s="684">
        <v>31254855.960000001</v>
      </c>
      <c r="F223" s="652">
        <f>SUMIFS(OBE!$H:$H,OBE!$C:$C,'Standalone TB'!$B223,OBE!$B:$B,"A21")</f>
        <v>0</v>
      </c>
      <c r="G223" s="652">
        <f>SUMIFS('Elimination - BS'!I:I,'Elimination - BS'!D:D,'Standalone TB'!B223,'Elimination - BS'!A:A,"EA21")</f>
        <v>0</v>
      </c>
      <c r="H223" s="652">
        <f t="shared" si="32"/>
        <v>31254855.960000001</v>
      </c>
      <c r="I223" s="652">
        <v>29026113.600000001</v>
      </c>
      <c r="J223" s="684">
        <v>0</v>
      </c>
      <c r="K223" s="652">
        <f>SUMIFS(OBE!$H:$H,OBE!$C:$C,'Standalone TB'!$B223,OBE!$B:$B,"A22")</f>
        <v>0</v>
      </c>
      <c r="L223" s="652">
        <f>SUMIFS('Elimination - BS'!I:I,'Elimination - BS'!D:D,'Standalone TB'!B223,'Elimination - BS'!A:A,"EA22")</f>
        <v>0</v>
      </c>
      <c r="M223" s="652">
        <f t="shared" si="26"/>
        <v>0</v>
      </c>
      <c r="N223" s="652">
        <f t="shared" si="27"/>
        <v>0</v>
      </c>
      <c r="O223" s="652">
        <v>0</v>
      </c>
      <c r="P223" s="685">
        <v>0</v>
      </c>
      <c r="Q223" s="684">
        <v>0</v>
      </c>
      <c r="R223" s="652">
        <f>SUMIFS(OBE!$H:$H,OBE!$C:$C,'Standalone TB'!$B223,OBE!$B:$B,"A20")</f>
        <v>0</v>
      </c>
      <c r="S223" s="652">
        <f>SUMIFS('Elimination - BS'!I:I,'Elimination - BS'!D:D,'Standalone TB'!B223,'Elimination - BS'!A:A,"EA20")</f>
        <v>0</v>
      </c>
      <c r="T223" s="652">
        <f t="shared" si="28"/>
        <v>0</v>
      </c>
      <c r="U223" s="652">
        <f t="shared" si="29"/>
        <v>0</v>
      </c>
      <c r="V223" s="652">
        <v>0</v>
      </c>
      <c r="W223" s="685">
        <v>0</v>
      </c>
      <c r="X223" s="689">
        <f t="shared" si="30"/>
        <v>31254855.960000001</v>
      </c>
      <c r="Y223" s="689">
        <f t="shared" si="31"/>
        <v>29026113.600000001</v>
      </c>
      <c r="Z223" s="652" t="s">
        <v>593</v>
      </c>
      <c r="AA223" s="652" t="s">
        <v>9</v>
      </c>
      <c r="AB223" s="666" t="s">
        <v>1919</v>
      </c>
      <c r="AD223" s="665"/>
    </row>
    <row r="224" spans="2:30" hidden="1" x14ac:dyDescent="0.2">
      <c r="B224" s="673" t="s">
        <v>2130</v>
      </c>
      <c r="C224" s="666" t="s">
        <v>2131</v>
      </c>
      <c r="D224" s="666" t="s">
        <v>3</v>
      </c>
      <c r="E224" s="684">
        <v>646321.36</v>
      </c>
      <c r="F224" s="652">
        <f>SUMIFS(OBE!$H:$H,OBE!$C:$C,'Standalone TB'!$B224,OBE!$B:$B,"A21")</f>
        <v>0</v>
      </c>
      <c r="G224" s="652">
        <f>SUMIFS('Elimination - BS'!I:I,'Elimination - BS'!D:D,'Standalone TB'!B224,'Elimination - BS'!A:A,"EA21")</f>
        <v>0</v>
      </c>
      <c r="H224" s="652">
        <f t="shared" si="32"/>
        <v>646321.36</v>
      </c>
      <c r="I224" s="652">
        <v>489820.36</v>
      </c>
      <c r="J224" s="684">
        <v>0</v>
      </c>
      <c r="K224" s="652">
        <f>SUMIFS(OBE!$H:$H,OBE!$C:$C,'Standalone TB'!$B224,OBE!$B:$B,"A22")</f>
        <v>0</v>
      </c>
      <c r="L224" s="652">
        <f>SUMIFS('Elimination - BS'!I:I,'Elimination - BS'!D:D,'Standalone TB'!B224,'Elimination - BS'!A:A,"EA22")</f>
        <v>0</v>
      </c>
      <c r="M224" s="652">
        <f t="shared" si="26"/>
        <v>0</v>
      </c>
      <c r="N224" s="652">
        <f t="shared" si="27"/>
        <v>0</v>
      </c>
      <c r="O224" s="652">
        <v>0</v>
      </c>
      <c r="P224" s="685">
        <v>0</v>
      </c>
      <c r="Q224" s="684">
        <v>0</v>
      </c>
      <c r="R224" s="652">
        <f>SUMIFS(OBE!$H:$H,OBE!$C:$C,'Standalone TB'!$B224,OBE!$B:$B,"A20")</f>
        <v>0</v>
      </c>
      <c r="S224" s="652">
        <f>SUMIFS('Elimination - BS'!I:I,'Elimination - BS'!D:D,'Standalone TB'!B224,'Elimination - BS'!A:A,"EA20")</f>
        <v>0</v>
      </c>
      <c r="T224" s="652">
        <f t="shared" si="28"/>
        <v>0</v>
      </c>
      <c r="U224" s="652">
        <f t="shared" si="29"/>
        <v>0</v>
      </c>
      <c r="V224" s="652">
        <v>0</v>
      </c>
      <c r="W224" s="685">
        <v>0</v>
      </c>
      <c r="X224" s="689">
        <f t="shared" si="30"/>
        <v>646321.36</v>
      </c>
      <c r="Y224" s="689">
        <f t="shared" si="31"/>
        <v>489820.36</v>
      </c>
      <c r="Z224" s="652" t="s">
        <v>593</v>
      </c>
      <c r="AA224" s="652" t="s">
        <v>9</v>
      </c>
      <c r="AB224" s="666" t="s">
        <v>1919</v>
      </c>
      <c r="AD224" s="665"/>
    </row>
    <row r="225" spans="2:30" hidden="1" x14ac:dyDescent="0.2">
      <c r="B225" s="673" t="s">
        <v>2132</v>
      </c>
      <c r="C225" s="666" t="s">
        <v>2133</v>
      </c>
      <c r="D225" s="666" t="s">
        <v>3</v>
      </c>
      <c r="E225" s="684">
        <v>622071.29</v>
      </c>
      <c r="F225" s="652">
        <f>SUMIFS(OBE!$H:$H,OBE!$C:$C,'Standalone TB'!$B225,OBE!$B:$B,"A21")</f>
        <v>-622070</v>
      </c>
      <c r="G225" s="652">
        <f>SUMIFS('Elimination - BS'!I:I,'Elimination - BS'!D:D,'Standalone TB'!B225,'Elimination - BS'!A:A,"EA21")</f>
        <v>0</v>
      </c>
      <c r="H225" s="652">
        <f t="shared" si="32"/>
        <v>1.2900000000372529</v>
      </c>
      <c r="I225" s="652">
        <v>622071.29</v>
      </c>
      <c r="J225" s="684">
        <v>0</v>
      </c>
      <c r="K225" s="652">
        <f>SUMIFS(OBE!$H:$H,OBE!$C:$C,'Standalone TB'!$B225,OBE!$B:$B,"A22")</f>
        <v>0</v>
      </c>
      <c r="L225" s="652">
        <f>SUMIFS('Elimination - BS'!I:I,'Elimination - BS'!D:D,'Standalone TB'!B225,'Elimination - BS'!A:A,"EA22")</f>
        <v>0</v>
      </c>
      <c r="M225" s="652">
        <f t="shared" si="26"/>
        <v>0</v>
      </c>
      <c r="N225" s="652">
        <f t="shared" si="27"/>
        <v>0</v>
      </c>
      <c r="O225" s="652">
        <v>0</v>
      </c>
      <c r="P225" s="685">
        <v>0</v>
      </c>
      <c r="Q225" s="684">
        <v>0</v>
      </c>
      <c r="R225" s="652">
        <f>SUMIFS(OBE!$H:$H,OBE!$C:$C,'Standalone TB'!$B225,OBE!$B:$B,"A20")</f>
        <v>0</v>
      </c>
      <c r="S225" s="652">
        <f>SUMIFS('Elimination - BS'!I:I,'Elimination - BS'!D:D,'Standalone TB'!B225,'Elimination - BS'!A:A,"EA20")</f>
        <v>0</v>
      </c>
      <c r="T225" s="652">
        <f t="shared" si="28"/>
        <v>0</v>
      </c>
      <c r="U225" s="652">
        <f t="shared" si="29"/>
        <v>0</v>
      </c>
      <c r="V225" s="652">
        <v>0</v>
      </c>
      <c r="W225" s="685">
        <v>0</v>
      </c>
      <c r="X225" s="689">
        <f t="shared" si="30"/>
        <v>1.2900000000372529</v>
      </c>
      <c r="Y225" s="689">
        <f t="shared" si="31"/>
        <v>622071.29</v>
      </c>
      <c r="Z225" s="652" t="s">
        <v>593</v>
      </c>
      <c r="AA225" s="652" t="s">
        <v>9</v>
      </c>
      <c r="AB225" s="666" t="s">
        <v>1919</v>
      </c>
      <c r="AD225" s="665"/>
    </row>
    <row r="226" spans="2:30" hidden="1" x14ac:dyDescent="0.2">
      <c r="B226" s="673" t="s">
        <v>2134</v>
      </c>
      <c r="C226" s="666" t="s">
        <v>2135</v>
      </c>
      <c r="D226" s="666" t="s">
        <v>3</v>
      </c>
      <c r="E226" s="684">
        <v>0</v>
      </c>
      <c r="F226" s="652">
        <f>SUMIFS(OBE!$H:$H,OBE!$C:$C,'Standalone TB'!$B226,OBE!$B:$B,"A21")</f>
        <v>0</v>
      </c>
      <c r="G226" s="652">
        <f>SUMIFS('Elimination - BS'!I:I,'Elimination - BS'!D:D,'Standalone TB'!B226,'Elimination - BS'!A:A,"EA21")</f>
        <v>0</v>
      </c>
      <c r="H226" s="652">
        <f t="shared" si="32"/>
        <v>0</v>
      </c>
      <c r="I226" s="652">
        <v>0.97</v>
      </c>
      <c r="J226" s="684">
        <v>0</v>
      </c>
      <c r="K226" s="652">
        <f>SUMIFS(OBE!$H:$H,OBE!$C:$C,'Standalone TB'!$B226,OBE!$B:$B,"A22")</f>
        <v>0</v>
      </c>
      <c r="L226" s="652">
        <f>SUMIFS('Elimination - BS'!I:I,'Elimination - BS'!D:D,'Standalone TB'!B226,'Elimination - BS'!A:A,"EA22")</f>
        <v>0</v>
      </c>
      <c r="M226" s="652">
        <f t="shared" si="26"/>
        <v>0</v>
      </c>
      <c r="N226" s="652">
        <f t="shared" si="27"/>
        <v>0</v>
      </c>
      <c r="O226" s="652">
        <v>0</v>
      </c>
      <c r="P226" s="685">
        <v>0</v>
      </c>
      <c r="Q226" s="684">
        <v>0</v>
      </c>
      <c r="R226" s="652">
        <f>SUMIFS(OBE!$H:$H,OBE!$C:$C,'Standalone TB'!$B226,OBE!$B:$B,"A20")</f>
        <v>0</v>
      </c>
      <c r="S226" s="652">
        <f>SUMIFS('Elimination - BS'!I:I,'Elimination - BS'!D:D,'Standalone TB'!B226,'Elimination - BS'!A:A,"EA20")</f>
        <v>0</v>
      </c>
      <c r="T226" s="652">
        <f t="shared" si="28"/>
        <v>0</v>
      </c>
      <c r="U226" s="652">
        <f t="shared" si="29"/>
        <v>0</v>
      </c>
      <c r="V226" s="652">
        <v>0</v>
      </c>
      <c r="W226" s="685">
        <v>0</v>
      </c>
      <c r="X226" s="689">
        <f t="shared" si="30"/>
        <v>0</v>
      </c>
      <c r="Y226" s="689">
        <f t="shared" si="31"/>
        <v>0.97</v>
      </c>
      <c r="Z226" s="652" t="s">
        <v>593</v>
      </c>
      <c r="AA226" s="652" t="s">
        <v>9</v>
      </c>
      <c r="AB226" s="666" t="s">
        <v>1919</v>
      </c>
      <c r="AD226" s="665"/>
    </row>
    <row r="227" spans="2:30" hidden="1" x14ac:dyDescent="0.2">
      <c r="B227" s="673" t="s">
        <v>2136</v>
      </c>
      <c r="C227" s="666" t="s">
        <v>2137</v>
      </c>
      <c r="D227" s="666" t="s">
        <v>3</v>
      </c>
      <c r="E227" s="684"/>
      <c r="F227" s="652">
        <f>SUMIFS(OBE!$H:$H,OBE!$C:$C,'Standalone TB'!$B227,OBE!$B:$B,"A21")</f>
        <v>0</v>
      </c>
      <c r="G227" s="652">
        <f>SUMIFS('Elimination - BS'!I:I,'Elimination - BS'!D:D,'Standalone TB'!B227,'Elimination - BS'!A:A,"EA21")</f>
        <v>0</v>
      </c>
      <c r="J227" s="684">
        <v>18566.150000000001</v>
      </c>
      <c r="K227" s="652">
        <f>SUMIFS(OBE!$H:$H,OBE!$C:$C,'Standalone TB'!$B227,OBE!$B:$B,"A22")</f>
        <v>0</v>
      </c>
      <c r="L227" s="652">
        <f>SUMIFS('Elimination - BS'!I:I,'Elimination - BS'!D:D,'Standalone TB'!B227,'Elimination - BS'!A:A,"EA22")</f>
        <v>0</v>
      </c>
      <c r="M227" s="652">
        <f t="shared" si="26"/>
        <v>18566.150000000001</v>
      </c>
      <c r="N227" s="652">
        <f t="shared" si="27"/>
        <v>432478.04491682071</v>
      </c>
      <c r="P227" s="685"/>
      <c r="Q227" s="684">
        <v>0</v>
      </c>
      <c r="R227" s="652">
        <f>SUMIFS(OBE!$H:$H,OBE!$C:$C,'Standalone TB'!$B227,OBE!$B:$B,"A20")</f>
        <v>0</v>
      </c>
      <c r="S227" s="652">
        <f>SUMIFS('Elimination - BS'!I:I,'Elimination - BS'!D:D,'Standalone TB'!B227,'Elimination - BS'!A:A,"EA20")</f>
        <v>0</v>
      </c>
      <c r="T227" s="652">
        <f t="shared" si="28"/>
        <v>0</v>
      </c>
      <c r="U227" s="652">
        <f t="shared" si="29"/>
        <v>0</v>
      </c>
      <c r="W227" s="685"/>
      <c r="X227" s="689">
        <f t="shared" si="30"/>
        <v>432478.04491682071</v>
      </c>
      <c r="Y227" s="689">
        <f t="shared" si="31"/>
        <v>0</v>
      </c>
      <c r="Z227" s="652" t="s">
        <v>593</v>
      </c>
      <c r="AA227" s="652" t="s">
        <v>9</v>
      </c>
      <c r="AB227" s="666" t="s">
        <v>1919</v>
      </c>
      <c r="AD227" s="665"/>
    </row>
    <row r="228" spans="2:30" hidden="1" x14ac:dyDescent="0.2">
      <c r="B228" s="673" t="s">
        <v>2138</v>
      </c>
      <c r="C228" s="666" t="s">
        <v>2135</v>
      </c>
      <c r="D228" s="666" t="s">
        <v>3</v>
      </c>
      <c r="E228" s="684">
        <v>138218865.41999999</v>
      </c>
      <c r="F228" s="652">
        <f>SUMIFS(OBE!$H:$H,OBE!$C:$C,'Standalone TB'!$B228,OBE!$B:$B,"A21")</f>
        <v>0</v>
      </c>
      <c r="G228" s="652">
        <f>SUMIFS('Elimination - BS'!I:I,'Elimination - BS'!D:D,'Standalone TB'!B228,'Elimination - BS'!A:A,"EA21")</f>
        <v>0</v>
      </c>
      <c r="H228" s="652">
        <f t="shared" ref="H228:H291" si="33">SUM(E228:G228)</f>
        <v>138218865.41999999</v>
      </c>
      <c r="I228" s="652">
        <v>1849594.42</v>
      </c>
      <c r="J228" s="684">
        <v>0</v>
      </c>
      <c r="K228" s="652">
        <f>SUMIFS(OBE!$H:$H,OBE!$C:$C,'Standalone TB'!$B228,OBE!$B:$B,"A22")</f>
        <v>0</v>
      </c>
      <c r="L228" s="652">
        <f>SUMIFS('Elimination - BS'!I:I,'Elimination - BS'!D:D,'Standalone TB'!B228,'Elimination - BS'!A:A,"EA22")</f>
        <v>0</v>
      </c>
      <c r="M228" s="652">
        <f t="shared" si="26"/>
        <v>0</v>
      </c>
      <c r="N228" s="652">
        <f t="shared" si="27"/>
        <v>0</v>
      </c>
      <c r="O228" s="652">
        <v>0</v>
      </c>
      <c r="P228" s="685">
        <v>0</v>
      </c>
      <c r="Q228" s="684">
        <v>0</v>
      </c>
      <c r="R228" s="652">
        <f>SUMIFS(OBE!$H:$H,OBE!$C:$C,'Standalone TB'!$B228,OBE!$B:$B,"A20")</f>
        <v>0</v>
      </c>
      <c r="S228" s="652">
        <f>SUMIFS('Elimination - BS'!I:I,'Elimination - BS'!D:D,'Standalone TB'!B228,'Elimination - BS'!A:A,"EA20")</f>
        <v>0</v>
      </c>
      <c r="T228" s="652">
        <f t="shared" si="28"/>
        <v>0</v>
      </c>
      <c r="U228" s="652">
        <f t="shared" si="29"/>
        <v>0</v>
      </c>
      <c r="V228" s="652">
        <v>0</v>
      </c>
      <c r="W228" s="685">
        <v>0</v>
      </c>
      <c r="X228" s="689">
        <f t="shared" si="30"/>
        <v>138218865.41999999</v>
      </c>
      <c r="Y228" s="689">
        <f t="shared" si="31"/>
        <v>1849594.42</v>
      </c>
      <c r="Z228" s="652" t="s">
        <v>593</v>
      </c>
      <c r="AA228" s="652" t="s">
        <v>9</v>
      </c>
      <c r="AB228" s="666" t="s">
        <v>1919</v>
      </c>
      <c r="AD228" s="665"/>
    </row>
    <row r="229" spans="2:30" hidden="1" x14ac:dyDescent="0.2">
      <c r="B229" s="673" t="s">
        <v>2139</v>
      </c>
      <c r="C229" s="666" t="s">
        <v>2140</v>
      </c>
      <c r="D229" s="666" t="s">
        <v>3</v>
      </c>
      <c r="E229" s="684">
        <v>144243.31</v>
      </c>
      <c r="F229" s="652">
        <f>SUMIFS(OBE!$H:$H,OBE!$C:$C,'Standalone TB'!$B229,OBE!$B:$B,"A21")</f>
        <v>0</v>
      </c>
      <c r="G229" s="652">
        <f>SUMIFS('Elimination - BS'!I:I,'Elimination - BS'!D:D,'Standalone TB'!B229,'Elimination - BS'!A:A,"EA21")</f>
        <v>0</v>
      </c>
      <c r="H229" s="652">
        <f t="shared" si="33"/>
        <v>144243.31</v>
      </c>
      <c r="I229" s="652">
        <v>1750064.33</v>
      </c>
      <c r="J229" s="684">
        <v>0</v>
      </c>
      <c r="K229" s="652">
        <f>SUMIFS(OBE!$H:$H,OBE!$C:$C,'Standalone TB'!$B229,OBE!$B:$B,"A22")</f>
        <v>0</v>
      </c>
      <c r="L229" s="652">
        <f>SUMIFS('Elimination - BS'!I:I,'Elimination - BS'!D:D,'Standalone TB'!B229,'Elimination - BS'!A:A,"EA22")</f>
        <v>0</v>
      </c>
      <c r="M229" s="652">
        <f t="shared" si="26"/>
        <v>0</v>
      </c>
      <c r="N229" s="652">
        <f t="shared" si="27"/>
        <v>0</v>
      </c>
      <c r="O229" s="652">
        <v>0</v>
      </c>
      <c r="P229" s="685">
        <v>0</v>
      </c>
      <c r="Q229" s="684">
        <v>0</v>
      </c>
      <c r="R229" s="652">
        <f>SUMIFS(OBE!$H:$H,OBE!$C:$C,'Standalone TB'!$B229,OBE!$B:$B,"A20")</f>
        <v>0</v>
      </c>
      <c r="S229" s="652">
        <f>SUMIFS('Elimination - BS'!I:I,'Elimination - BS'!D:D,'Standalone TB'!B229,'Elimination - BS'!A:A,"EA20")</f>
        <v>0</v>
      </c>
      <c r="T229" s="652">
        <f t="shared" si="28"/>
        <v>0</v>
      </c>
      <c r="U229" s="652">
        <f t="shared" si="29"/>
        <v>0</v>
      </c>
      <c r="V229" s="652">
        <v>0</v>
      </c>
      <c r="W229" s="685">
        <v>0</v>
      </c>
      <c r="X229" s="689">
        <f t="shared" si="30"/>
        <v>144243.31</v>
      </c>
      <c r="Y229" s="689">
        <f t="shared" si="31"/>
        <v>1750064.33</v>
      </c>
      <c r="Z229" s="652" t="s">
        <v>593</v>
      </c>
      <c r="AA229" s="652" t="s">
        <v>9</v>
      </c>
      <c r="AB229" s="666" t="s">
        <v>1919</v>
      </c>
      <c r="AD229" s="665"/>
    </row>
    <row r="230" spans="2:30" hidden="1" x14ac:dyDescent="0.2">
      <c r="B230" s="673" t="s">
        <v>2141</v>
      </c>
      <c r="C230" s="666" t="s">
        <v>2140</v>
      </c>
      <c r="D230" s="666" t="s">
        <v>3</v>
      </c>
      <c r="E230" s="684">
        <v>105131.63</v>
      </c>
      <c r="F230" s="652">
        <f>SUMIFS(OBE!$H:$H,OBE!$C:$C,'Standalone TB'!$B230,OBE!$B:$B,"A21")</f>
        <v>0</v>
      </c>
      <c r="G230" s="652">
        <f>SUMIFS('Elimination - BS'!I:I,'Elimination - BS'!D:D,'Standalone TB'!B230,'Elimination - BS'!A:A,"EA21")</f>
        <v>0</v>
      </c>
      <c r="H230" s="652">
        <f t="shared" si="33"/>
        <v>105131.63</v>
      </c>
      <c r="I230" s="652">
        <v>105131.63</v>
      </c>
      <c r="J230" s="684">
        <v>0</v>
      </c>
      <c r="K230" s="652">
        <f>SUMIFS(OBE!$H:$H,OBE!$C:$C,'Standalone TB'!$B230,OBE!$B:$B,"A22")</f>
        <v>0</v>
      </c>
      <c r="L230" s="652">
        <f>SUMIFS('Elimination - BS'!I:I,'Elimination - BS'!D:D,'Standalone TB'!B230,'Elimination - BS'!A:A,"EA22")</f>
        <v>0</v>
      </c>
      <c r="M230" s="652">
        <f t="shared" si="26"/>
        <v>0</v>
      </c>
      <c r="N230" s="652">
        <f t="shared" si="27"/>
        <v>0</v>
      </c>
      <c r="O230" s="652">
        <v>0</v>
      </c>
      <c r="P230" s="685">
        <v>0</v>
      </c>
      <c r="Q230" s="684">
        <v>0</v>
      </c>
      <c r="R230" s="652">
        <f>SUMIFS(OBE!$H:$H,OBE!$C:$C,'Standalone TB'!$B230,OBE!$B:$B,"A20")</f>
        <v>0</v>
      </c>
      <c r="S230" s="652">
        <f>SUMIFS('Elimination - BS'!I:I,'Elimination - BS'!D:D,'Standalone TB'!B230,'Elimination - BS'!A:A,"EA20")</f>
        <v>0</v>
      </c>
      <c r="T230" s="652">
        <f t="shared" si="28"/>
        <v>0</v>
      </c>
      <c r="U230" s="652">
        <f t="shared" si="29"/>
        <v>0</v>
      </c>
      <c r="V230" s="652">
        <v>0</v>
      </c>
      <c r="W230" s="685">
        <v>0</v>
      </c>
      <c r="X230" s="689">
        <f t="shared" si="30"/>
        <v>105131.63</v>
      </c>
      <c r="Y230" s="689">
        <f t="shared" si="31"/>
        <v>105131.63</v>
      </c>
      <c r="Z230" s="652" t="s">
        <v>593</v>
      </c>
      <c r="AA230" s="652" t="s">
        <v>9</v>
      </c>
      <c r="AB230" s="666" t="s">
        <v>1919</v>
      </c>
      <c r="AD230" s="665"/>
    </row>
    <row r="231" spans="2:30" hidden="1" x14ac:dyDescent="0.2">
      <c r="B231" s="673" t="s">
        <v>2142</v>
      </c>
      <c r="C231" s="666" t="s">
        <v>2143</v>
      </c>
      <c r="D231" s="666" t="s">
        <v>3</v>
      </c>
      <c r="E231" s="684">
        <v>13478.12</v>
      </c>
      <c r="F231" s="652">
        <f>SUMIFS(OBE!$H:$H,OBE!$C:$C,'Standalone TB'!$B231,OBE!$B:$B,"A21")</f>
        <v>0</v>
      </c>
      <c r="G231" s="652">
        <f>SUMIFS('Elimination - BS'!I:I,'Elimination - BS'!D:D,'Standalone TB'!B231,'Elimination - BS'!A:A,"EA21")</f>
        <v>0</v>
      </c>
      <c r="H231" s="652">
        <f t="shared" si="33"/>
        <v>13478.12</v>
      </c>
      <c r="I231" s="652">
        <v>13478.12</v>
      </c>
      <c r="J231" s="684">
        <v>0</v>
      </c>
      <c r="K231" s="652">
        <f>SUMIFS(OBE!$H:$H,OBE!$C:$C,'Standalone TB'!$B231,OBE!$B:$B,"A22")</f>
        <v>0</v>
      </c>
      <c r="L231" s="652">
        <f>SUMIFS('Elimination - BS'!I:I,'Elimination - BS'!D:D,'Standalone TB'!B231,'Elimination - BS'!A:A,"EA22")</f>
        <v>0</v>
      </c>
      <c r="M231" s="652">
        <f t="shared" si="26"/>
        <v>0</v>
      </c>
      <c r="N231" s="652">
        <f t="shared" si="27"/>
        <v>0</v>
      </c>
      <c r="O231" s="652">
        <v>0</v>
      </c>
      <c r="P231" s="685">
        <v>0</v>
      </c>
      <c r="Q231" s="684">
        <v>0</v>
      </c>
      <c r="R231" s="652">
        <f>SUMIFS(OBE!$H:$H,OBE!$C:$C,'Standalone TB'!$B231,OBE!$B:$B,"A20")</f>
        <v>0</v>
      </c>
      <c r="S231" s="652">
        <f>SUMIFS('Elimination - BS'!I:I,'Elimination - BS'!D:D,'Standalone TB'!B231,'Elimination - BS'!A:A,"EA20")</f>
        <v>0</v>
      </c>
      <c r="T231" s="652">
        <f t="shared" si="28"/>
        <v>0</v>
      </c>
      <c r="U231" s="652">
        <f t="shared" si="29"/>
        <v>0</v>
      </c>
      <c r="V231" s="652">
        <v>0</v>
      </c>
      <c r="W231" s="685">
        <v>0</v>
      </c>
      <c r="X231" s="689">
        <f t="shared" si="30"/>
        <v>13478.12</v>
      </c>
      <c r="Y231" s="689">
        <f t="shared" si="31"/>
        <v>13478.12</v>
      </c>
      <c r="Z231" s="652" t="s">
        <v>593</v>
      </c>
      <c r="AA231" s="652" t="s">
        <v>9</v>
      </c>
      <c r="AB231" s="666" t="s">
        <v>1919</v>
      </c>
      <c r="AD231" s="665"/>
    </row>
    <row r="232" spans="2:30" hidden="1" x14ac:dyDescent="0.2">
      <c r="B232" s="673" t="s">
        <v>2144</v>
      </c>
      <c r="C232" s="666" t="s">
        <v>2145</v>
      </c>
      <c r="D232" s="666" t="s">
        <v>3</v>
      </c>
      <c r="E232" s="684">
        <v>191739.5</v>
      </c>
      <c r="F232" s="652">
        <f>SUMIFS(OBE!$H:$H,OBE!$C:$C,'Standalone TB'!$B232,OBE!$B:$B,"A21")</f>
        <v>0</v>
      </c>
      <c r="G232" s="652">
        <f>SUMIFS('Elimination - BS'!I:I,'Elimination - BS'!D:D,'Standalone TB'!B232,'Elimination - BS'!A:A,"EA21")</f>
        <v>0</v>
      </c>
      <c r="H232" s="652">
        <f t="shared" si="33"/>
        <v>191739.5</v>
      </c>
      <c r="I232" s="652">
        <v>154932.94</v>
      </c>
      <c r="J232" s="684">
        <v>0</v>
      </c>
      <c r="K232" s="652">
        <f>SUMIFS(OBE!$H:$H,OBE!$C:$C,'Standalone TB'!$B232,OBE!$B:$B,"A22")</f>
        <v>0</v>
      </c>
      <c r="L232" s="652">
        <f>SUMIFS('Elimination - BS'!I:I,'Elimination - BS'!D:D,'Standalone TB'!B232,'Elimination - BS'!A:A,"EA22")</f>
        <v>0</v>
      </c>
      <c r="M232" s="652">
        <f t="shared" si="26"/>
        <v>0</v>
      </c>
      <c r="N232" s="652">
        <f t="shared" si="27"/>
        <v>0</v>
      </c>
      <c r="O232" s="652">
        <v>0</v>
      </c>
      <c r="P232" s="685">
        <v>0</v>
      </c>
      <c r="Q232" s="684">
        <v>0</v>
      </c>
      <c r="R232" s="652">
        <f>SUMIFS(OBE!$H:$H,OBE!$C:$C,'Standalone TB'!$B232,OBE!$B:$B,"A20")</f>
        <v>0</v>
      </c>
      <c r="S232" s="652">
        <f>SUMIFS('Elimination - BS'!I:I,'Elimination - BS'!D:D,'Standalone TB'!B232,'Elimination - BS'!A:A,"EA20")</f>
        <v>0</v>
      </c>
      <c r="T232" s="652">
        <f t="shared" si="28"/>
        <v>0</v>
      </c>
      <c r="U232" s="652">
        <f t="shared" si="29"/>
        <v>0</v>
      </c>
      <c r="V232" s="652">
        <v>0</v>
      </c>
      <c r="W232" s="685">
        <v>0</v>
      </c>
      <c r="X232" s="689">
        <f t="shared" si="30"/>
        <v>191739.5</v>
      </c>
      <c r="Y232" s="689">
        <f t="shared" si="31"/>
        <v>154932.94</v>
      </c>
      <c r="Z232" s="652" t="s">
        <v>593</v>
      </c>
      <c r="AA232" s="652" t="s">
        <v>9</v>
      </c>
      <c r="AB232" s="666" t="s">
        <v>1919</v>
      </c>
      <c r="AD232" s="665"/>
    </row>
    <row r="233" spans="2:30" hidden="1" x14ac:dyDescent="0.2">
      <c r="B233" s="673" t="s">
        <v>2146</v>
      </c>
      <c r="C233" s="666" t="s">
        <v>2145</v>
      </c>
      <c r="D233" s="666" t="s">
        <v>3</v>
      </c>
      <c r="E233" s="684">
        <v>1785465.8</v>
      </c>
      <c r="F233" s="652">
        <f>SUMIFS(OBE!$H:$H,OBE!$C:$C,'Standalone TB'!$B233,OBE!$B:$B,"A21")</f>
        <v>0</v>
      </c>
      <c r="G233" s="652">
        <f>SUMIFS('Elimination - BS'!I:I,'Elimination - BS'!D:D,'Standalone TB'!B233,'Elimination - BS'!A:A,"EA21")</f>
        <v>0</v>
      </c>
      <c r="H233" s="652">
        <f t="shared" si="33"/>
        <v>1785465.8</v>
      </c>
      <c r="I233" s="652">
        <v>17387.349999999999</v>
      </c>
      <c r="J233" s="684">
        <v>0</v>
      </c>
      <c r="K233" s="652">
        <f>SUMIFS(OBE!$H:$H,OBE!$C:$C,'Standalone TB'!$B233,OBE!$B:$B,"A22")</f>
        <v>0</v>
      </c>
      <c r="L233" s="652">
        <f>SUMIFS('Elimination - BS'!I:I,'Elimination - BS'!D:D,'Standalone TB'!B233,'Elimination - BS'!A:A,"EA22")</f>
        <v>0</v>
      </c>
      <c r="M233" s="652">
        <f t="shared" si="26"/>
        <v>0</v>
      </c>
      <c r="N233" s="652">
        <f t="shared" si="27"/>
        <v>0</v>
      </c>
      <c r="O233" s="652">
        <v>0</v>
      </c>
      <c r="P233" s="685">
        <v>0</v>
      </c>
      <c r="Q233" s="684">
        <v>0</v>
      </c>
      <c r="R233" s="652">
        <f>SUMIFS(OBE!$H:$H,OBE!$C:$C,'Standalone TB'!$B233,OBE!$B:$B,"A20")</f>
        <v>0</v>
      </c>
      <c r="S233" s="652">
        <f>SUMIFS('Elimination - BS'!I:I,'Elimination - BS'!D:D,'Standalone TB'!B233,'Elimination - BS'!A:A,"EA20")</f>
        <v>0</v>
      </c>
      <c r="T233" s="652">
        <f t="shared" si="28"/>
        <v>0</v>
      </c>
      <c r="U233" s="652">
        <f t="shared" si="29"/>
        <v>0</v>
      </c>
      <c r="V233" s="652">
        <v>0</v>
      </c>
      <c r="W233" s="685">
        <v>0</v>
      </c>
      <c r="X233" s="689">
        <f t="shared" si="30"/>
        <v>1785465.8</v>
      </c>
      <c r="Y233" s="689">
        <f t="shared" si="31"/>
        <v>17387.349999999999</v>
      </c>
      <c r="Z233" s="652" t="s">
        <v>593</v>
      </c>
      <c r="AA233" s="652" t="s">
        <v>9</v>
      </c>
      <c r="AB233" s="666" t="s">
        <v>1919</v>
      </c>
      <c r="AD233" s="665"/>
    </row>
    <row r="234" spans="2:30" hidden="1" x14ac:dyDescent="0.2">
      <c r="B234" s="673" t="s">
        <v>2147</v>
      </c>
      <c r="C234" s="666" t="s">
        <v>2148</v>
      </c>
      <c r="D234" s="666" t="s">
        <v>3</v>
      </c>
      <c r="E234" s="684">
        <v>0</v>
      </c>
      <c r="F234" s="652">
        <f>SUMIFS(OBE!$H:$H,OBE!$C:$C,'Standalone TB'!$B234,OBE!$B:$B,"A21")</f>
        <v>0</v>
      </c>
      <c r="G234" s="652">
        <f>SUMIFS('Elimination - BS'!I:I,'Elimination - BS'!D:D,'Standalone TB'!B234,'Elimination - BS'!A:A,"EA21")</f>
        <v>0</v>
      </c>
      <c r="H234" s="652">
        <f t="shared" si="33"/>
        <v>0</v>
      </c>
      <c r="I234" s="652">
        <v>0</v>
      </c>
      <c r="J234" s="684">
        <v>0</v>
      </c>
      <c r="K234" s="652">
        <f>SUMIFS(OBE!$H:$H,OBE!$C:$C,'Standalone TB'!$B234,OBE!$B:$B,"A22")</f>
        <v>0</v>
      </c>
      <c r="L234" s="652">
        <f>SUMIFS('Elimination - BS'!I:I,'Elimination - BS'!D:D,'Standalone TB'!B234,'Elimination - BS'!A:A,"EA22")</f>
        <v>0</v>
      </c>
      <c r="M234" s="652">
        <f t="shared" si="26"/>
        <v>0</v>
      </c>
      <c r="N234" s="652">
        <f t="shared" si="27"/>
        <v>0</v>
      </c>
      <c r="O234" s="652">
        <v>0</v>
      </c>
      <c r="P234" s="685">
        <v>0</v>
      </c>
      <c r="Q234" s="684">
        <v>0</v>
      </c>
      <c r="R234" s="652">
        <f>SUMIFS(OBE!$H:$H,OBE!$C:$C,'Standalone TB'!$B234,OBE!$B:$B,"A20")</f>
        <v>0</v>
      </c>
      <c r="S234" s="652">
        <f>SUMIFS('Elimination - BS'!I:I,'Elimination - BS'!D:D,'Standalone TB'!B234,'Elimination - BS'!A:A,"EA20")</f>
        <v>0</v>
      </c>
      <c r="T234" s="652">
        <f t="shared" si="28"/>
        <v>0</v>
      </c>
      <c r="U234" s="652">
        <f t="shared" si="29"/>
        <v>0</v>
      </c>
      <c r="V234" s="652">
        <v>0</v>
      </c>
      <c r="W234" s="685">
        <v>0</v>
      </c>
      <c r="X234" s="689">
        <f t="shared" si="30"/>
        <v>0</v>
      </c>
      <c r="Y234" s="689">
        <f t="shared" si="31"/>
        <v>0</v>
      </c>
      <c r="Z234" s="652" t="s">
        <v>594</v>
      </c>
      <c r="AA234" s="652" t="s">
        <v>9</v>
      </c>
      <c r="AB234" s="666" t="s">
        <v>1919</v>
      </c>
      <c r="AD234" s="665"/>
    </row>
    <row r="235" spans="2:30" hidden="1" x14ac:dyDescent="0.2">
      <c r="B235" s="673" t="s">
        <v>2149</v>
      </c>
      <c r="C235" s="666" t="s">
        <v>2150</v>
      </c>
      <c r="D235" s="666" t="s">
        <v>3</v>
      </c>
      <c r="E235" s="684">
        <v>15269</v>
      </c>
      <c r="F235" s="652">
        <f>SUMIFS(OBE!$H:$H,OBE!$C:$C,'Standalone TB'!$B235,OBE!$B:$B,"A21")</f>
        <v>0</v>
      </c>
      <c r="G235" s="652">
        <f>SUMIFS('Elimination - BS'!I:I,'Elimination - BS'!D:D,'Standalone TB'!B235,'Elimination - BS'!A:A,"EA21")</f>
        <v>0</v>
      </c>
      <c r="H235" s="652">
        <f t="shared" si="33"/>
        <v>15269</v>
      </c>
      <c r="I235" s="652">
        <v>15269</v>
      </c>
      <c r="J235" s="684">
        <v>0</v>
      </c>
      <c r="K235" s="652">
        <f>SUMIFS(OBE!$H:$H,OBE!$C:$C,'Standalone TB'!$B235,OBE!$B:$B,"A22")</f>
        <v>0</v>
      </c>
      <c r="L235" s="652">
        <f>SUMIFS('Elimination - BS'!I:I,'Elimination - BS'!D:D,'Standalone TB'!B235,'Elimination - BS'!A:A,"EA22")</f>
        <v>0</v>
      </c>
      <c r="M235" s="652">
        <f t="shared" si="26"/>
        <v>0</v>
      </c>
      <c r="N235" s="652">
        <f t="shared" si="27"/>
        <v>0</v>
      </c>
      <c r="O235" s="652">
        <v>0</v>
      </c>
      <c r="P235" s="685">
        <v>0</v>
      </c>
      <c r="Q235" s="684">
        <v>0</v>
      </c>
      <c r="R235" s="652">
        <f>SUMIFS(OBE!$H:$H,OBE!$C:$C,'Standalone TB'!$B235,OBE!$B:$B,"A20")</f>
        <v>0</v>
      </c>
      <c r="S235" s="652">
        <f>SUMIFS('Elimination - BS'!I:I,'Elimination - BS'!D:D,'Standalone TB'!B235,'Elimination - BS'!A:A,"EA20")</f>
        <v>0</v>
      </c>
      <c r="T235" s="652">
        <f t="shared" si="28"/>
        <v>0</v>
      </c>
      <c r="U235" s="652">
        <f t="shared" si="29"/>
        <v>0</v>
      </c>
      <c r="V235" s="652">
        <v>0</v>
      </c>
      <c r="W235" s="685">
        <v>0</v>
      </c>
      <c r="X235" s="689">
        <f t="shared" si="30"/>
        <v>15269</v>
      </c>
      <c r="Y235" s="689">
        <f t="shared" si="31"/>
        <v>15269</v>
      </c>
      <c r="Z235" s="652" t="s">
        <v>593</v>
      </c>
      <c r="AA235" s="652" t="s">
        <v>9</v>
      </c>
      <c r="AB235" s="666" t="s">
        <v>1919</v>
      </c>
      <c r="AD235" s="665"/>
    </row>
    <row r="236" spans="2:30" hidden="1" x14ac:dyDescent="0.2">
      <c r="B236" s="673" t="s">
        <v>2151</v>
      </c>
      <c r="C236" s="666" t="s">
        <v>2152</v>
      </c>
      <c r="D236" s="666" t="s">
        <v>3</v>
      </c>
      <c r="E236" s="684">
        <v>68877.740000000005</v>
      </c>
      <c r="F236" s="652">
        <f>SUMIFS(OBE!$H:$H,OBE!$C:$C,'Standalone TB'!$B236,OBE!$B:$B,"A21")</f>
        <v>0</v>
      </c>
      <c r="G236" s="652">
        <f>SUMIFS('Elimination - BS'!I:I,'Elimination - BS'!D:D,'Standalone TB'!B236,'Elimination - BS'!A:A,"EA21")</f>
        <v>0</v>
      </c>
      <c r="H236" s="652">
        <f t="shared" si="33"/>
        <v>68877.740000000005</v>
      </c>
      <c r="I236" s="652">
        <v>68877.740000000005</v>
      </c>
      <c r="J236" s="684">
        <v>0</v>
      </c>
      <c r="K236" s="652">
        <f>SUMIFS(OBE!$H:$H,OBE!$C:$C,'Standalone TB'!$B236,OBE!$B:$B,"A22")</f>
        <v>0</v>
      </c>
      <c r="L236" s="652">
        <f>SUMIFS('Elimination - BS'!I:I,'Elimination - BS'!D:D,'Standalone TB'!B236,'Elimination - BS'!A:A,"EA22")</f>
        <v>0</v>
      </c>
      <c r="M236" s="652">
        <f t="shared" si="26"/>
        <v>0</v>
      </c>
      <c r="N236" s="652">
        <f t="shared" si="27"/>
        <v>0</v>
      </c>
      <c r="O236" s="652">
        <v>0</v>
      </c>
      <c r="P236" s="685">
        <v>0</v>
      </c>
      <c r="Q236" s="684">
        <v>0</v>
      </c>
      <c r="R236" s="652">
        <f>SUMIFS(OBE!$H:$H,OBE!$C:$C,'Standalone TB'!$B236,OBE!$B:$B,"A20")</f>
        <v>0</v>
      </c>
      <c r="S236" s="652">
        <f>SUMIFS('Elimination - BS'!I:I,'Elimination - BS'!D:D,'Standalone TB'!B236,'Elimination - BS'!A:A,"EA20")</f>
        <v>0</v>
      </c>
      <c r="T236" s="652">
        <f t="shared" si="28"/>
        <v>0</v>
      </c>
      <c r="U236" s="652">
        <f t="shared" si="29"/>
        <v>0</v>
      </c>
      <c r="V236" s="652">
        <v>0</v>
      </c>
      <c r="W236" s="685">
        <v>0</v>
      </c>
      <c r="X236" s="689">
        <f t="shared" si="30"/>
        <v>68877.740000000005</v>
      </c>
      <c r="Y236" s="689">
        <f t="shared" si="31"/>
        <v>68877.740000000005</v>
      </c>
      <c r="Z236" s="652" t="s">
        <v>593</v>
      </c>
      <c r="AA236" s="652" t="s">
        <v>9</v>
      </c>
      <c r="AB236" s="666" t="s">
        <v>1919</v>
      </c>
      <c r="AD236" s="665"/>
    </row>
    <row r="237" spans="2:30" hidden="1" x14ac:dyDescent="0.2">
      <c r="B237" s="673" t="s">
        <v>2153</v>
      </c>
      <c r="C237" s="666" t="s">
        <v>2140</v>
      </c>
      <c r="D237" s="666" t="s">
        <v>3</v>
      </c>
      <c r="E237" s="684">
        <v>66970.42</v>
      </c>
      <c r="F237" s="652">
        <f>SUMIFS(OBE!$H:$H,OBE!$C:$C,'Standalone TB'!$B237,OBE!$B:$B,"A21")</f>
        <v>0</v>
      </c>
      <c r="G237" s="652">
        <f>SUMIFS('Elimination - BS'!I:I,'Elimination - BS'!D:D,'Standalone TB'!B237,'Elimination - BS'!A:A,"EA21")</f>
        <v>0</v>
      </c>
      <c r="H237" s="652">
        <f t="shared" si="33"/>
        <v>66970.42</v>
      </c>
      <c r="I237" s="652">
        <v>66970.42</v>
      </c>
      <c r="J237" s="684">
        <v>0</v>
      </c>
      <c r="K237" s="652">
        <f>SUMIFS(OBE!$H:$H,OBE!$C:$C,'Standalone TB'!$B237,OBE!$B:$B,"A22")</f>
        <v>0</v>
      </c>
      <c r="L237" s="652">
        <f>SUMIFS('Elimination - BS'!I:I,'Elimination - BS'!D:D,'Standalone TB'!B237,'Elimination - BS'!A:A,"EA22")</f>
        <v>0</v>
      </c>
      <c r="M237" s="652">
        <f t="shared" si="26"/>
        <v>0</v>
      </c>
      <c r="N237" s="652">
        <f t="shared" si="27"/>
        <v>0</v>
      </c>
      <c r="O237" s="652">
        <v>0</v>
      </c>
      <c r="P237" s="685">
        <v>0</v>
      </c>
      <c r="Q237" s="684">
        <v>0</v>
      </c>
      <c r="R237" s="652">
        <f>SUMIFS(OBE!$H:$H,OBE!$C:$C,'Standalone TB'!$B237,OBE!$B:$B,"A20")</f>
        <v>0</v>
      </c>
      <c r="S237" s="652">
        <f>SUMIFS('Elimination - BS'!I:I,'Elimination - BS'!D:D,'Standalone TB'!B237,'Elimination - BS'!A:A,"EA20")</f>
        <v>0</v>
      </c>
      <c r="T237" s="652">
        <f t="shared" si="28"/>
        <v>0</v>
      </c>
      <c r="U237" s="652">
        <f t="shared" si="29"/>
        <v>0</v>
      </c>
      <c r="V237" s="652">
        <v>0</v>
      </c>
      <c r="W237" s="685">
        <v>0</v>
      </c>
      <c r="X237" s="689">
        <f t="shared" si="30"/>
        <v>66970.42</v>
      </c>
      <c r="Y237" s="689">
        <f t="shared" si="31"/>
        <v>66970.42</v>
      </c>
      <c r="Z237" s="652" t="s">
        <v>593</v>
      </c>
      <c r="AA237" s="652" t="s">
        <v>9</v>
      </c>
      <c r="AB237" s="666" t="s">
        <v>1919</v>
      </c>
      <c r="AD237" s="665"/>
    </row>
    <row r="238" spans="2:30" hidden="1" x14ac:dyDescent="0.2">
      <c r="B238" s="673" t="s">
        <v>2154</v>
      </c>
      <c r="C238" s="666" t="s">
        <v>2155</v>
      </c>
      <c r="D238" s="666" t="s">
        <v>3</v>
      </c>
      <c r="E238" s="684">
        <v>24957</v>
      </c>
      <c r="F238" s="652">
        <f>SUMIFS(OBE!$H:$H,OBE!$C:$C,'Standalone TB'!$B238,OBE!$B:$B,"A21")</f>
        <v>0</v>
      </c>
      <c r="G238" s="652">
        <f>SUMIFS('Elimination - BS'!I:I,'Elimination - BS'!D:D,'Standalone TB'!B238,'Elimination - BS'!A:A,"EA21")</f>
        <v>0</v>
      </c>
      <c r="H238" s="652">
        <f t="shared" si="33"/>
        <v>24957</v>
      </c>
      <c r="I238" s="652">
        <v>24957</v>
      </c>
      <c r="J238" s="684">
        <v>0</v>
      </c>
      <c r="K238" s="652">
        <f>SUMIFS(OBE!$H:$H,OBE!$C:$C,'Standalone TB'!$B238,OBE!$B:$B,"A22")</f>
        <v>0</v>
      </c>
      <c r="L238" s="652">
        <f>SUMIFS('Elimination - BS'!I:I,'Elimination - BS'!D:D,'Standalone TB'!B238,'Elimination - BS'!A:A,"EA22")</f>
        <v>0</v>
      </c>
      <c r="M238" s="652">
        <f t="shared" si="26"/>
        <v>0</v>
      </c>
      <c r="N238" s="652">
        <f t="shared" si="27"/>
        <v>0</v>
      </c>
      <c r="O238" s="652">
        <v>0</v>
      </c>
      <c r="P238" s="685">
        <v>0</v>
      </c>
      <c r="Q238" s="684">
        <v>0</v>
      </c>
      <c r="R238" s="652">
        <f>SUMIFS(OBE!$H:$H,OBE!$C:$C,'Standalone TB'!$B238,OBE!$B:$B,"A20")</f>
        <v>0</v>
      </c>
      <c r="S238" s="652">
        <f>SUMIFS('Elimination - BS'!I:I,'Elimination - BS'!D:D,'Standalone TB'!B238,'Elimination - BS'!A:A,"EA20")</f>
        <v>0</v>
      </c>
      <c r="T238" s="652">
        <f t="shared" si="28"/>
        <v>0</v>
      </c>
      <c r="U238" s="652">
        <f t="shared" si="29"/>
        <v>0</v>
      </c>
      <c r="V238" s="652">
        <v>0</v>
      </c>
      <c r="W238" s="685">
        <v>0</v>
      </c>
      <c r="X238" s="689">
        <f t="shared" si="30"/>
        <v>24957</v>
      </c>
      <c r="Y238" s="689">
        <f t="shared" si="31"/>
        <v>24957</v>
      </c>
      <c r="Z238" s="652" t="s">
        <v>593</v>
      </c>
      <c r="AA238" s="652" t="s">
        <v>9</v>
      </c>
      <c r="AB238" s="666" t="s">
        <v>1919</v>
      </c>
      <c r="AD238" s="665"/>
    </row>
    <row r="239" spans="2:30" hidden="1" x14ac:dyDescent="0.2">
      <c r="B239" s="673" t="s">
        <v>2156</v>
      </c>
      <c r="C239" s="666" t="s">
        <v>2157</v>
      </c>
      <c r="D239" s="666" t="s">
        <v>3</v>
      </c>
      <c r="E239" s="684">
        <v>0</v>
      </c>
      <c r="F239" s="652">
        <f>SUMIFS(OBE!$H:$H,OBE!$C:$C,'Standalone TB'!$B239,OBE!$B:$B,"A21")</f>
        <v>0</v>
      </c>
      <c r="G239" s="652">
        <f>SUMIFS('Elimination - BS'!I:I,'Elimination - BS'!D:D,'Standalone TB'!B239,'Elimination - BS'!A:A,"EA21")</f>
        <v>0</v>
      </c>
      <c r="H239" s="652">
        <f t="shared" si="33"/>
        <v>0</v>
      </c>
      <c r="I239" s="652">
        <v>0</v>
      </c>
      <c r="J239" s="684">
        <v>0</v>
      </c>
      <c r="K239" s="652">
        <f>SUMIFS(OBE!$H:$H,OBE!$C:$C,'Standalone TB'!$B239,OBE!$B:$B,"A22")</f>
        <v>0</v>
      </c>
      <c r="L239" s="652">
        <f>SUMIFS('Elimination - BS'!I:I,'Elimination - BS'!D:D,'Standalone TB'!B239,'Elimination - BS'!A:A,"EA22")</f>
        <v>0</v>
      </c>
      <c r="M239" s="652">
        <f t="shared" si="26"/>
        <v>0</v>
      </c>
      <c r="N239" s="652">
        <f t="shared" si="27"/>
        <v>0</v>
      </c>
      <c r="O239" s="652">
        <v>0</v>
      </c>
      <c r="P239" s="685">
        <v>0</v>
      </c>
      <c r="Q239" s="684">
        <v>0</v>
      </c>
      <c r="R239" s="652">
        <f>SUMIFS(OBE!$H:$H,OBE!$C:$C,'Standalone TB'!$B239,OBE!$B:$B,"A20")</f>
        <v>0</v>
      </c>
      <c r="S239" s="652">
        <f>SUMIFS('Elimination - BS'!I:I,'Elimination - BS'!D:D,'Standalone TB'!B239,'Elimination - BS'!A:A,"EA20")</f>
        <v>0</v>
      </c>
      <c r="T239" s="652">
        <f t="shared" si="28"/>
        <v>0</v>
      </c>
      <c r="U239" s="652">
        <f t="shared" si="29"/>
        <v>0</v>
      </c>
      <c r="V239" s="652">
        <v>0</v>
      </c>
      <c r="W239" s="685">
        <v>0</v>
      </c>
      <c r="X239" s="689">
        <f t="shared" si="30"/>
        <v>0</v>
      </c>
      <c r="Y239" s="689">
        <f t="shared" si="31"/>
        <v>0</v>
      </c>
      <c r="Z239" s="652" t="s">
        <v>594</v>
      </c>
      <c r="AA239" s="652" t="s">
        <v>9</v>
      </c>
      <c r="AB239" s="666" t="s">
        <v>1919</v>
      </c>
      <c r="AD239" s="665"/>
    </row>
    <row r="240" spans="2:30" hidden="1" x14ac:dyDescent="0.2">
      <c r="B240" s="673" t="s">
        <v>2158</v>
      </c>
      <c r="C240" s="666" t="s">
        <v>2159</v>
      </c>
      <c r="D240" s="666" t="s">
        <v>3</v>
      </c>
      <c r="E240" s="684">
        <v>0</v>
      </c>
      <c r="F240" s="652">
        <f>SUMIFS(OBE!$H:$H,OBE!$C:$C,'Standalone TB'!$B240,OBE!$B:$B,"A21")</f>
        <v>0</v>
      </c>
      <c r="G240" s="652">
        <f>SUMIFS('Elimination - BS'!I:I,'Elimination - BS'!D:D,'Standalone TB'!B240,'Elimination - BS'!A:A,"EA21")</f>
        <v>0</v>
      </c>
      <c r="H240" s="652">
        <f t="shared" si="33"/>
        <v>0</v>
      </c>
      <c r="I240" s="652">
        <v>0</v>
      </c>
      <c r="J240" s="684">
        <v>2125653.59</v>
      </c>
      <c r="K240" s="652">
        <f>SUMIFS(OBE!$H:$H,OBE!$C:$C,'Standalone TB'!$B240,OBE!$B:$B,"A22")</f>
        <v>0</v>
      </c>
      <c r="L240" s="652">
        <f>SUMIFS('Elimination - BS'!I:I,'Elimination - BS'!D:D,'Standalone TB'!B240,'Elimination - BS'!A:A,"EA22")</f>
        <v>0</v>
      </c>
      <c r="M240" s="652">
        <f t="shared" si="26"/>
        <v>2125653.59</v>
      </c>
      <c r="N240" s="652">
        <f t="shared" si="27"/>
        <v>49514762.553012937</v>
      </c>
      <c r="O240" s="652">
        <v>2239037.8199999998</v>
      </c>
      <c r="P240" s="685">
        <v>50802200.809325993</v>
      </c>
      <c r="Q240" s="684">
        <v>0</v>
      </c>
      <c r="R240" s="652">
        <f>SUMIFS(OBE!$H:$H,OBE!$C:$C,'Standalone TB'!$B240,OBE!$B:$B,"A20")</f>
        <v>0</v>
      </c>
      <c r="S240" s="652">
        <f>SUMIFS('Elimination - BS'!I:I,'Elimination - BS'!D:D,'Standalone TB'!B240,'Elimination - BS'!A:A,"EA20")</f>
        <v>0</v>
      </c>
      <c r="T240" s="652">
        <f t="shared" si="28"/>
        <v>0</v>
      </c>
      <c r="U240" s="652">
        <f t="shared" si="29"/>
        <v>0</v>
      </c>
      <c r="V240" s="652">
        <v>0</v>
      </c>
      <c r="W240" s="685">
        <v>0</v>
      </c>
      <c r="X240" s="689">
        <f t="shared" si="30"/>
        <v>49514762.553012937</v>
      </c>
      <c r="Y240" s="689">
        <f t="shared" si="31"/>
        <v>50802200.809325993</v>
      </c>
      <c r="Z240" s="652" t="s">
        <v>593</v>
      </c>
      <c r="AA240" s="652" t="s">
        <v>9</v>
      </c>
      <c r="AB240" s="666" t="s">
        <v>1919</v>
      </c>
      <c r="AD240" s="665"/>
    </row>
    <row r="241" spans="2:30" hidden="1" x14ac:dyDescent="0.2">
      <c r="B241" s="673" t="s">
        <v>2160</v>
      </c>
      <c r="C241" s="666" t="s">
        <v>2161</v>
      </c>
      <c r="D241" s="666" t="s">
        <v>3</v>
      </c>
      <c r="E241" s="684">
        <v>0</v>
      </c>
      <c r="F241" s="652">
        <f>SUMIFS(OBE!$H:$H,OBE!$C:$C,'Standalone TB'!$B241,OBE!$B:$B,"A21")</f>
        <v>0</v>
      </c>
      <c r="G241" s="652">
        <f>SUMIFS('Elimination - BS'!I:I,'Elimination - BS'!D:D,'Standalone TB'!B241,'Elimination - BS'!A:A,"EA21")</f>
        <v>0</v>
      </c>
      <c r="H241" s="652">
        <f t="shared" si="33"/>
        <v>0</v>
      </c>
      <c r="I241" s="652">
        <v>0</v>
      </c>
      <c r="J241" s="684">
        <v>0</v>
      </c>
      <c r="K241" s="652">
        <f>SUMIFS(OBE!$H:$H,OBE!$C:$C,'Standalone TB'!$B241,OBE!$B:$B,"A22")</f>
        <v>0</v>
      </c>
      <c r="L241" s="652">
        <f>SUMIFS('Elimination - BS'!I:I,'Elimination - BS'!D:D,'Standalone TB'!B241,'Elimination - BS'!A:A,"EA22")</f>
        <v>0</v>
      </c>
      <c r="M241" s="652">
        <f t="shared" si="26"/>
        <v>0</v>
      </c>
      <c r="N241" s="652">
        <f t="shared" si="27"/>
        <v>0</v>
      </c>
      <c r="O241" s="652">
        <v>0</v>
      </c>
      <c r="P241" s="685">
        <v>0</v>
      </c>
      <c r="Q241" s="684">
        <v>292330.11</v>
      </c>
      <c r="R241" s="652">
        <f>SUMIFS(OBE!$H:$H,OBE!$C:$C,'Standalone TB'!$B241,OBE!$B:$B,"A20")</f>
        <v>0</v>
      </c>
      <c r="S241" s="652">
        <f>SUMIFS('Elimination - BS'!I:I,'Elimination - BS'!D:D,'Standalone TB'!B241,'Elimination - BS'!A:A,"EA20")</f>
        <v>0</v>
      </c>
      <c r="T241" s="652">
        <f t="shared" si="28"/>
        <v>292330.11</v>
      </c>
      <c r="U241" s="652">
        <f t="shared" si="29"/>
        <v>25012866.528465804</v>
      </c>
      <c r="V241" s="652">
        <v>276267.96999999997</v>
      </c>
      <c r="W241" s="685">
        <v>23024476.514566995</v>
      </c>
      <c r="X241" s="689">
        <f t="shared" si="30"/>
        <v>25012866.528465804</v>
      </c>
      <c r="Y241" s="689">
        <f t="shared" si="31"/>
        <v>23024476.514566995</v>
      </c>
      <c r="Z241" s="652" t="s">
        <v>593</v>
      </c>
      <c r="AA241" s="652" t="s">
        <v>9</v>
      </c>
      <c r="AB241" s="666" t="s">
        <v>1919</v>
      </c>
      <c r="AD241" s="665"/>
    </row>
    <row r="242" spans="2:30" hidden="1" x14ac:dyDescent="0.2">
      <c r="B242" s="673" t="s">
        <v>2162</v>
      </c>
      <c r="C242" s="666" t="s">
        <v>2163</v>
      </c>
      <c r="D242" s="666" t="s">
        <v>3</v>
      </c>
      <c r="E242" s="684">
        <v>0</v>
      </c>
      <c r="F242" s="652">
        <f>SUMIFS(OBE!$H:$H,OBE!$C:$C,'Standalone TB'!$B242,OBE!$B:$B,"A21")</f>
        <v>0</v>
      </c>
      <c r="G242" s="652">
        <f>SUMIFS('Elimination - BS'!I:I,'Elimination - BS'!D:D,'Standalone TB'!B242,'Elimination - BS'!A:A,"EA21")</f>
        <v>0</v>
      </c>
      <c r="H242" s="652">
        <f t="shared" si="33"/>
        <v>0</v>
      </c>
      <c r="I242" s="652">
        <v>0</v>
      </c>
      <c r="J242" s="684">
        <v>0</v>
      </c>
      <c r="K242" s="652">
        <f>SUMIFS(OBE!$H:$H,OBE!$C:$C,'Standalone TB'!$B242,OBE!$B:$B,"A22")</f>
        <v>0</v>
      </c>
      <c r="L242" s="652">
        <f>SUMIFS('Elimination - BS'!I:I,'Elimination - BS'!D:D,'Standalone TB'!B242,'Elimination - BS'!A:A,"EA22")</f>
        <v>0</v>
      </c>
      <c r="M242" s="652">
        <f t="shared" si="26"/>
        <v>0</v>
      </c>
      <c r="N242" s="652">
        <f t="shared" si="27"/>
        <v>0</v>
      </c>
      <c r="O242" s="652">
        <v>0</v>
      </c>
      <c r="P242" s="685">
        <v>0</v>
      </c>
      <c r="Q242" s="684">
        <v>0</v>
      </c>
      <c r="R242" s="652">
        <f>SUMIFS(OBE!$H:$H,OBE!$C:$C,'Standalone TB'!$B242,OBE!$B:$B,"A20")</f>
        <v>0</v>
      </c>
      <c r="S242" s="652">
        <f>SUMIFS('Elimination - BS'!I:I,'Elimination - BS'!D:D,'Standalone TB'!B242,'Elimination - BS'!A:A,"EA20")</f>
        <v>0</v>
      </c>
      <c r="T242" s="652">
        <f t="shared" si="28"/>
        <v>0</v>
      </c>
      <c r="U242" s="652">
        <f t="shared" si="29"/>
        <v>0</v>
      </c>
      <c r="V242" s="652">
        <v>1635</v>
      </c>
      <c r="W242" s="685">
        <v>136262.6985</v>
      </c>
      <c r="X242" s="689">
        <f t="shared" si="30"/>
        <v>0</v>
      </c>
      <c r="Y242" s="689">
        <f t="shared" si="31"/>
        <v>136262.6985</v>
      </c>
      <c r="Z242" s="652" t="s">
        <v>593</v>
      </c>
      <c r="AA242" s="652" t="s">
        <v>9</v>
      </c>
      <c r="AB242" s="666" t="s">
        <v>1919</v>
      </c>
      <c r="AD242" s="665"/>
    </row>
    <row r="243" spans="2:30" hidden="1" x14ac:dyDescent="0.2">
      <c r="B243" s="673" t="s">
        <v>2164</v>
      </c>
      <c r="C243" s="666" t="s">
        <v>2165</v>
      </c>
      <c r="D243" s="666" t="s">
        <v>3</v>
      </c>
      <c r="E243" s="684">
        <v>0</v>
      </c>
      <c r="F243" s="652">
        <f>SUMIFS(OBE!$H:$H,OBE!$C:$C,'Standalone TB'!$B243,OBE!$B:$B,"A21")</f>
        <v>0</v>
      </c>
      <c r="G243" s="652">
        <f>SUMIFS('Elimination - BS'!I:I,'Elimination - BS'!D:D,'Standalone TB'!B243,'Elimination - BS'!A:A,"EA21")</f>
        <v>0</v>
      </c>
      <c r="H243" s="652">
        <f t="shared" si="33"/>
        <v>0</v>
      </c>
      <c r="I243" s="652">
        <v>0</v>
      </c>
      <c r="J243" s="684">
        <v>0</v>
      </c>
      <c r="K243" s="652">
        <f>SUMIFS(OBE!$H:$H,OBE!$C:$C,'Standalone TB'!$B243,OBE!$B:$B,"A22")</f>
        <v>0</v>
      </c>
      <c r="L243" s="652">
        <f>SUMIFS('Elimination - BS'!I:I,'Elimination - BS'!D:D,'Standalone TB'!B243,'Elimination - BS'!A:A,"EA22")</f>
        <v>0</v>
      </c>
      <c r="M243" s="652">
        <f t="shared" si="26"/>
        <v>0</v>
      </c>
      <c r="N243" s="652">
        <f t="shared" si="27"/>
        <v>0</v>
      </c>
      <c r="O243" s="652">
        <v>0</v>
      </c>
      <c r="P243" s="685">
        <v>0</v>
      </c>
      <c r="Q243" s="684">
        <v>467314.94</v>
      </c>
      <c r="R243" s="652">
        <f>SUMIFS(OBE!$H:$H,OBE!$C:$C,'Standalone TB'!$B243,OBE!$B:$B,"A20")</f>
        <v>0</v>
      </c>
      <c r="S243" s="652">
        <f>SUMIFS('Elimination - BS'!I:I,'Elimination - BS'!D:D,'Standalone TB'!B243,'Elimination - BS'!A:A,"EA20")</f>
        <v>0</v>
      </c>
      <c r="T243" s="652">
        <f t="shared" si="28"/>
        <v>467314.94</v>
      </c>
      <c r="U243" s="652">
        <f t="shared" si="29"/>
        <v>39985228.415157117</v>
      </c>
      <c r="V243" s="652">
        <v>1420238.37</v>
      </c>
      <c r="W243" s="685">
        <v>118364228.01800701</v>
      </c>
      <c r="X243" s="689">
        <f t="shared" si="30"/>
        <v>39985228.415157117</v>
      </c>
      <c r="Y243" s="689">
        <f t="shared" si="31"/>
        <v>118364228.01800701</v>
      </c>
      <c r="Z243" s="652" t="s">
        <v>593</v>
      </c>
      <c r="AA243" s="652" t="s">
        <v>9</v>
      </c>
      <c r="AB243" s="666" t="s">
        <v>1919</v>
      </c>
      <c r="AD243" s="665"/>
    </row>
    <row r="244" spans="2:30" hidden="1" x14ac:dyDescent="0.2">
      <c r="B244" s="673" t="s">
        <v>2166</v>
      </c>
      <c r="C244" s="666" t="s">
        <v>2167</v>
      </c>
      <c r="D244" s="666" t="s">
        <v>3</v>
      </c>
      <c r="E244" s="684">
        <v>0</v>
      </c>
      <c r="F244" s="652">
        <f>SUMIFS(OBE!$H:$H,OBE!$C:$C,'Standalone TB'!$B244,OBE!$B:$B,"A21")</f>
        <v>0</v>
      </c>
      <c r="G244" s="652">
        <f>SUMIFS('Elimination - BS'!I:I,'Elimination - BS'!D:D,'Standalone TB'!B244,'Elimination - BS'!A:A,"EA21")</f>
        <v>0</v>
      </c>
      <c r="H244" s="652">
        <f t="shared" si="33"/>
        <v>0</v>
      </c>
      <c r="I244" s="652">
        <v>0</v>
      </c>
      <c r="J244" s="684">
        <v>0</v>
      </c>
      <c r="K244" s="652">
        <f>SUMIFS(OBE!$H:$H,OBE!$C:$C,'Standalone TB'!$B244,OBE!$B:$B,"A22")</f>
        <v>0</v>
      </c>
      <c r="L244" s="652">
        <f>SUMIFS('Elimination - BS'!I:I,'Elimination - BS'!D:D,'Standalone TB'!B244,'Elimination - BS'!A:A,"EA22")</f>
        <v>0</v>
      </c>
      <c r="M244" s="652">
        <f t="shared" si="26"/>
        <v>0</v>
      </c>
      <c r="N244" s="652">
        <f t="shared" si="27"/>
        <v>0</v>
      </c>
      <c r="O244" s="652">
        <v>0</v>
      </c>
      <c r="P244" s="685">
        <v>0</v>
      </c>
      <c r="Q244" s="684">
        <v>0</v>
      </c>
      <c r="R244" s="652">
        <f>SUMIFS(OBE!$H:$H,OBE!$C:$C,'Standalone TB'!$B244,OBE!$B:$B,"A20")</f>
        <v>0</v>
      </c>
      <c r="S244" s="652">
        <f>SUMIFS('Elimination - BS'!I:I,'Elimination - BS'!D:D,'Standalone TB'!B244,'Elimination - BS'!A:A,"EA20")</f>
        <v>0</v>
      </c>
      <c r="T244" s="652">
        <f t="shared" si="28"/>
        <v>0</v>
      </c>
      <c r="U244" s="652">
        <f t="shared" si="29"/>
        <v>0</v>
      </c>
      <c r="V244" s="652">
        <v>0</v>
      </c>
      <c r="W244" s="685">
        <v>0</v>
      </c>
      <c r="X244" s="689">
        <f t="shared" si="30"/>
        <v>0</v>
      </c>
      <c r="Y244" s="689">
        <f t="shared" si="31"/>
        <v>0</v>
      </c>
      <c r="Z244" s="652"/>
      <c r="AA244" s="652"/>
      <c r="AB244" s="666" t="s">
        <v>1891</v>
      </c>
      <c r="AD244" s="665"/>
    </row>
    <row r="245" spans="2:30" hidden="1" x14ac:dyDescent="0.2">
      <c r="B245" s="673" t="s">
        <v>2168</v>
      </c>
      <c r="C245" s="666" t="s">
        <v>2829</v>
      </c>
      <c r="D245" s="666" t="s">
        <v>3</v>
      </c>
      <c r="E245" s="684">
        <v>452964</v>
      </c>
      <c r="F245" s="652">
        <f>SUMIFS(OBE!$H:$H,OBE!$C:$C,'Standalone TB'!$B245,OBE!$B:$B,"A21")</f>
        <v>0</v>
      </c>
      <c r="G245" s="652">
        <f>SUMIFS('Elimination - BS'!I:I,'Elimination - BS'!D:D,'Standalone TB'!B245,'Elimination - BS'!A:A,"EA21")</f>
        <v>0</v>
      </c>
      <c r="H245" s="652">
        <f t="shared" si="33"/>
        <v>452964</v>
      </c>
      <c r="I245" s="652">
        <v>150453964</v>
      </c>
      <c r="J245" s="684">
        <v>0</v>
      </c>
      <c r="K245" s="652">
        <f>SUMIFS(OBE!$H:$H,OBE!$C:$C,'Standalone TB'!$B245,OBE!$B:$B,"A22")</f>
        <v>0</v>
      </c>
      <c r="L245" s="652">
        <f>SUMIFS('Elimination - BS'!I:I,'Elimination - BS'!D:D,'Standalone TB'!B245,'Elimination - BS'!A:A,"EA22")</f>
        <v>0</v>
      </c>
      <c r="M245" s="652">
        <f t="shared" si="26"/>
        <v>0</v>
      </c>
      <c r="N245" s="652">
        <f t="shared" si="27"/>
        <v>0</v>
      </c>
      <c r="O245" s="652">
        <v>0</v>
      </c>
      <c r="P245" s="685">
        <v>0</v>
      </c>
      <c r="Q245" s="684">
        <v>0</v>
      </c>
      <c r="R245" s="652">
        <f>SUMIFS(OBE!$H:$H,OBE!$C:$C,'Standalone TB'!$B245,OBE!$B:$B,"A20")</f>
        <v>0</v>
      </c>
      <c r="S245" s="652">
        <f>SUMIFS('Elimination - BS'!I:I,'Elimination - BS'!D:D,'Standalone TB'!B245,'Elimination - BS'!A:A,"EA20")</f>
        <v>0</v>
      </c>
      <c r="T245" s="652">
        <f t="shared" si="28"/>
        <v>0</v>
      </c>
      <c r="U245" s="652">
        <f t="shared" si="29"/>
        <v>0</v>
      </c>
      <c r="V245" s="652">
        <v>0</v>
      </c>
      <c r="W245" s="685">
        <v>0</v>
      </c>
      <c r="X245" s="689">
        <f t="shared" si="30"/>
        <v>452964</v>
      </c>
      <c r="Y245" s="689">
        <f t="shared" si="31"/>
        <v>150453964</v>
      </c>
      <c r="Z245" s="652" t="s">
        <v>598</v>
      </c>
      <c r="AA245" s="652" t="s">
        <v>9</v>
      </c>
      <c r="AB245" s="666" t="s">
        <v>1905</v>
      </c>
      <c r="AD245" s="665"/>
    </row>
    <row r="246" spans="2:30" hidden="1" x14ac:dyDescent="0.2">
      <c r="B246" s="673" t="s">
        <v>2169</v>
      </c>
      <c r="C246" s="666" t="s">
        <v>2170</v>
      </c>
      <c r="D246" s="666" t="s">
        <v>3</v>
      </c>
      <c r="E246" s="684">
        <v>0</v>
      </c>
      <c r="F246" s="652">
        <f>SUMIFS(OBE!$H:$H,OBE!$C:$C,'Standalone TB'!$B246,OBE!$B:$B,"A21")</f>
        <v>0</v>
      </c>
      <c r="G246" s="652">
        <f>SUMIFS('Elimination - BS'!I:I,'Elimination - BS'!D:D,'Standalone TB'!B246,'Elimination - BS'!A:A,"EA21")</f>
        <v>0</v>
      </c>
      <c r="H246" s="652">
        <f t="shared" si="33"/>
        <v>0</v>
      </c>
      <c r="I246" s="652">
        <v>180000000</v>
      </c>
      <c r="J246" s="684">
        <v>0</v>
      </c>
      <c r="K246" s="652">
        <f>SUMIFS(OBE!$H:$H,OBE!$C:$C,'Standalone TB'!$B246,OBE!$B:$B,"A22")</f>
        <v>0</v>
      </c>
      <c r="L246" s="652">
        <f>SUMIFS('Elimination - BS'!I:I,'Elimination - BS'!D:D,'Standalone TB'!B246,'Elimination - BS'!A:A,"EA22")</f>
        <v>0</v>
      </c>
      <c r="M246" s="652">
        <f t="shared" si="26"/>
        <v>0</v>
      </c>
      <c r="N246" s="652">
        <f t="shared" si="27"/>
        <v>0</v>
      </c>
      <c r="O246" s="652">
        <v>0</v>
      </c>
      <c r="P246" s="685">
        <v>0</v>
      </c>
      <c r="Q246" s="684">
        <v>0</v>
      </c>
      <c r="R246" s="652">
        <f>SUMIFS(OBE!$H:$H,OBE!$C:$C,'Standalone TB'!$B246,OBE!$B:$B,"A20")</f>
        <v>0</v>
      </c>
      <c r="S246" s="652">
        <f>SUMIFS('Elimination - BS'!I:I,'Elimination - BS'!D:D,'Standalone TB'!B246,'Elimination - BS'!A:A,"EA20")</f>
        <v>0</v>
      </c>
      <c r="T246" s="652">
        <f t="shared" si="28"/>
        <v>0</v>
      </c>
      <c r="U246" s="652">
        <f t="shared" si="29"/>
        <v>0</v>
      </c>
      <c r="V246" s="652">
        <v>0</v>
      </c>
      <c r="W246" s="685">
        <v>0</v>
      </c>
      <c r="X246" s="689">
        <f t="shared" si="30"/>
        <v>0</v>
      </c>
      <c r="Y246" s="689">
        <f t="shared" si="31"/>
        <v>180000000</v>
      </c>
      <c r="Z246" s="652" t="s">
        <v>598</v>
      </c>
      <c r="AA246" s="652" t="s">
        <v>9</v>
      </c>
      <c r="AB246" s="666" t="s">
        <v>1905</v>
      </c>
      <c r="AD246" s="665"/>
    </row>
    <row r="247" spans="2:30" hidden="1" x14ac:dyDescent="0.2">
      <c r="B247" s="673" t="s">
        <v>2171</v>
      </c>
      <c r="C247" s="666" t="s">
        <v>2172</v>
      </c>
      <c r="D247" s="666" t="s">
        <v>3</v>
      </c>
      <c r="E247" s="684">
        <v>5928471.6100000003</v>
      </c>
      <c r="F247" s="652">
        <f>SUMIFS(OBE!$H:$H,OBE!$C:$C,'Standalone TB'!$B247,OBE!$B:$B,"A21")</f>
        <v>0</v>
      </c>
      <c r="G247" s="652">
        <f>SUMIFS('Elimination - BS'!I:I,'Elimination - BS'!D:D,'Standalone TB'!B247,'Elimination - BS'!A:A,"EA21")</f>
        <v>0</v>
      </c>
      <c r="H247" s="652">
        <f t="shared" si="33"/>
        <v>5928471.6100000003</v>
      </c>
      <c r="I247" s="652">
        <v>2573613.1099999994</v>
      </c>
      <c r="J247" s="684">
        <v>0</v>
      </c>
      <c r="K247" s="652">
        <f>SUMIFS(OBE!$H:$H,OBE!$C:$C,'Standalone TB'!$B247,OBE!$B:$B,"A22")</f>
        <v>0</v>
      </c>
      <c r="L247" s="652">
        <f>SUMIFS('Elimination - BS'!I:I,'Elimination - BS'!D:D,'Standalone TB'!B247,'Elimination - BS'!A:A,"EA22")</f>
        <v>0</v>
      </c>
      <c r="M247" s="652">
        <f t="shared" si="26"/>
        <v>0</v>
      </c>
      <c r="N247" s="652">
        <f t="shared" si="27"/>
        <v>0</v>
      </c>
      <c r="O247" s="652">
        <v>0</v>
      </c>
      <c r="P247" s="685">
        <v>0</v>
      </c>
      <c r="Q247" s="684">
        <v>0</v>
      </c>
      <c r="R247" s="652">
        <f>SUMIFS(OBE!$H:$H,OBE!$C:$C,'Standalone TB'!$B247,OBE!$B:$B,"A20")</f>
        <v>0</v>
      </c>
      <c r="S247" s="652">
        <f>SUMIFS('Elimination - BS'!I:I,'Elimination - BS'!D:D,'Standalone TB'!B247,'Elimination - BS'!A:A,"EA20")</f>
        <v>0</v>
      </c>
      <c r="T247" s="652">
        <f t="shared" si="28"/>
        <v>0</v>
      </c>
      <c r="U247" s="652">
        <f t="shared" si="29"/>
        <v>0</v>
      </c>
      <c r="V247" s="652">
        <v>0</v>
      </c>
      <c r="W247" s="685">
        <v>0</v>
      </c>
      <c r="X247" s="689">
        <f t="shared" si="30"/>
        <v>5928471.6100000003</v>
      </c>
      <c r="Y247" s="689">
        <f t="shared" si="31"/>
        <v>2573613.1099999994</v>
      </c>
      <c r="Z247" s="652" t="s">
        <v>521</v>
      </c>
      <c r="AA247" s="652" t="s">
        <v>9</v>
      </c>
      <c r="AB247" s="666" t="s">
        <v>1923</v>
      </c>
      <c r="AD247" s="665"/>
    </row>
    <row r="248" spans="2:30" hidden="1" x14ac:dyDescent="0.2">
      <c r="B248" s="673" t="s">
        <v>2173</v>
      </c>
      <c r="C248" s="666" t="s">
        <v>2174</v>
      </c>
      <c r="D248" s="666" t="s">
        <v>3</v>
      </c>
      <c r="E248" s="684">
        <v>5928329.7699999996</v>
      </c>
      <c r="F248" s="652">
        <f>SUMIFS(OBE!$H:$H,OBE!$C:$C,'Standalone TB'!$B248,OBE!$B:$B,"A21")</f>
        <v>0</v>
      </c>
      <c r="G248" s="652">
        <f>SUMIFS('Elimination - BS'!I:I,'Elimination - BS'!D:D,'Standalone TB'!B248,'Elimination - BS'!A:A,"EA21")</f>
        <v>0</v>
      </c>
      <c r="H248" s="652">
        <f t="shared" si="33"/>
        <v>5928329.7699999996</v>
      </c>
      <c r="I248" s="652">
        <v>2573471.1899999995</v>
      </c>
      <c r="J248" s="684">
        <v>0</v>
      </c>
      <c r="K248" s="652">
        <f>SUMIFS(OBE!$H:$H,OBE!$C:$C,'Standalone TB'!$B248,OBE!$B:$B,"A22")</f>
        <v>0</v>
      </c>
      <c r="L248" s="652">
        <f>SUMIFS('Elimination - BS'!I:I,'Elimination - BS'!D:D,'Standalone TB'!B248,'Elimination - BS'!A:A,"EA22")</f>
        <v>0</v>
      </c>
      <c r="M248" s="652">
        <f t="shared" si="26"/>
        <v>0</v>
      </c>
      <c r="N248" s="652">
        <f t="shared" si="27"/>
        <v>0</v>
      </c>
      <c r="O248" s="652">
        <v>0</v>
      </c>
      <c r="P248" s="685">
        <v>0</v>
      </c>
      <c r="Q248" s="684">
        <v>0</v>
      </c>
      <c r="R248" s="652">
        <f>SUMIFS(OBE!$H:$H,OBE!$C:$C,'Standalone TB'!$B248,OBE!$B:$B,"A20")</f>
        <v>0</v>
      </c>
      <c r="S248" s="652">
        <f>SUMIFS('Elimination - BS'!I:I,'Elimination - BS'!D:D,'Standalone TB'!B248,'Elimination - BS'!A:A,"EA20")</f>
        <v>0</v>
      </c>
      <c r="T248" s="652">
        <f t="shared" si="28"/>
        <v>0</v>
      </c>
      <c r="U248" s="652">
        <f t="shared" si="29"/>
        <v>0</v>
      </c>
      <c r="V248" s="652">
        <v>0</v>
      </c>
      <c r="W248" s="685">
        <v>0</v>
      </c>
      <c r="X248" s="689">
        <f t="shared" si="30"/>
        <v>5928329.7699999996</v>
      </c>
      <c r="Y248" s="689">
        <f t="shared" si="31"/>
        <v>2573471.1899999995</v>
      </c>
      <c r="Z248" s="652" t="s">
        <v>521</v>
      </c>
      <c r="AA248" s="652" t="s">
        <v>9</v>
      </c>
      <c r="AB248" s="666" t="s">
        <v>1923</v>
      </c>
      <c r="AD248" s="665"/>
    </row>
    <row r="249" spans="2:30" hidden="1" x14ac:dyDescent="0.2">
      <c r="B249" s="673" t="s">
        <v>1647</v>
      </c>
      <c r="C249" s="666" t="s">
        <v>2175</v>
      </c>
      <c r="D249" s="666" t="s">
        <v>3</v>
      </c>
      <c r="E249" s="684">
        <v>125713236.38</v>
      </c>
      <c r="F249" s="652">
        <f>SUMIFS(OBE!$H:$H,OBE!$C:$C,'Standalone TB'!$B249,OBE!$B:$B,"A21")</f>
        <v>8291951</v>
      </c>
      <c r="G249" s="652">
        <f>SUMIFS('Elimination - BS'!I:I,'Elimination - BS'!D:D,'Standalone TB'!B249,'Elimination - BS'!A:A,"EA21")</f>
        <v>0</v>
      </c>
      <c r="H249" s="652">
        <f t="shared" si="33"/>
        <v>134005187.38</v>
      </c>
      <c r="I249" s="652">
        <v>13792482.120000005</v>
      </c>
      <c r="J249" s="684">
        <v>0</v>
      </c>
      <c r="K249" s="652">
        <f>SUMIFS(OBE!$H:$H,OBE!$C:$C,'Standalone TB'!$B249,OBE!$B:$B,"A22")</f>
        <v>0</v>
      </c>
      <c r="L249" s="652">
        <f>SUMIFS('Elimination - BS'!I:I,'Elimination - BS'!D:D,'Standalone TB'!B249,'Elimination - BS'!A:A,"EA22")</f>
        <v>0</v>
      </c>
      <c r="M249" s="652">
        <f t="shared" si="26"/>
        <v>0</v>
      </c>
      <c r="N249" s="652">
        <f t="shared" si="27"/>
        <v>0</v>
      </c>
      <c r="O249" s="652">
        <v>0</v>
      </c>
      <c r="P249" s="685">
        <v>0</v>
      </c>
      <c r="Q249" s="684">
        <v>0</v>
      </c>
      <c r="R249" s="652">
        <f>SUMIFS(OBE!$H:$H,OBE!$C:$C,'Standalone TB'!$B249,OBE!$B:$B,"A20")</f>
        <v>0</v>
      </c>
      <c r="S249" s="652">
        <f>SUMIFS('Elimination - BS'!I:I,'Elimination - BS'!D:D,'Standalone TB'!B249,'Elimination - BS'!A:A,"EA20")</f>
        <v>0</v>
      </c>
      <c r="T249" s="652">
        <f t="shared" si="28"/>
        <v>0</v>
      </c>
      <c r="U249" s="652">
        <f t="shared" si="29"/>
        <v>0</v>
      </c>
      <c r="V249" s="652">
        <v>0</v>
      </c>
      <c r="W249" s="685">
        <v>0</v>
      </c>
      <c r="X249" s="689">
        <f t="shared" si="30"/>
        <v>134005187.38</v>
      </c>
      <c r="Y249" s="689">
        <f t="shared" si="31"/>
        <v>13792482.120000005</v>
      </c>
      <c r="Z249" s="652" t="s">
        <v>521</v>
      </c>
      <c r="AA249" s="652" t="s">
        <v>9</v>
      </c>
      <c r="AB249" s="666" t="s">
        <v>1923</v>
      </c>
      <c r="AD249" s="665"/>
    </row>
    <row r="250" spans="2:30" hidden="1" x14ac:dyDescent="0.2">
      <c r="B250" s="673" t="s">
        <v>2176</v>
      </c>
      <c r="C250" s="666" t="s">
        <v>2177</v>
      </c>
      <c r="D250" s="666" t="s">
        <v>3</v>
      </c>
      <c r="E250" s="684">
        <v>-542932.41</v>
      </c>
      <c r="F250" s="652">
        <f>SUMIFS(OBE!$H:$H,OBE!$C:$C,'Standalone TB'!$B250,OBE!$B:$B,"A21")</f>
        <v>0</v>
      </c>
      <c r="G250" s="652">
        <f>SUMIFS('Elimination - BS'!I:I,'Elimination - BS'!D:D,'Standalone TB'!B250,'Elimination - BS'!A:A,"EA21")</f>
        <v>0</v>
      </c>
      <c r="H250" s="652">
        <f t="shared" si="33"/>
        <v>-542932.41</v>
      </c>
      <c r="I250" s="652">
        <v>-25497979.280000001</v>
      </c>
      <c r="J250" s="684">
        <v>0</v>
      </c>
      <c r="K250" s="652">
        <f>SUMIFS(OBE!$H:$H,OBE!$C:$C,'Standalone TB'!$B250,OBE!$B:$B,"A22")</f>
        <v>0</v>
      </c>
      <c r="L250" s="652">
        <f>SUMIFS('Elimination - BS'!I:I,'Elimination - BS'!D:D,'Standalone TB'!B250,'Elimination - BS'!A:A,"EA22")</f>
        <v>0</v>
      </c>
      <c r="M250" s="652">
        <f t="shared" si="26"/>
        <v>0</v>
      </c>
      <c r="N250" s="652">
        <f t="shared" si="27"/>
        <v>0</v>
      </c>
      <c r="O250" s="652">
        <v>0</v>
      </c>
      <c r="P250" s="685">
        <v>0</v>
      </c>
      <c r="Q250" s="684">
        <v>0</v>
      </c>
      <c r="R250" s="652">
        <f>SUMIFS(OBE!$H:$H,OBE!$C:$C,'Standalone TB'!$B250,OBE!$B:$B,"A20")</f>
        <v>0</v>
      </c>
      <c r="S250" s="652">
        <f>SUMIFS('Elimination - BS'!I:I,'Elimination - BS'!D:D,'Standalone TB'!B250,'Elimination - BS'!A:A,"EA20")</f>
        <v>0</v>
      </c>
      <c r="T250" s="652">
        <f t="shared" si="28"/>
        <v>0</v>
      </c>
      <c r="U250" s="652">
        <f t="shared" si="29"/>
        <v>0</v>
      </c>
      <c r="V250" s="652">
        <v>0</v>
      </c>
      <c r="W250" s="685">
        <v>0</v>
      </c>
      <c r="X250" s="689">
        <f t="shared" si="30"/>
        <v>-542932.41</v>
      </c>
      <c r="Y250" s="689">
        <f t="shared" si="31"/>
        <v>-25497979.280000001</v>
      </c>
      <c r="Z250" s="652" t="s">
        <v>521</v>
      </c>
      <c r="AA250" s="652" t="s">
        <v>9</v>
      </c>
      <c r="AB250" s="666" t="s">
        <v>1923</v>
      </c>
      <c r="AD250" s="665"/>
    </row>
    <row r="251" spans="2:30" hidden="1" x14ac:dyDescent="0.2">
      <c r="B251" s="673" t="s">
        <v>2178</v>
      </c>
      <c r="C251" s="666" t="s">
        <v>2179</v>
      </c>
      <c r="D251" s="666" t="s">
        <v>3</v>
      </c>
      <c r="E251" s="684">
        <v>-542933.41</v>
      </c>
      <c r="F251" s="652">
        <f>SUMIFS(OBE!$H:$H,OBE!$C:$C,'Standalone TB'!$B251,OBE!$B:$B,"A21")</f>
        <v>0</v>
      </c>
      <c r="G251" s="652">
        <f>SUMIFS('Elimination - BS'!I:I,'Elimination - BS'!D:D,'Standalone TB'!B251,'Elimination - BS'!A:A,"EA21")</f>
        <v>0</v>
      </c>
      <c r="H251" s="652">
        <f t="shared" si="33"/>
        <v>-542933.41</v>
      </c>
      <c r="I251" s="652">
        <v>-22721359.280000001</v>
      </c>
      <c r="J251" s="684">
        <v>0</v>
      </c>
      <c r="K251" s="652">
        <f>SUMIFS(OBE!$H:$H,OBE!$C:$C,'Standalone TB'!$B251,OBE!$B:$B,"A22")</f>
        <v>0</v>
      </c>
      <c r="L251" s="652">
        <f>SUMIFS('Elimination - BS'!I:I,'Elimination - BS'!D:D,'Standalone TB'!B251,'Elimination - BS'!A:A,"EA22")</f>
        <v>0</v>
      </c>
      <c r="M251" s="652">
        <f t="shared" si="26"/>
        <v>0</v>
      </c>
      <c r="N251" s="652">
        <f t="shared" si="27"/>
        <v>0</v>
      </c>
      <c r="O251" s="652">
        <v>0</v>
      </c>
      <c r="P251" s="685">
        <v>0</v>
      </c>
      <c r="Q251" s="684">
        <v>0</v>
      </c>
      <c r="R251" s="652">
        <f>SUMIFS(OBE!$H:$H,OBE!$C:$C,'Standalone TB'!$B251,OBE!$B:$B,"A20")</f>
        <v>0</v>
      </c>
      <c r="S251" s="652">
        <f>SUMIFS('Elimination - BS'!I:I,'Elimination - BS'!D:D,'Standalone TB'!B251,'Elimination - BS'!A:A,"EA20")</f>
        <v>0</v>
      </c>
      <c r="T251" s="652">
        <f t="shared" si="28"/>
        <v>0</v>
      </c>
      <c r="U251" s="652">
        <f t="shared" si="29"/>
        <v>0</v>
      </c>
      <c r="V251" s="652">
        <v>0</v>
      </c>
      <c r="W251" s="685">
        <v>0</v>
      </c>
      <c r="X251" s="689">
        <f t="shared" si="30"/>
        <v>-542933.41</v>
      </c>
      <c r="Y251" s="689">
        <f t="shared" si="31"/>
        <v>-22721359.280000001</v>
      </c>
      <c r="Z251" s="652" t="s">
        <v>521</v>
      </c>
      <c r="AA251" s="652" t="s">
        <v>9</v>
      </c>
      <c r="AB251" s="666" t="s">
        <v>1923</v>
      </c>
      <c r="AD251" s="665"/>
    </row>
    <row r="252" spans="2:30" hidden="1" x14ac:dyDescent="0.2">
      <c r="B252" s="673" t="s">
        <v>1649</v>
      </c>
      <c r="C252" s="666" t="s">
        <v>2180</v>
      </c>
      <c r="D252" s="666" t="s">
        <v>3</v>
      </c>
      <c r="E252" s="684">
        <v>25878663.899999999</v>
      </c>
      <c r="F252" s="652">
        <f>SUMIFS(OBE!$H:$H,OBE!$C:$C,'Standalone TB'!$B252,OBE!$B:$B,"A21")</f>
        <v>-8291951</v>
      </c>
      <c r="G252" s="652">
        <f>SUMIFS('Elimination - BS'!I:I,'Elimination - BS'!D:D,'Standalone TB'!B252,'Elimination - BS'!A:A,"EA21")</f>
        <v>0</v>
      </c>
      <c r="H252" s="652">
        <f t="shared" si="33"/>
        <v>17586712.899999999</v>
      </c>
      <c r="I252" s="652">
        <v>64524066.520000011</v>
      </c>
      <c r="J252" s="684">
        <v>0</v>
      </c>
      <c r="K252" s="652">
        <f>SUMIFS(OBE!$H:$H,OBE!$C:$C,'Standalone TB'!$B252,OBE!$B:$B,"A22")</f>
        <v>0</v>
      </c>
      <c r="L252" s="652">
        <f>SUMIFS('Elimination - BS'!I:I,'Elimination - BS'!D:D,'Standalone TB'!B252,'Elimination - BS'!A:A,"EA22")</f>
        <v>0</v>
      </c>
      <c r="M252" s="652">
        <f t="shared" si="26"/>
        <v>0</v>
      </c>
      <c r="N252" s="652">
        <f t="shared" si="27"/>
        <v>0</v>
      </c>
      <c r="O252" s="652">
        <v>0</v>
      </c>
      <c r="P252" s="685">
        <v>0</v>
      </c>
      <c r="Q252" s="684">
        <v>0</v>
      </c>
      <c r="R252" s="652">
        <f>SUMIFS(OBE!$H:$H,OBE!$C:$C,'Standalone TB'!$B252,OBE!$B:$B,"A20")</f>
        <v>0</v>
      </c>
      <c r="S252" s="652">
        <f>SUMIFS('Elimination - BS'!I:I,'Elimination - BS'!D:D,'Standalone TB'!B252,'Elimination - BS'!A:A,"EA20")</f>
        <v>0</v>
      </c>
      <c r="T252" s="652">
        <f t="shared" si="28"/>
        <v>0</v>
      </c>
      <c r="U252" s="652">
        <f t="shared" si="29"/>
        <v>0</v>
      </c>
      <c r="V252" s="652">
        <v>0</v>
      </c>
      <c r="W252" s="685">
        <v>0</v>
      </c>
      <c r="X252" s="689">
        <f t="shared" si="30"/>
        <v>17586712.899999999</v>
      </c>
      <c r="Y252" s="689">
        <f t="shared" si="31"/>
        <v>64524066.520000011</v>
      </c>
      <c r="Z252" s="652" t="s">
        <v>521</v>
      </c>
      <c r="AA252" s="652" t="s">
        <v>9</v>
      </c>
      <c r="AB252" s="666" t="s">
        <v>1923</v>
      </c>
      <c r="AD252" s="665"/>
    </row>
    <row r="253" spans="2:30" hidden="1" x14ac:dyDescent="0.2">
      <c r="B253" s="673" t="s">
        <v>2181</v>
      </c>
      <c r="C253" s="666" t="s">
        <v>2182</v>
      </c>
      <c r="D253" s="666" t="s">
        <v>3</v>
      </c>
      <c r="E253" s="684">
        <v>0</v>
      </c>
      <c r="F253" s="652">
        <f>SUMIFS(OBE!$H:$H,OBE!$C:$C,'Standalone TB'!$B253,OBE!$B:$B,"A21")</f>
        <v>0</v>
      </c>
      <c r="G253" s="652">
        <f>SUMIFS('Elimination - BS'!I:I,'Elimination - BS'!D:D,'Standalone TB'!B253,'Elimination - BS'!A:A,"EA21")</f>
        <v>0</v>
      </c>
      <c r="H253" s="652">
        <f t="shared" si="33"/>
        <v>0</v>
      </c>
      <c r="I253" s="652">
        <v>0</v>
      </c>
      <c r="J253" s="684">
        <v>502864.04</v>
      </c>
      <c r="K253" s="652">
        <f>SUMIFS(OBE!$H:$H,OBE!$C:$C,'Standalone TB'!$B253,OBE!$B:$B,"A22")</f>
        <v>0</v>
      </c>
      <c r="L253" s="652">
        <f>SUMIFS('Elimination - BS'!I:I,'Elimination - BS'!D:D,'Standalone TB'!B253,'Elimination - BS'!A:A,"EA22")</f>
        <v>0</v>
      </c>
      <c r="M253" s="652">
        <f t="shared" si="26"/>
        <v>502864.04</v>
      </c>
      <c r="N253" s="652">
        <f t="shared" si="27"/>
        <v>11713664.754306838</v>
      </c>
      <c r="O253" s="652">
        <v>437858.51</v>
      </c>
      <c r="P253" s="685">
        <v>9934703.0909429993</v>
      </c>
      <c r="Q253" s="684">
        <v>0</v>
      </c>
      <c r="R253" s="652">
        <f>SUMIFS(OBE!$H:$H,OBE!$C:$C,'Standalone TB'!$B253,OBE!$B:$B,"A20")</f>
        <v>0</v>
      </c>
      <c r="S253" s="652">
        <f>SUMIFS('Elimination - BS'!I:I,'Elimination - BS'!D:D,'Standalone TB'!B253,'Elimination - BS'!A:A,"EA20")</f>
        <v>0</v>
      </c>
      <c r="T253" s="652">
        <f t="shared" si="28"/>
        <v>0</v>
      </c>
      <c r="U253" s="652">
        <f t="shared" si="29"/>
        <v>0</v>
      </c>
      <c r="V253" s="652">
        <v>0</v>
      </c>
      <c r="W253" s="685">
        <v>0</v>
      </c>
      <c r="X253" s="689">
        <f t="shared" si="30"/>
        <v>11713664.754306838</v>
      </c>
      <c r="Y253" s="689">
        <f t="shared" si="31"/>
        <v>9934703.0909429993</v>
      </c>
      <c r="Z253" s="652" t="s">
        <v>521</v>
      </c>
      <c r="AA253" s="652" t="s">
        <v>9</v>
      </c>
      <c r="AB253" s="666" t="s">
        <v>1923</v>
      </c>
      <c r="AD253" s="665"/>
    </row>
    <row r="254" spans="2:30" hidden="1" x14ac:dyDescent="0.2">
      <c r="B254" s="673" t="s">
        <v>2183</v>
      </c>
      <c r="C254" s="666" t="s">
        <v>2184</v>
      </c>
      <c r="D254" s="666" t="s">
        <v>3</v>
      </c>
      <c r="E254" s="684">
        <v>0</v>
      </c>
      <c r="F254" s="652">
        <f>SUMIFS(OBE!$H:$H,OBE!$C:$C,'Standalone TB'!$B254,OBE!$B:$B,"A21")</f>
        <v>0</v>
      </c>
      <c r="G254" s="652">
        <f>SUMIFS('Elimination - BS'!I:I,'Elimination - BS'!D:D,'Standalone TB'!B254,'Elimination - BS'!A:A,"EA21")</f>
        <v>0</v>
      </c>
      <c r="H254" s="652">
        <f t="shared" si="33"/>
        <v>0</v>
      </c>
      <c r="I254" s="652">
        <v>0</v>
      </c>
      <c r="J254" s="684">
        <v>1039377.31</v>
      </c>
      <c r="K254" s="652">
        <f>SUMIFS(OBE!$H:$H,OBE!$C:$C,'Standalone TB'!$B254,OBE!$B:$B,"A22")</f>
        <v>0</v>
      </c>
      <c r="L254" s="652">
        <f>SUMIFS('Elimination - BS'!I:I,'Elimination - BS'!D:D,'Standalone TB'!B254,'Elimination - BS'!A:A,"EA22")</f>
        <v>0</v>
      </c>
      <c r="M254" s="652">
        <f t="shared" si="26"/>
        <v>1039377.31</v>
      </c>
      <c r="N254" s="652">
        <f t="shared" si="27"/>
        <v>24211151.313530501</v>
      </c>
      <c r="O254" s="652">
        <v>755037.9</v>
      </c>
      <c r="P254" s="685">
        <v>17131281.42447</v>
      </c>
      <c r="Q254" s="684">
        <v>0</v>
      </c>
      <c r="R254" s="652">
        <f>SUMIFS(OBE!$H:$H,OBE!$C:$C,'Standalone TB'!$B254,OBE!$B:$B,"A20")</f>
        <v>0</v>
      </c>
      <c r="S254" s="652">
        <f>SUMIFS('Elimination - BS'!I:I,'Elimination - BS'!D:D,'Standalone TB'!B254,'Elimination - BS'!A:A,"EA20")</f>
        <v>0</v>
      </c>
      <c r="T254" s="652">
        <f t="shared" si="28"/>
        <v>0</v>
      </c>
      <c r="U254" s="652">
        <f t="shared" si="29"/>
        <v>0</v>
      </c>
      <c r="V254" s="652">
        <v>0</v>
      </c>
      <c r="W254" s="685">
        <v>0</v>
      </c>
      <c r="X254" s="689">
        <f t="shared" si="30"/>
        <v>24211151.313530501</v>
      </c>
      <c r="Y254" s="689">
        <f t="shared" si="31"/>
        <v>17131281.42447</v>
      </c>
      <c r="Z254" s="652" t="s">
        <v>521</v>
      </c>
      <c r="AA254" s="652" t="s">
        <v>9</v>
      </c>
      <c r="AB254" s="666" t="s">
        <v>1923</v>
      </c>
      <c r="AD254" s="665"/>
    </row>
    <row r="255" spans="2:30" hidden="1" x14ac:dyDescent="0.2">
      <c r="B255" s="673" t="s">
        <v>2185</v>
      </c>
      <c r="C255" s="666" t="s">
        <v>2186</v>
      </c>
      <c r="D255" s="666" t="s">
        <v>3</v>
      </c>
      <c r="E255" s="684">
        <v>0</v>
      </c>
      <c r="F255" s="652">
        <f>SUMIFS(OBE!$H:$H,OBE!$C:$C,'Standalone TB'!$B255,OBE!$B:$B,"A21")</f>
        <v>0</v>
      </c>
      <c r="G255" s="652">
        <f>SUMIFS('Elimination - BS'!I:I,'Elimination - BS'!D:D,'Standalone TB'!B255,'Elimination - BS'!A:A,"EA21")</f>
        <v>0</v>
      </c>
      <c r="H255" s="652">
        <f t="shared" si="33"/>
        <v>0</v>
      </c>
      <c r="I255" s="652">
        <v>0</v>
      </c>
      <c r="J255" s="684">
        <v>-1575147.82</v>
      </c>
      <c r="K255" s="652">
        <f>SUMIFS(OBE!$H:$H,OBE!$C:$C,'Standalone TB'!$B255,OBE!$B:$B,"A22")</f>
        <v>0</v>
      </c>
      <c r="L255" s="652">
        <f>SUMIFS('Elimination - BS'!I:I,'Elimination - BS'!D:D,'Standalone TB'!B255,'Elimination - BS'!A:A,"EA22")</f>
        <v>0</v>
      </c>
      <c r="M255" s="652">
        <f t="shared" si="26"/>
        <v>-1575147.82</v>
      </c>
      <c r="N255" s="652">
        <f t="shared" si="27"/>
        <v>-36691336.095452867</v>
      </c>
      <c r="O255" s="652">
        <v>-1111067.7</v>
      </c>
      <c r="P255" s="685">
        <v>-25209348.36561</v>
      </c>
      <c r="Q255" s="684">
        <v>0</v>
      </c>
      <c r="R255" s="652">
        <f>SUMIFS(OBE!$H:$H,OBE!$C:$C,'Standalone TB'!$B255,OBE!$B:$B,"A20")</f>
        <v>0</v>
      </c>
      <c r="S255" s="652">
        <f>SUMIFS('Elimination - BS'!I:I,'Elimination - BS'!D:D,'Standalone TB'!B255,'Elimination - BS'!A:A,"EA20")</f>
        <v>0</v>
      </c>
      <c r="T255" s="652">
        <f t="shared" si="28"/>
        <v>0</v>
      </c>
      <c r="U255" s="652">
        <f t="shared" si="29"/>
        <v>0</v>
      </c>
      <c r="V255" s="652">
        <v>0</v>
      </c>
      <c r="W255" s="685">
        <v>0</v>
      </c>
      <c r="X255" s="689">
        <f t="shared" si="30"/>
        <v>-36691336.095452867</v>
      </c>
      <c r="Y255" s="689">
        <f t="shared" si="31"/>
        <v>-25209348.36561</v>
      </c>
      <c r="Z255" s="652" t="s">
        <v>521</v>
      </c>
      <c r="AA255" s="652" t="s">
        <v>9</v>
      </c>
      <c r="AB255" s="666" t="s">
        <v>1923</v>
      </c>
      <c r="AD255" s="665"/>
    </row>
    <row r="256" spans="2:30" hidden="1" x14ac:dyDescent="0.2">
      <c r="B256" s="673" t="s">
        <v>2187</v>
      </c>
      <c r="C256" s="666" t="s">
        <v>2188</v>
      </c>
      <c r="D256" s="666" t="s">
        <v>3</v>
      </c>
      <c r="E256" s="684">
        <v>0</v>
      </c>
      <c r="F256" s="652">
        <f>SUMIFS(OBE!$H:$H,OBE!$C:$C,'Standalone TB'!$B256,OBE!$B:$B,"A21")</f>
        <v>0</v>
      </c>
      <c r="G256" s="652">
        <f>SUMIFS('Elimination - BS'!I:I,'Elimination - BS'!D:D,'Standalone TB'!B256,'Elimination - BS'!A:A,"EA21")</f>
        <v>0</v>
      </c>
      <c r="H256" s="652">
        <f t="shared" si="33"/>
        <v>0</v>
      </c>
      <c r="I256" s="652">
        <v>0</v>
      </c>
      <c r="J256" s="684">
        <v>0</v>
      </c>
      <c r="K256" s="652">
        <f>SUMIFS(OBE!$H:$H,OBE!$C:$C,'Standalone TB'!$B256,OBE!$B:$B,"A22")</f>
        <v>0</v>
      </c>
      <c r="L256" s="652">
        <f>SUMIFS('Elimination - BS'!I:I,'Elimination - BS'!D:D,'Standalone TB'!B256,'Elimination - BS'!A:A,"EA22")</f>
        <v>0</v>
      </c>
      <c r="M256" s="652">
        <f t="shared" si="26"/>
        <v>0</v>
      </c>
      <c r="N256" s="652">
        <f t="shared" si="27"/>
        <v>0</v>
      </c>
      <c r="O256" s="652">
        <v>0</v>
      </c>
      <c r="P256" s="685">
        <v>0</v>
      </c>
      <c r="Q256" s="684">
        <v>0</v>
      </c>
      <c r="R256" s="652">
        <f>SUMIFS(OBE!$H:$H,OBE!$C:$C,'Standalone TB'!$B256,OBE!$B:$B,"A20")</f>
        <v>0</v>
      </c>
      <c r="S256" s="652">
        <f>SUMIFS('Elimination - BS'!I:I,'Elimination - BS'!D:D,'Standalone TB'!B256,'Elimination - BS'!A:A,"EA20")</f>
        <v>0</v>
      </c>
      <c r="T256" s="652">
        <f t="shared" si="28"/>
        <v>0</v>
      </c>
      <c r="U256" s="652">
        <f t="shared" si="29"/>
        <v>0</v>
      </c>
      <c r="V256" s="652">
        <v>0</v>
      </c>
      <c r="W256" s="685">
        <v>0</v>
      </c>
      <c r="X256" s="689">
        <f t="shared" si="30"/>
        <v>0</v>
      </c>
      <c r="Y256" s="689">
        <f t="shared" si="31"/>
        <v>0</v>
      </c>
      <c r="Z256" s="652" t="s">
        <v>521</v>
      </c>
      <c r="AA256" s="652" t="s">
        <v>9</v>
      </c>
      <c r="AB256" s="666" t="s">
        <v>1923</v>
      </c>
      <c r="AD256" s="665"/>
    </row>
    <row r="257" spans="2:30" hidden="1" x14ac:dyDescent="0.2">
      <c r="B257" s="673" t="s">
        <v>2189</v>
      </c>
      <c r="C257" s="666" t="s">
        <v>2190</v>
      </c>
      <c r="D257" s="666" t="s">
        <v>3</v>
      </c>
      <c r="E257" s="684">
        <v>0</v>
      </c>
      <c r="F257" s="652">
        <f>SUMIFS(OBE!$H:$H,OBE!$C:$C,'Standalone TB'!$B257,OBE!$B:$B,"A21")</f>
        <v>0</v>
      </c>
      <c r="G257" s="652">
        <f>SUMIFS('Elimination - BS'!I:I,'Elimination - BS'!D:D,'Standalone TB'!B257,'Elimination - BS'!A:A,"EA21")</f>
        <v>0</v>
      </c>
      <c r="H257" s="652">
        <f t="shared" si="33"/>
        <v>0</v>
      </c>
      <c r="I257" s="652">
        <v>0</v>
      </c>
      <c r="J257" s="684">
        <v>0</v>
      </c>
      <c r="K257" s="652">
        <f>SUMIFS(OBE!$H:$H,OBE!$C:$C,'Standalone TB'!$B257,OBE!$B:$B,"A22")</f>
        <v>0</v>
      </c>
      <c r="L257" s="652">
        <f>SUMIFS('Elimination - BS'!I:I,'Elimination - BS'!D:D,'Standalone TB'!B257,'Elimination - BS'!A:A,"EA22")</f>
        <v>0</v>
      </c>
      <c r="M257" s="652">
        <f t="shared" si="26"/>
        <v>0</v>
      </c>
      <c r="N257" s="652">
        <f t="shared" si="27"/>
        <v>0</v>
      </c>
      <c r="O257" s="652">
        <v>0</v>
      </c>
      <c r="P257" s="685">
        <v>0</v>
      </c>
      <c r="Q257" s="684">
        <v>0</v>
      </c>
      <c r="R257" s="652">
        <f>SUMIFS(OBE!$H:$H,OBE!$C:$C,'Standalone TB'!$B257,OBE!$B:$B,"A20")</f>
        <v>0</v>
      </c>
      <c r="S257" s="652">
        <f>SUMIFS('Elimination - BS'!I:I,'Elimination - BS'!D:D,'Standalone TB'!B257,'Elimination - BS'!A:A,"EA20")</f>
        <v>0</v>
      </c>
      <c r="T257" s="652">
        <f t="shared" si="28"/>
        <v>0</v>
      </c>
      <c r="U257" s="652">
        <f t="shared" si="29"/>
        <v>0</v>
      </c>
      <c r="V257" s="652">
        <v>0</v>
      </c>
      <c r="W257" s="685">
        <v>0</v>
      </c>
      <c r="X257" s="689">
        <f t="shared" si="30"/>
        <v>0</v>
      </c>
      <c r="Y257" s="689">
        <f t="shared" si="31"/>
        <v>0</v>
      </c>
      <c r="Z257" s="652" t="s">
        <v>521</v>
      </c>
      <c r="AA257" s="652" t="s">
        <v>9</v>
      </c>
      <c r="AB257" s="666" t="s">
        <v>1923</v>
      </c>
      <c r="AD257" s="665"/>
    </row>
    <row r="258" spans="2:30" hidden="1" x14ac:dyDescent="0.2">
      <c r="B258" s="673" t="s">
        <v>2191</v>
      </c>
      <c r="C258" s="666" t="s">
        <v>2192</v>
      </c>
      <c r="D258" s="666" t="s">
        <v>3</v>
      </c>
      <c r="E258" s="684">
        <v>0</v>
      </c>
      <c r="F258" s="652">
        <f>SUMIFS(OBE!$H:$H,OBE!$C:$C,'Standalone TB'!$B258,OBE!$B:$B,"A21")</f>
        <v>0</v>
      </c>
      <c r="G258" s="652">
        <f>SUMIFS('Elimination - BS'!I:I,'Elimination - BS'!D:D,'Standalone TB'!B258,'Elimination - BS'!A:A,"EA21")</f>
        <v>0</v>
      </c>
      <c r="H258" s="652">
        <f t="shared" si="33"/>
        <v>0</v>
      </c>
      <c r="I258" s="652">
        <v>0</v>
      </c>
      <c r="J258" s="684">
        <v>0</v>
      </c>
      <c r="K258" s="652">
        <f>SUMIFS(OBE!$H:$H,OBE!$C:$C,'Standalone TB'!$B258,OBE!$B:$B,"A22")</f>
        <v>0</v>
      </c>
      <c r="L258" s="652">
        <f>SUMIFS('Elimination - BS'!I:I,'Elimination - BS'!D:D,'Standalone TB'!B258,'Elimination - BS'!A:A,"EA22")</f>
        <v>0</v>
      </c>
      <c r="M258" s="652">
        <f t="shared" si="26"/>
        <v>0</v>
      </c>
      <c r="N258" s="652">
        <f t="shared" si="27"/>
        <v>0</v>
      </c>
      <c r="O258" s="652">
        <v>0</v>
      </c>
      <c r="P258" s="685">
        <v>0</v>
      </c>
      <c r="Q258" s="684">
        <v>0</v>
      </c>
      <c r="R258" s="652">
        <f>SUMIFS(OBE!$H:$H,OBE!$C:$C,'Standalone TB'!$B258,OBE!$B:$B,"A20")</f>
        <v>0</v>
      </c>
      <c r="S258" s="652">
        <f>SUMIFS('Elimination - BS'!I:I,'Elimination - BS'!D:D,'Standalone TB'!B258,'Elimination - BS'!A:A,"EA20")</f>
        <v>0</v>
      </c>
      <c r="T258" s="652">
        <f t="shared" si="28"/>
        <v>0</v>
      </c>
      <c r="U258" s="652">
        <f t="shared" si="29"/>
        <v>0</v>
      </c>
      <c r="V258" s="652">
        <v>0</v>
      </c>
      <c r="W258" s="685">
        <v>0</v>
      </c>
      <c r="X258" s="689">
        <f t="shared" si="30"/>
        <v>0</v>
      </c>
      <c r="Y258" s="689">
        <f t="shared" si="31"/>
        <v>0</v>
      </c>
      <c r="Z258" s="652" t="s">
        <v>521</v>
      </c>
      <c r="AA258" s="652" t="s">
        <v>9</v>
      </c>
      <c r="AB258" s="666" t="s">
        <v>1923</v>
      </c>
      <c r="AD258" s="665"/>
    </row>
    <row r="259" spans="2:30" hidden="1" x14ac:dyDescent="0.2">
      <c r="B259" s="673" t="s">
        <v>2193</v>
      </c>
      <c r="C259" s="666" t="s">
        <v>2194</v>
      </c>
      <c r="D259" s="666" t="s">
        <v>3</v>
      </c>
      <c r="E259" s="684">
        <v>0</v>
      </c>
      <c r="F259" s="652">
        <f>SUMIFS(OBE!$H:$H,OBE!$C:$C,'Standalone TB'!$B259,OBE!$B:$B,"A21")</f>
        <v>0</v>
      </c>
      <c r="G259" s="652">
        <f>SUMIFS('Elimination - BS'!I:I,'Elimination - BS'!D:D,'Standalone TB'!B259,'Elimination - BS'!A:A,"EA21")</f>
        <v>0</v>
      </c>
      <c r="H259" s="652">
        <f t="shared" si="33"/>
        <v>0</v>
      </c>
      <c r="I259" s="652">
        <v>0</v>
      </c>
      <c r="J259" s="684">
        <v>0</v>
      </c>
      <c r="K259" s="652">
        <f>SUMIFS(OBE!$H:$H,OBE!$C:$C,'Standalone TB'!$B259,OBE!$B:$B,"A22")</f>
        <v>0</v>
      </c>
      <c r="L259" s="652">
        <f>SUMIFS('Elimination - BS'!I:I,'Elimination - BS'!D:D,'Standalone TB'!B259,'Elimination - BS'!A:A,"EA22")</f>
        <v>0</v>
      </c>
      <c r="M259" s="652">
        <f t="shared" si="26"/>
        <v>0</v>
      </c>
      <c r="N259" s="652">
        <f t="shared" si="27"/>
        <v>0</v>
      </c>
      <c r="O259" s="652">
        <v>0</v>
      </c>
      <c r="P259" s="685">
        <v>0</v>
      </c>
      <c r="Q259" s="684">
        <v>0</v>
      </c>
      <c r="R259" s="652">
        <f>SUMIFS(OBE!$H:$H,OBE!$C:$C,'Standalone TB'!$B259,OBE!$B:$B,"A20")</f>
        <v>0</v>
      </c>
      <c r="S259" s="652">
        <f>SUMIFS('Elimination - BS'!I:I,'Elimination - BS'!D:D,'Standalone TB'!B259,'Elimination - BS'!A:A,"EA20")</f>
        <v>0</v>
      </c>
      <c r="T259" s="652">
        <f t="shared" si="28"/>
        <v>0</v>
      </c>
      <c r="U259" s="652">
        <f t="shared" si="29"/>
        <v>0</v>
      </c>
      <c r="V259" s="652">
        <v>0</v>
      </c>
      <c r="W259" s="685">
        <v>0</v>
      </c>
      <c r="X259" s="689">
        <f t="shared" si="30"/>
        <v>0</v>
      </c>
      <c r="Y259" s="689">
        <f t="shared" si="31"/>
        <v>0</v>
      </c>
      <c r="Z259" s="652" t="s">
        <v>521</v>
      </c>
      <c r="AA259" s="652" t="s">
        <v>9</v>
      </c>
      <c r="AB259" s="666" t="s">
        <v>1923</v>
      </c>
      <c r="AD259" s="665"/>
    </row>
    <row r="260" spans="2:30" hidden="1" x14ac:dyDescent="0.2">
      <c r="B260" s="673" t="s">
        <v>2195</v>
      </c>
      <c r="C260" s="666" t="s">
        <v>2196</v>
      </c>
      <c r="D260" s="666" t="s">
        <v>3</v>
      </c>
      <c r="E260" s="684">
        <v>0</v>
      </c>
      <c r="F260" s="652">
        <f>SUMIFS(OBE!$H:$H,OBE!$C:$C,'Standalone TB'!$B260,OBE!$B:$B,"A21")</f>
        <v>0</v>
      </c>
      <c r="G260" s="652">
        <f>SUMIFS('Elimination - BS'!I:I,'Elimination - BS'!D:D,'Standalone TB'!B260,'Elimination - BS'!A:A,"EA21")</f>
        <v>0</v>
      </c>
      <c r="H260" s="652">
        <f t="shared" si="33"/>
        <v>0</v>
      </c>
      <c r="I260" s="652">
        <v>0</v>
      </c>
      <c r="J260" s="684">
        <v>0</v>
      </c>
      <c r="K260" s="652">
        <f>SUMIFS(OBE!$H:$H,OBE!$C:$C,'Standalone TB'!$B260,OBE!$B:$B,"A22")</f>
        <v>0</v>
      </c>
      <c r="L260" s="652">
        <f>SUMIFS('Elimination - BS'!I:I,'Elimination - BS'!D:D,'Standalone TB'!B260,'Elimination - BS'!A:A,"EA22")</f>
        <v>0</v>
      </c>
      <c r="M260" s="652">
        <f t="shared" si="26"/>
        <v>0</v>
      </c>
      <c r="N260" s="652">
        <f t="shared" si="27"/>
        <v>0</v>
      </c>
      <c r="O260" s="652">
        <v>0</v>
      </c>
      <c r="P260" s="685">
        <v>0</v>
      </c>
      <c r="Q260" s="684">
        <v>0</v>
      </c>
      <c r="R260" s="652">
        <f>SUMIFS(OBE!$H:$H,OBE!$C:$C,'Standalone TB'!$B260,OBE!$B:$B,"A20")</f>
        <v>0</v>
      </c>
      <c r="S260" s="652">
        <f>SUMIFS('Elimination - BS'!I:I,'Elimination - BS'!D:D,'Standalone TB'!B260,'Elimination - BS'!A:A,"EA20")</f>
        <v>0</v>
      </c>
      <c r="T260" s="652">
        <f t="shared" si="28"/>
        <v>0</v>
      </c>
      <c r="U260" s="652">
        <f t="shared" si="29"/>
        <v>0</v>
      </c>
      <c r="V260" s="652">
        <v>0</v>
      </c>
      <c r="W260" s="685">
        <v>0</v>
      </c>
      <c r="X260" s="689">
        <f t="shared" si="30"/>
        <v>0</v>
      </c>
      <c r="Y260" s="689">
        <f t="shared" si="31"/>
        <v>0</v>
      </c>
      <c r="Z260" s="652" t="s">
        <v>563</v>
      </c>
      <c r="AA260" s="652" t="s">
        <v>9</v>
      </c>
      <c r="AB260" s="652" t="s">
        <v>2077</v>
      </c>
      <c r="AD260" s="665"/>
    </row>
    <row r="261" spans="2:30" hidden="1" x14ac:dyDescent="0.2">
      <c r="B261" s="673" t="s">
        <v>1690</v>
      </c>
      <c r="C261" s="666" t="s">
        <v>2196</v>
      </c>
      <c r="D261" s="666" t="s">
        <v>3</v>
      </c>
      <c r="E261" s="684">
        <v>0</v>
      </c>
      <c r="F261" s="652">
        <f>SUMIFS(OBE!$H:$H,OBE!$C:$C,'Standalone TB'!$B261,OBE!$B:$B,"A21")</f>
        <v>0</v>
      </c>
      <c r="G261" s="652">
        <f>SUMIFS('Elimination - BS'!I:I,'Elimination - BS'!D:D,'Standalone TB'!B261,'Elimination - BS'!A:A,"EA21")</f>
        <v>0</v>
      </c>
      <c r="H261" s="652">
        <f t="shared" si="33"/>
        <v>0</v>
      </c>
      <c r="I261" s="652">
        <v>0</v>
      </c>
      <c r="J261" s="684">
        <v>-203704.58</v>
      </c>
      <c r="K261" s="652">
        <f>SUMIFS(OBE!$H:$H,OBE!$C:$C,'Standalone TB'!$B261,OBE!$B:$B,"A22")</f>
        <v>203704.58</v>
      </c>
      <c r="L261" s="652">
        <f>SUMIFS('Elimination - BS'!I:I,'Elimination - BS'!D:D,'Standalone TB'!B261,'Elimination - BS'!A:A,"EA22")</f>
        <v>0</v>
      </c>
      <c r="M261" s="652">
        <f t="shared" si="26"/>
        <v>0</v>
      </c>
      <c r="N261" s="652">
        <f t="shared" si="27"/>
        <v>0</v>
      </c>
      <c r="O261" s="652">
        <v>0</v>
      </c>
      <c r="P261" s="685">
        <v>0</v>
      </c>
      <c r="Q261" s="684">
        <v>0</v>
      </c>
      <c r="R261" s="652">
        <f>SUMIFS(OBE!$H:$H,OBE!$C:$C,'Standalone TB'!$B261,OBE!$B:$B,"A20")</f>
        <v>0</v>
      </c>
      <c r="S261" s="652">
        <f>SUMIFS('Elimination - BS'!I:I,'Elimination - BS'!D:D,'Standalone TB'!B261,'Elimination - BS'!A:A,"EA20")</f>
        <v>0</v>
      </c>
      <c r="T261" s="652">
        <f t="shared" si="28"/>
        <v>0</v>
      </c>
      <c r="U261" s="652">
        <f t="shared" si="29"/>
        <v>0</v>
      </c>
      <c r="V261" s="652">
        <v>6579</v>
      </c>
      <c r="W261" s="685">
        <v>548301.0969</v>
      </c>
      <c r="X261" s="689">
        <f t="shared" si="30"/>
        <v>0</v>
      </c>
      <c r="Y261" s="689">
        <f t="shared" si="31"/>
        <v>548301.0969</v>
      </c>
      <c r="Z261" s="652" t="s">
        <v>563</v>
      </c>
      <c r="AA261" s="652" t="s">
        <v>9</v>
      </c>
      <c r="AB261" s="652" t="s">
        <v>2077</v>
      </c>
      <c r="AD261" s="665"/>
    </row>
    <row r="262" spans="2:30" hidden="1" x14ac:dyDescent="0.2">
      <c r="B262" s="673" t="s">
        <v>1658</v>
      </c>
      <c r="C262" s="666" t="s">
        <v>2197</v>
      </c>
      <c r="D262" s="666" t="s">
        <v>3</v>
      </c>
      <c r="E262" s="684">
        <v>23680132.27</v>
      </c>
      <c r="F262" s="652">
        <f>SUMIFS(OBE!$H:$H,OBE!$C:$C,'Standalone TB'!$B262,OBE!$B:$B,"A21")</f>
        <v>7601791.7100000083</v>
      </c>
      <c r="G262" s="652">
        <f>SUMIFS('Elimination - BS'!I:I,'Elimination - BS'!D:D,'Standalone TB'!B262,'Elimination - BS'!A:A,"EA21")</f>
        <v>0</v>
      </c>
      <c r="H262" s="652">
        <f t="shared" si="33"/>
        <v>31281923.980000008</v>
      </c>
      <c r="I262" s="652">
        <v>31803707.300000001</v>
      </c>
      <c r="J262" s="684">
        <v>-926157.99</v>
      </c>
      <c r="K262" s="652">
        <f>SUMIFS(OBE!$H:$H,OBE!$C:$C,'Standalone TB'!$B262,OBE!$B:$B,"A22")</f>
        <v>1002319.81</v>
      </c>
      <c r="L262" s="652">
        <f>SUMIFS('Elimination - BS'!I:I,'Elimination - BS'!D:D,'Standalone TB'!B262,'Elimination - BS'!A:A,"EA22")</f>
        <v>0</v>
      </c>
      <c r="M262" s="652">
        <f t="shared" si="26"/>
        <v>76161.820000000065</v>
      </c>
      <c r="N262" s="652">
        <f t="shared" si="27"/>
        <v>1774105.832975972</v>
      </c>
      <c r="O262" s="652">
        <v>96876.57</v>
      </c>
      <c r="P262" s="685">
        <v>2198061.5597009999</v>
      </c>
      <c r="Q262" s="684">
        <v>0</v>
      </c>
      <c r="R262" s="652">
        <f>SUMIFS(OBE!$H:$H,OBE!$C:$C,'Standalone TB'!$B262,OBE!$B:$B,"A20")</f>
        <v>0</v>
      </c>
      <c r="S262" s="652">
        <f>SUMIFS('Elimination - BS'!I:I,'Elimination - BS'!D:D,'Standalone TB'!B262,'Elimination - BS'!A:A,"EA20")</f>
        <v>0</v>
      </c>
      <c r="T262" s="652">
        <f t="shared" si="28"/>
        <v>0</v>
      </c>
      <c r="U262" s="652">
        <f t="shared" si="29"/>
        <v>0</v>
      </c>
      <c r="V262" s="652">
        <v>0</v>
      </c>
      <c r="W262" s="685">
        <v>0</v>
      </c>
      <c r="X262" s="689">
        <f t="shared" si="30"/>
        <v>33056029.81297598</v>
      </c>
      <c r="Y262" s="689">
        <f t="shared" si="31"/>
        <v>34001768.859701</v>
      </c>
      <c r="Z262" s="652" t="s">
        <v>563</v>
      </c>
      <c r="AA262" s="652" t="s">
        <v>9</v>
      </c>
      <c r="AB262" s="652" t="s">
        <v>2077</v>
      </c>
      <c r="AD262" s="665"/>
    </row>
    <row r="263" spans="2:30" hidden="1" x14ac:dyDescent="0.2">
      <c r="B263" s="673" t="s">
        <v>2198</v>
      </c>
      <c r="C263" s="666" t="s">
        <v>2199</v>
      </c>
      <c r="D263" s="666" t="s">
        <v>3</v>
      </c>
      <c r="E263" s="684">
        <v>3154288.95</v>
      </c>
      <c r="F263" s="652">
        <f>SUMIFS(OBE!$H:$H,OBE!$C:$C,'Standalone TB'!$B263,OBE!$B:$B,"A21")</f>
        <v>0</v>
      </c>
      <c r="G263" s="652">
        <f>SUMIFS('Elimination - BS'!I:I,'Elimination - BS'!D:D,'Standalone TB'!B263,'Elimination - BS'!A:A,"EA21")</f>
        <v>0</v>
      </c>
      <c r="H263" s="652">
        <f t="shared" si="33"/>
        <v>3154288.95</v>
      </c>
      <c r="I263" s="652">
        <v>0</v>
      </c>
      <c r="J263" s="684">
        <v>0</v>
      </c>
      <c r="K263" s="652">
        <f>SUMIFS(OBE!$H:$H,OBE!$C:$C,'Standalone TB'!$B263,OBE!$B:$B,"A22")</f>
        <v>0</v>
      </c>
      <c r="L263" s="652">
        <f>SUMIFS('Elimination - BS'!I:I,'Elimination - BS'!D:D,'Standalone TB'!B263,'Elimination - BS'!A:A,"EA22")</f>
        <v>0</v>
      </c>
      <c r="M263" s="652">
        <f t="shared" si="26"/>
        <v>0</v>
      </c>
      <c r="N263" s="652">
        <f t="shared" si="27"/>
        <v>0</v>
      </c>
      <c r="O263" s="652">
        <v>0</v>
      </c>
      <c r="P263" s="685">
        <v>0</v>
      </c>
      <c r="Q263" s="684">
        <v>0</v>
      </c>
      <c r="R263" s="652">
        <f>SUMIFS(OBE!$H:$H,OBE!$C:$C,'Standalone TB'!$B263,OBE!$B:$B,"A20")</f>
        <v>0</v>
      </c>
      <c r="S263" s="652">
        <f>SUMIFS('Elimination - BS'!I:I,'Elimination - BS'!D:D,'Standalone TB'!B263,'Elimination - BS'!A:A,"EA20")</f>
        <v>0</v>
      </c>
      <c r="T263" s="652">
        <f t="shared" si="28"/>
        <v>0</v>
      </c>
      <c r="U263" s="652">
        <f t="shared" si="29"/>
        <v>0</v>
      </c>
      <c r="V263" s="652">
        <v>0</v>
      </c>
      <c r="W263" s="685">
        <v>0</v>
      </c>
      <c r="X263" s="689">
        <f t="shared" si="30"/>
        <v>3154288.95</v>
      </c>
      <c r="Y263" s="689">
        <f t="shared" si="31"/>
        <v>0</v>
      </c>
      <c r="Z263" s="652" t="s">
        <v>563</v>
      </c>
      <c r="AA263" s="652" t="s">
        <v>9</v>
      </c>
      <c r="AB263" s="652" t="s">
        <v>2077</v>
      </c>
      <c r="AD263" s="665"/>
    </row>
    <row r="264" spans="2:30" hidden="1" x14ac:dyDescent="0.2">
      <c r="B264" s="673" t="s">
        <v>2200</v>
      </c>
      <c r="C264" s="666" t="s">
        <v>2201</v>
      </c>
      <c r="D264" s="666" t="s">
        <v>3</v>
      </c>
      <c r="E264" s="684">
        <v>0</v>
      </c>
      <c r="F264" s="652">
        <f>SUMIFS(OBE!$H:$H,OBE!$C:$C,'Standalone TB'!$B264,OBE!$B:$B,"A21")</f>
        <v>0</v>
      </c>
      <c r="G264" s="652">
        <f>SUMIFS('Elimination - BS'!I:I,'Elimination - BS'!D:D,'Standalone TB'!B264,'Elimination - BS'!A:A,"EA21")</f>
        <v>0</v>
      </c>
      <c r="H264" s="652">
        <f t="shared" si="33"/>
        <v>0</v>
      </c>
      <c r="I264" s="652">
        <v>0</v>
      </c>
      <c r="J264" s="684">
        <v>0</v>
      </c>
      <c r="K264" s="652">
        <f>SUMIFS(OBE!$H:$H,OBE!$C:$C,'Standalone TB'!$B264,OBE!$B:$B,"A22")</f>
        <v>0</v>
      </c>
      <c r="L264" s="652">
        <f>SUMIFS('Elimination - BS'!I:I,'Elimination - BS'!D:D,'Standalone TB'!B264,'Elimination - BS'!A:A,"EA22")</f>
        <v>0</v>
      </c>
      <c r="M264" s="652">
        <f t="shared" ref="M264:M327" si="34">SUM(J264:L264)</f>
        <v>0</v>
      </c>
      <c r="N264" s="652">
        <f t="shared" ref="N264:N302" si="35">M264*$O$2</f>
        <v>0</v>
      </c>
      <c r="O264" s="652">
        <v>-328783.24</v>
      </c>
      <c r="P264" s="685">
        <v>-7459861.5673319995</v>
      </c>
      <c r="Q264" s="684">
        <v>0</v>
      </c>
      <c r="R264" s="652">
        <f>SUMIFS(OBE!$H:$H,OBE!$C:$C,'Standalone TB'!$B264,OBE!$B:$B,"A20")</f>
        <v>0</v>
      </c>
      <c r="S264" s="652">
        <f>SUMIFS('Elimination - BS'!I:I,'Elimination - BS'!D:D,'Standalone TB'!B264,'Elimination - BS'!A:A,"EA20")</f>
        <v>0</v>
      </c>
      <c r="T264" s="652">
        <f t="shared" ref="T264:T327" si="36">SUM(Q264:S264)</f>
        <v>0</v>
      </c>
      <c r="U264" s="652">
        <f t="shared" ref="U264:U302" si="37">T264*$V$2</f>
        <v>0</v>
      </c>
      <c r="V264" s="652">
        <v>0</v>
      </c>
      <c r="W264" s="685">
        <v>0</v>
      </c>
      <c r="X264" s="689">
        <f t="shared" ref="X264:X327" si="38">H264+N264+U264</f>
        <v>0</v>
      </c>
      <c r="Y264" s="689">
        <f t="shared" ref="Y264:Y327" si="39">I264+P264+W264</f>
        <v>-7459861.5673319995</v>
      </c>
      <c r="Z264" s="652" t="s">
        <v>563</v>
      </c>
      <c r="AA264" s="652" t="s">
        <v>9</v>
      </c>
      <c r="AB264" s="652" t="s">
        <v>2077</v>
      </c>
      <c r="AD264" s="665"/>
    </row>
    <row r="265" spans="2:30" hidden="1" x14ac:dyDescent="0.2">
      <c r="B265" s="673" t="s">
        <v>1502</v>
      </c>
      <c r="C265" s="666" t="s">
        <v>1503</v>
      </c>
      <c r="D265" s="666" t="s">
        <v>3</v>
      </c>
      <c r="E265" s="684">
        <v>148628771.46000001</v>
      </c>
      <c r="F265" s="652">
        <f>SUMIFS(OBE!$H:$H,OBE!$C:$C,'Standalone TB'!$B265,OBE!$B:$B,"A21")</f>
        <v>152725505.94973752</v>
      </c>
      <c r="G265" s="652">
        <f>SUMIFS('Elimination - BS'!I:I,'Elimination - BS'!D:D,'Standalone TB'!B265,'Elimination - BS'!A:A,"EA21")</f>
        <v>-899201.76999999932</v>
      </c>
      <c r="H265" s="652">
        <f t="shared" si="33"/>
        <v>300455075.63973755</v>
      </c>
      <c r="I265" s="652">
        <v>153266325.62</v>
      </c>
      <c r="J265" s="684">
        <v>362183.17</v>
      </c>
      <c r="K265" s="652">
        <f>SUMIFS(OBE!$H:$H,OBE!$C:$C,'Standalone TB'!$B265,OBE!$B:$B,"A22")</f>
        <v>-362183.17</v>
      </c>
      <c r="L265" s="652">
        <f>SUMIFS('Elimination - BS'!I:I,'Elimination - BS'!D:D,'Standalone TB'!B265,'Elimination - BS'!A:A,"EA22")</f>
        <v>0</v>
      </c>
      <c r="M265" s="652">
        <f t="shared" si="34"/>
        <v>0</v>
      </c>
      <c r="N265" s="652">
        <f t="shared" si="35"/>
        <v>0</v>
      </c>
      <c r="O265" s="652">
        <v>328783.24</v>
      </c>
      <c r="P265" s="685">
        <v>7459861.5673319995</v>
      </c>
      <c r="Q265" s="684">
        <v>0</v>
      </c>
      <c r="R265" s="652">
        <f>SUMIFS(OBE!$H:$H,OBE!$C:$C,'Standalone TB'!$B265,OBE!$B:$B,"A20")</f>
        <v>0</v>
      </c>
      <c r="S265" s="652">
        <f>SUMIFS('Elimination - BS'!I:I,'Elimination - BS'!D:D,'Standalone TB'!B265,'Elimination - BS'!A:A,"EA20")</f>
        <v>0</v>
      </c>
      <c r="T265" s="652">
        <f t="shared" si="36"/>
        <v>0</v>
      </c>
      <c r="U265" s="652">
        <f t="shared" si="37"/>
        <v>0</v>
      </c>
      <c r="V265" s="652">
        <v>0</v>
      </c>
      <c r="W265" s="685">
        <v>0</v>
      </c>
      <c r="X265" s="689">
        <f t="shared" si="38"/>
        <v>300455075.63973755</v>
      </c>
      <c r="Y265" s="689">
        <f t="shared" si="39"/>
        <v>160726187.187332</v>
      </c>
      <c r="Z265" s="652" t="s">
        <v>563</v>
      </c>
      <c r="AA265" s="652" t="s">
        <v>9</v>
      </c>
      <c r="AB265" s="652" t="s">
        <v>2077</v>
      </c>
      <c r="AD265" s="665"/>
    </row>
    <row r="266" spans="2:30" hidden="1" x14ac:dyDescent="0.2">
      <c r="B266" s="673" t="s">
        <v>2202</v>
      </c>
      <c r="C266" s="666" t="s">
        <v>2203</v>
      </c>
      <c r="D266" s="666" t="s">
        <v>3</v>
      </c>
      <c r="E266" s="684">
        <v>-6743.57</v>
      </c>
      <c r="F266" s="652">
        <f>SUMIFS(OBE!$H:$H,OBE!$C:$C,'Standalone TB'!$B266,OBE!$B:$B,"A21")</f>
        <v>0</v>
      </c>
      <c r="G266" s="652">
        <f>SUMIFS('Elimination - BS'!I:I,'Elimination - BS'!D:D,'Standalone TB'!B266,'Elimination - BS'!A:A,"EA21")</f>
        <v>0</v>
      </c>
      <c r="H266" s="652">
        <f t="shared" si="33"/>
        <v>-6743.57</v>
      </c>
      <c r="J266" s="684">
        <v>0</v>
      </c>
      <c r="K266" s="652">
        <f>SUMIFS(OBE!$H:$H,OBE!$C:$C,'Standalone TB'!$B266,OBE!$B:$B,"A22")</f>
        <v>0</v>
      </c>
      <c r="L266" s="652">
        <f>SUMIFS('Elimination - BS'!I:I,'Elimination - BS'!D:D,'Standalone TB'!B266,'Elimination - BS'!A:A,"EA22")</f>
        <v>0</v>
      </c>
      <c r="M266" s="652">
        <f t="shared" si="34"/>
        <v>0</v>
      </c>
      <c r="N266" s="652">
        <f t="shared" si="35"/>
        <v>0</v>
      </c>
      <c r="P266" s="685"/>
      <c r="Q266" s="684">
        <v>0</v>
      </c>
      <c r="R266" s="652">
        <f>SUMIFS(OBE!$H:$H,OBE!$C:$C,'Standalone TB'!$B266,OBE!$B:$B,"A20")</f>
        <v>0</v>
      </c>
      <c r="S266" s="652">
        <f>SUMIFS('Elimination - BS'!I:I,'Elimination - BS'!D:D,'Standalone TB'!B266,'Elimination - BS'!A:A,"EA20")</f>
        <v>0</v>
      </c>
      <c r="T266" s="652">
        <f t="shared" si="36"/>
        <v>0</v>
      </c>
      <c r="U266" s="652">
        <f t="shared" si="37"/>
        <v>0</v>
      </c>
      <c r="W266" s="685"/>
      <c r="X266" s="689">
        <f t="shared" si="38"/>
        <v>-6743.57</v>
      </c>
      <c r="Y266" s="689">
        <f t="shared" si="39"/>
        <v>0</v>
      </c>
      <c r="Z266" s="652" t="s">
        <v>563</v>
      </c>
      <c r="AA266" s="652" t="s">
        <v>9</v>
      </c>
      <c r="AB266" s="652" t="s">
        <v>2077</v>
      </c>
      <c r="AD266" s="665"/>
    </row>
    <row r="267" spans="2:30" hidden="1" x14ac:dyDescent="0.2">
      <c r="B267" s="673" t="s">
        <v>2204</v>
      </c>
      <c r="C267" s="666" t="s">
        <v>2205</v>
      </c>
      <c r="D267" s="666" t="s">
        <v>3</v>
      </c>
      <c r="E267" s="684">
        <v>-2816.09</v>
      </c>
      <c r="F267" s="652">
        <f>SUMIFS(OBE!$H:$H,OBE!$C:$C,'Standalone TB'!$B267,OBE!$B:$B,"A21")</f>
        <v>0</v>
      </c>
      <c r="G267" s="652">
        <f>SUMIFS('Elimination - BS'!I:I,'Elimination - BS'!D:D,'Standalone TB'!B267,'Elimination - BS'!A:A,"EA21")</f>
        <v>0</v>
      </c>
      <c r="H267" s="652">
        <f t="shared" si="33"/>
        <v>-2816.09</v>
      </c>
      <c r="J267" s="684">
        <v>0</v>
      </c>
      <c r="K267" s="652">
        <f>SUMIFS(OBE!$H:$H,OBE!$C:$C,'Standalone TB'!$B267,OBE!$B:$B,"A22")</f>
        <v>0</v>
      </c>
      <c r="L267" s="652">
        <f>SUMIFS('Elimination - BS'!I:I,'Elimination - BS'!D:D,'Standalone TB'!B267,'Elimination - BS'!A:A,"EA22")</f>
        <v>0</v>
      </c>
      <c r="M267" s="652">
        <f t="shared" si="34"/>
        <v>0</v>
      </c>
      <c r="N267" s="652">
        <f t="shared" si="35"/>
        <v>0</v>
      </c>
      <c r="P267" s="685"/>
      <c r="Q267" s="684">
        <v>0</v>
      </c>
      <c r="R267" s="652">
        <f>SUMIFS(OBE!$H:$H,OBE!$C:$C,'Standalone TB'!$B267,OBE!$B:$B,"A20")</f>
        <v>0</v>
      </c>
      <c r="S267" s="652">
        <f>SUMIFS('Elimination - BS'!I:I,'Elimination - BS'!D:D,'Standalone TB'!B267,'Elimination - BS'!A:A,"EA20")</f>
        <v>0</v>
      </c>
      <c r="T267" s="652">
        <f t="shared" si="36"/>
        <v>0</v>
      </c>
      <c r="U267" s="652">
        <f t="shared" si="37"/>
        <v>0</v>
      </c>
      <c r="W267" s="685"/>
      <c r="X267" s="689">
        <f t="shared" si="38"/>
        <v>-2816.09</v>
      </c>
      <c r="Y267" s="689">
        <f t="shared" si="39"/>
        <v>0</v>
      </c>
      <c r="Z267" s="652" t="s">
        <v>563</v>
      </c>
      <c r="AA267" s="652" t="s">
        <v>9</v>
      </c>
      <c r="AB267" s="652" t="s">
        <v>2077</v>
      </c>
      <c r="AD267" s="665"/>
    </row>
    <row r="268" spans="2:30" hidden="1" x14ac:dyDescent="0.2">
      <c r="B268" s="673" t="s">
        <v>2206</v>
      </c>
      <c r="C268" s="666" t="s">
        <v>1776</v>
      </c>
      <c r="D268" s="666" t="s">
        <v>3</v>
      </c>
      <c r="E268" s="684">
        <v>0</v>
      </c>
      <c r="F268" s="652">
        <f>SUMIFS(OBE!$H:$H,OBE!$C:$C,'Standalone TB'!$B268,OBE!$B:$B,"A21")</f>
        <v>0</v>
      </c>
      <c r="G268" s="652">
        <f>SUMIFS('Elimination - BS'!I:I,'Elimination - BS'!D:D,'Standalone TB'!B268,'Elimination - BS'!A:A,"EA21")</f>
        <v>0</v>
      </c>
      <c r="H268" s="652">
        <f t="shared" si="33"/>
        <v>0</v>
      </c>
      <c r="I268" s="652">
        <v>122871</v>
      </c>
      <c r="J268" s="684">
        <v>0</v>
      </c>
      <c r="K268" s="652">
        <f>SUMIFS(OBE!$H:$H,OBE!$C:$C,'Standalone TB'!$B268,OBE!$B:$B,"A22")</f>
        <v>0</v>
      </c>
      <c r="L268" s="652">
        <f>SUMIFS('Elimination - BS'!I:I,'Elimination - BS'!D:D,'Standalone TB'!B268,'Elimination - BS'!A:A,"EA22")</f>
        <v>0</v>
      </c>
      <c r="M268" s="652">
        <f t="shared" si="34"/>
        <v>0</v>
      </c>
      <c r="N268" s="652">
        <f t="shared" si="35"/>
        <v>0</v>
      </c>
      <c r="O268" s="652">
        <v>45688.61</v>
      </c>
      <c r="P268" s="685">
        <v>1036642.578873</v>
      </c>
      <c r="Q268" s="684">
        <v>0</v>
      </c>
      <c r="R268" s="652">
        <f>SUMIFS(OBE!$H:$H,OBE!$C:$C,'Standalone TB'!$B268,OBE!$B:$B,"A20")</f>
        <v>0</v>
      </c>
      <c r="S268" s="652">
        <f>SUMIFS('Elimination - BS'!I:I,'Elimination - BS'!D:D,'Standalone TB'!B268,'Elimination - BS'!A:A,"EA20")</f>
        <v>0</v>
      </c>
      <c r="T268" s="652">
        <f t="shared" si="36"/>
        <v>0</v>
      </c>
      <c r="U268" s="652">
        <f t="shared" si="37"/>
        <v>0</v>
      </c>
      <c r="V268" s="652">
        <v>0</v>
      </c>
      <c r="W268" s="685">
        <v>0</v>
      </c>
      <c r="X268" s="689">
        <f t="shared" si="38"/>
        <v>0</v>
      </c>
      <c r="Y268" s="689">
        <f t="shared" si="39"/>
        <v>1159513.5788730001</v>
      </c>
      <c r="Z268" s="652" t="s">
        <v>525</v>
      </c>
      <c r="AA268" s="652" t="s">
        <v>9</v>
      </c>
      <c r="AB268" s="666" t="s">
        <v>1923</v>
      </c>
      <c r="AD268" s="665"/>
    </row>
    <row r="269" spans="2:30" hidden="1" x14ac:dyDescent="0.2">
      <c r="B269" s="673" t="s">
        <v>2207</v>
      </c>
      <c r="C269" s="666" t="s">
        <v>1776</v>
      </c>
      <c r="D269" s="666" t="s">
        <v>3</v>
      </c>
      <c r="E269" s="684">
        <v>0</v>
      </c>
      <c r="F269" s="652">
        <f>SUMIFS(OBE!$H:$H,OBE!$C:$C,'Standalone TB'!$B269,OBE!$B:$B,"A21")</f>
        <v>0</v>
      </c>
      <c r="G269" s="652">
        <f>SUMIFS('Elimination - BS'!I:I,'Elimination - BS'!D:D,'Standalone TB'!B269,'Elimination - BS'!A:A,"EA21")</f>
        <v>0</v>
      </c>
      <c r="H269" s="652">
        <f t="shared" si="33"/>
        <v>0</v>
      </c>
      <c r="I269" s="652">
        <v>0</v>
      </c>
      <c r="J269" s="684">
        <v>0</v>
      </c>
      <c r="K269" s="652">
        <f>SUMIFS(OBE!$H:$H,OBE!$C:$C,'Standalone TB'!$B269,OBE!$B:$B,"A22")</f>
        <v>0</v>
      </c>
      <c r="L269" s="652">
        <f>SUMIFS('Elimination - BS'!I:I,'Elimination - BS'!D:D,'Standalone TB'!B269,'Elimination - BS'!A:A,"EA22")</f>
        <v>0</v>
      </c>
      <c r="M269" s="652">
        <f t="shared" si="34"/>
        <v>0</v>
      </c>
      <c r="N269" s="652">
        <f t="shared" si="35"/>
        <v>0</v>
      </c>
      <c r="O269" s="652">
        <v>1605.1</v>
      </c>
      <c r="P269" s="685">
        <v>36418.595429999994</v>
      </c>
      <c r="Q269" s="684">
        <v>0</v>
      </c>
      <c r="R269" s="652">
        <f>SUMIFS(OBE!$H:$H,OBE!$C:$C,'Standalone TB'!$B269,OBE!$B:$B,"A20")</f>
        <v>0</v>
      </c>
      <c r="S269" s="652">
        <f>SUMIFS('Elimination - BS'!I:I,'Elimination - BS'!D:D,'Standalone TB'!B269,'Elimination - BS'!A:A,"EA20")</f>
        <v>0</v>
      </c>
      <c r="T269" s="652">
        <f t="shared" si="36"/>
        <v>0</v>
      </c>
      <c r="U269" s="652">
        <f t="shared" si="37"/>
        <v>0</v>
      </c>
      <c r="V269" s="652">
        <v>0</v>
      </c>
      <c r="W269" s="685">
        <v>0</v>
      </c>
      <c r="X269" s="689">
        <f t="shared" si="38"/>
        <v>0</v>
      </c>
      <c r="Y269" s="689">
        <f t="shared" si="39"/>
        <v>36418.595429999994</v>
      </c>
      <c r="Z269" s="652" t="s">
        <v>525</v>
      </c>
      <c r="AA269" s="652" t="s">
        <v>9</v>
      </c>
      <c r="AB269" s="666" t="s">
        <v>1923</v>
      </c>
      <c r="AD269" s="665"/>
    </row>
    <row r="270" spans="2:30" hidden="1" x14ac:dyDescent="0.2">
      <c r="B270" s="673" t="s">
        <v>2208</v>
      </c>
      <c r="C270" s="666" t="s">
        <v>1776</v>
      </c>
      <c r="D270" s="666" t="s">
        <v>3</v>
      </c>
      <c r="E270" s="684">
        <v>0</v>
      </c>
      <c r="F270" s="652">
        <f>SUMIFS(OBE!$H:$H,OBE!$C:$C,'Standalone TB'!$B270,OBE!$B:$B,"A21")</f>
        <v>0</v>
      </c>
      <c r="G270" s="652">
        <f>SUMIFS('Elimination - BS'!I:I,'Elimination - BS'!D:D,'Standalone TB'!B270,'Elimination - BS'!A:A,"EA21")</f>
        <v>0</v>
      </c>
      <c r="H270" s="652">
        <f t="shared" si="33"/>
        <v>0</v>
      </c>
      <c r="I270" s="652">
        <v>0</v>
      </c>
      <c r="J270" s="684">
        <v>0</v>
      </c>
      <c r="K270" s="652">
        <f>SUMIFS(OBE!$H:$H,OBE!$C:$C,'Standalone TB'!$B270,OBE!$B:$B,"A22")</f>
        <v>0</v>
      </c>
      <c r="L270" s="652">
        <f>SUMIFS('Elimination - BS'!I:I,'Elimination - BS'!D:D,'Standalone TB'!B270,'Elimination - BS'!A:A,"EA22")</f>
        <v>0</v>
      </c>
      <c r="M270" s="652">
        <f t="shared" si="34"/>
        <v>0</v>
      </c>
      <c r="N270" s="652">
        <f t="shared" si="35"/>
        <v>0</v>
      </c>
      <c r="O270" s="652">
        <v>0</v>
      </c>
      <c r="P270" s="685">
        <v>0</v>
      </c>
      <c r="Q270" s="684">
        <v>0</v>
      </c>
      <c r="R270" s="652">
        <f>SUMIFS(OBE!$H:$H,OBE!$C:$C,'Standalone TB'!$B270,OBE!$B:$B,"A20")</f>
        <v>0</v>
      </c>
      <c r="S270" s="652">
        <f>SUMIFS('Elimination - BS'!I:I,'Elimination - BS'!D:D,'Standalone TB'!B270,'Elimination - BS'!A:A,"EA20")</f>
        <v>0</v>
      </c>
      <c r="T270" s="652">
        <f t="shared" si="36"/>
        <v>0</v>
      </c>
      <c r="U270" s="652">
        <f t="shared" si="37"/>
        <v>0</v>
      </c>
      <c r="V270" s="652">
        <v>33183.120000000003</v>
      </c>
      <c r="W270" s="685">
        <v>2765517.722232</v>
      </c>
      <c r="X270" s="689">
        <f t="shared" si="38"/>
        <v>0</v>
      </c>
      <c r="Y270" s="689">
        <f t="shared" si="39"/>
        <v>2765517.722232</v>
      </c>
      <c r="Z270" s="652" t="s">
        <v>525</v>
      </c>
      <c r="AA270" s="652" t="s">
        <v>9</v>
      </c>
      <c r="AB270" s="666" t="s">
        <v>1923</v>
      </c>
      <c r="AD270" s="665"/>
    </row>
    <row r="271" spans="2:30" hidden="1" x14ac:dyDescent="0.2">
      <c r="B271" s="673" t="s">
        <v>2209</v>
      </c>
      <c r="C271" s="666" t="s">
        <v>2210</v>
      </c>
      <c r="D271" s="666" t="s">
        <v>3</v>
      </c>
      <c r="E271" s="684">
        <v>790553</v>
      </c>
      <c r="F271" s="652">
        <f>SUMIFS(OBE!$H:$H,OBE!$C:$C,'Standalone TB'!$B271,OBE!$B:$B,"A21")</f>
        <v>0</v>
      </c>
      <c r="G271" s="652">
        <f>SUMIFS('Elimination - BS'!I:I,'Elimination - BS'!D:D,'Standalone TB'!B271,'Elimination - BS'!A:A,"EA21")</f>
        <v>0</v>
      </c>
      <c r="H271" s="652">
        <f t="shared" si="33"/>
        <v>790553</v>
      </c>
      <c r="I271" s="652">
        <v>642312</v>
      </c>
      <c r="J271" s="684">
        <v>0</v>
      </c>
      <c r="K271" s="652">
        <f>SUMIFS(OBE!$H:$H,OBE!$C:$C,'Standalone TB'!$B271,OBE!$B:$B,"A22")</f>
        <v>0</v>
      </c>
      <c r="L271" s="652">
        <f>SUMIFS('Elimination - BS'!I:I,'Elimination - BS'!D:D,'Standalone TB'!B271,'Elimination - BS'!A:A,"EA22")</f>
        <v>0</v>
      </c>
      <c r="M271" s="652">
        <f t="shared" si="34"/>
        <v>0</v>
      </c>
      <c r="N271" s="652">
        <f t="shared" si="35"/>
        <v>0</v>
      </c>
      <c r="O271" s="652">
        <v>0</v>
      </c>
      <c r="P271" s="685">
        <v>0</v>
      </c>
      <c r="Q271" s="684">
        <v>0</v>
      </c>
      <c r="R271" s="652">
        <f>SUMIFS(OBE!$H:$H,OBE!$C:$C,'Standalone TB'!$B271,OBE!$B:$B,"A20")</f>
        <v>0</v>
      </c>
      <c r="S271" s="652">
        <f>SUMIFS('Elimination - BS'!I:I,'Elimination - BS'!D:D,'Standalone TB'!B271,'Elimination - BS'!A:A,"EA20")</f>
        <v>0</v>
      </c>
      <c r="T271" s="652">
        <f t="shared" si="36"/>
        <v>0</v>
      </c>
      <c r="U271" s="652">
        <f t="shared" si="37"/>
        <v>0</v>
      </c>
      <c r="V271" s="652">
        <v>0</v>
      </c>
      <c r="W271" s="685">
        <v>0</v>
      </c>
      <c r="X271" s="689">
        <f t="shared" si="38"/>
        <v>790553</v>
      </c>
      <c r="Y271" s="689">
        <f t="shared" si="39"/>
        <v>642312</v>
      </c>
      <c r="Z271" s="652" t="s">
        <v>519</v>
      </c>
      <c r="AA271" s="652" t="s">
        <v>9</v>
      </c>
      <c r="AB271" s="666" t="s">
        <v>1923</v>
      </c>
      <c r="AD271" s="665"/>
    </row>
    <row r="272" spans="2:30" hidden="1" x14ac:dyDescent="0.2">
      <c r="B272" s="673" t="s">
        <v>1679</v>
      </c>
      <c r="C272" s="666" t="s">
        <v>2211</v>
      </c>
      <c r="D272" s="666" t="s">
        <v>3</v>
      </c>
      <c r="E272" s="684">
        <v>0</v>
      </c>
      <c r="F272" s="652">
        <f>SUMIFS(OBE!$H:$H,OBE!$C:$C,'Standalone TB'!$B272,OBE!$B:$B,"A21")</f>
        <v>0</v>
      </c>
      <c r="G272" s="652">
        <f>SUMIFS('Elimination - BS'!I:I,'Elimination - BS'!D:D,'Standalone TB'!B272,'Elimination - BS'!A:A,"EA21")</f>
        <v>0</v>
      </c>
      <c r="H272" s="652">
        <f t="shared" si="33"/>
        <v>0</v>
      </c>
      <c r="I272" s="652">
        <v>0</v>
      </c>
      <c r="J272" s="684">
        <v>20000</v>
      </c>
      <c r="K272" s="652">
        <f>SUMIFS(OBE!$H:$H,OBE!$C:$C,'Standalone TB'!$B272,OBE!$B:$B,"A22")</f>
        <v>-20000</v>
      </c>
      <c r="L272" s="652">
        <f>SUMIFS('Elimination - BS'!I:I,'Elimination - BS'!D:D,'Standalone TB'!B272,'Elimination - BS'!A:A,"EA22")</f>
        <v>0</v>
      </c>
      <c r="M272" s="652">
        <f t="shared" si="34"/>
        <v>0</v>
      </c>
      <c r="N272" s="652">
        <f t="shared" si="35"/>
        <v>0</v>
      </c>
      <c r="O272" s="652">
        <v>45000</v>
      </c>
      <c r="P272" s="685">
        <v>1021018.5</v>
      </c>
      <c r="Q272" s="684">
        <v>0</v>
      </c>
      <c r="R272" s="652">
        <f>SUMIFS(OBE!$H:$H,OBE!$C:$C,'Standalone TB'!$B272,OBE!$B:$B,"A20")</f>
        <v>0</v>
      </c>
      <c r="S272" s="652">
        <f>SUMIFS('Elimination - BS'!I:I,'Elimination - BS'!D:D,'Standalone TB'!B272,'Elimination - BS'!A:A,"EA20")</f>
        <v>0</v>
      </c>
      <c r="T272" s="652">
        <f t="shared" si="36"/>
        <v>0</v>
      </c>
      <c r="U272" s="652">
        <f t="shared" si="37"/>
        <v>0</v>
      </c>
      <c r="V272" s="652">
        <v>0</v>
      </c>
      <c r="W272" s="685">
        <v>0</v>
      </c>
      <c r="X272" s="689">
        <f t="shared" si="38"/>
        <v>0</v>
      </c>
      <c r="Y272" s="689">
        <f t="shared" si="39"/>
        <v>1021018.5</v>
      </c>
      <c r="Z272" s="652" t="s">
        <v>519</v>
      </c>
      <c r="AA272" s="652" t="s">
        <v>9</v>
      </c>
      <c r="AB272" s="666" t="s">
        <v>1923</v>
      </c>
      <c r="AD272" s="665"/>
    </row>
    <row r="273" spans="2:30" hidden="1" x14ac:dyDescent="0.2">
      <c r="B273" s="673" t="s">
        <v>1686</v>
      </c>
      <c r="C273" s="666" t="s">
        <v>2082</v>
      </c>
      <c r="D273" s="666" t="s">
        <v>3</v>
      </c>
      <c r="E273" s="684">
        <v>0</v>
      </c>
      <c r="F273" s="652">
        <f>SUMIFS(OBE!$H:$H,OBE!$C:$C,'Standalone TB'!$B273,OBE!$B:$B,"A21")</f>
        <v>10068723.140000001</v>
      </c>
      <c r="G273" s="652">
        <f>SUMIFS('Elimination - BS'!I:I,'Elimination - BS'!D:D,'Standalone TB'!B273,'Elimination - BS'!A:A,"EA21")</f>
        <v>0</v>
      </c>
      <c r="H273" s="652">
        <f t="shared" si="33"/>
        <v>10068723.140000001</v>
      </c>
      <c r="I273" s="652">
        <v>6396817</v>
      </c>
      <c r="J273" s="684">
        <v>0</v>
      </c>
      <c r="K273" s="652">
        <f>SUMIFS(OBE!$H:$H,OBE!$C:$C,'Standalone TB'!$B273,OBE!$B:$B,"A22")</f>
        <v>0</v>
      </c>
      <c r="L273" s="652">
        <f>SUMIFS('Elimination - BS'!I:I,'Elimination - BS'!D:D,'Standalone TB'!B273,'Elimination - BS'!A:A,"EA22")</f>
        <v>0</v>
      </c>
      <c r="M273" s="652">
        <f t="shared" si="34"/>
        <v>0</v>
      </c>
      <c r="N273" s="652">
        <f t="shared" si="35"/>
        <v>0</v>
      </c>
      <c r="O273" s="652">
        <v>311660.51</v>
      </c>
      <c r="P273" s="685">
        <v>7071358.8095429996</v>
      </c>
      <c r="Q273" s="684">
        <v>0</v>
      </c>
      <c r="R273" s="652">
        <f>SUMIFS(OBE!$H:$H,OBE!$C:$C,'Standalone TB'!$B273,OBE!$B:$B,"A20")</f>
        <v>0</v>
      </c>
      <c r="S273" s="652">
        <f>SUMIFS('Elimination - BS'!I:I,'Elimination - BS'!D:D,'Standalone TB'!B273,'Elimination - BS'!A:A,"EA20")</f>
        <v>0</v>
      </c>
      <c r="T273" s="652">
        <f t="shared" si="36"/>
        <v>0</v>
      </c>
      <c r="U273" s="652">
        <f t="shared" si="37"/>
        <v>0</v>
      </c>
      <c r="V273" s="652">
        <v>0</v>
      </c>
      <c r="W273" s="685">
        <v>0</v>
      </c>
      <c r="X273" s="689">
        <f t="shared" si="38"/>
        <v>10068723.140000001</v>
      </c>
      <c r="Y273" s="689">
        <f t="shared" si="39"/>
        <v>13468175.809542999</v>
      </c>
      <c r="Z273" s="652" t="s">
        <v>95</v>
      </c>
      <c r="AA273" s="652" t="s">
        <v>9</v>
      </c>
      <c r="AB273" s="666" t="s">
        <v>1893</v>
      </c>
      <c r="AD273" s="665"/>
    </row>
    <row r="274" spans="2:30" hidden="1" x14ac:dyDescent="0.2">
      <c r="B274" s="673" t="s">
        <v>2212</v>
      </c>
      <c r="C274" s="666" t="s">
        <v>2213</v>
      </c>
      <c r="D274" s="666" t="s">
        <v>3</v>
      </c>
      <c r="E274" s="684">
        <v>0</v>
      </c>
      <c r="F274" s="652">
        <f>SUMIFS(OBE!$H:$H,OBE!$C:$C,'Standalone TB'!$B274,OBE!$B:$B,"A21")</f>
        <v>0</v>
      </c>
      <c r="G274" s="652">
        <f>SUMIFS('Elimination - BS'!I:I,'Elimination - BS'!D:D,'Standalone TB'!B274,'Elimination - BS'!A:A,"EA21")</f>
        <v>0</v>
      </c>
      <c r="H274" s="652">
        <f t="shared" si="33"/>
        <v>0</v>
      </c>
      <c r="I274" s="652">
        <v>0</v>
      </c>
      <c r="J274" s="684">
        <v>0</v>
      </c>
      <c r="K274" s="652">
        <f>SUMIFS(OBE!$H:$H,OBE!$C:$C,'Standalone TB'!$B274,OBE!$B:$B,"A22")</f>
        <v>0</v>
      </c>
      <c r="L274" s="652">
        <f>SUMIFS('Elimination - BS'!I:I,'Elimination - BS'!D:D,'Standalone TB'!B274,'Elimination - BS'!A:A,"EA22")</f>
        <v>0</v>
      </c>
      <c r="M274" s="652">
        <f t="shared" si="34"/>
        <v>0</v>
      </c>
      <c r="N274" s="652">
        <f t="shared" si="35"/>
        <v>0</v>
      </c>
      <c r="O274" s="652">
        <v>0</v>
      </c>
      <c r="P274" s="685">
        <v>0</v>
      </c>
      <c r="Q274" s="684">
        <v>0</v>
      </c>
      <c r="R274" s="652">
        <f>SUMIFS(OBE!$H:$H,OBE!$C:$C,'Standalone TB'!$B274,OBE!$B:$B,"A20")</f>
        <v>0</v>
      </c>
      <c r="S274" s="652">
        <f>SUMIFS('Elimination - BS'!I:I,'Elimination - BS'!D:D,'Standalone TB'!B274,'Elimination - BS'!A:A,"EA20")</f>
        <v>0</v>
      </c>
      <c r="T274" s="652">
        <f t="shared" si="36"/>
        <v>0</v>
      </c>
      <c r="U274" s="652">
        <f t="shared" si="37"/>
        <v>0</v>
      </c>
      <c r="V274" s="652">
        <v>0</v>
      </c>
      <c r="W274" s="685">
        <v>0</v>
      </c>
      <c r="X274" s="689">
        <f t="shared" si="38"/>
        <v>0</v>
      </c>
      <c r="Y274" s="689">
        <f t="shared" si="39"/>
        <v>0</v>
      </c>
      <c r="Z274" s="652" t="s">
        <v>519</v>
      </c>
      <c r="AA274" s="652" t="s">
        <v>9</v>
      </c>
      <c r="AB274" s="666" t="s">
        <v>1923</v>
      </c>
      <c r="AD274" s="665"/>
    </row>
    <row r="275" spans="2:30" hidden="1" x14ac:dyDescent="0.2">
      <c r="B275" s="673" t="s">
        <v>2214</v>
      </c>
      <c r="C275" s="666" t="s">
        <v>2215</v>
      </c>
      <c r="D275" s="666" t="s">
        <v>3</v>
      </c>
      <c r="E275" s="684">
        <v>1290359.46</v>
      </c>
      <c r="F275" s="652">
        <f>SUMIFS(OBE!$H:$H,OBE!$C:$C,'Standalone TB'!$B275,OBE!$B:$B,"A21")</f>
        <v>0</v>
      </c>
      <c r="G275" s="652">
        <f>SUMIFS('Elimination - BS'!I:I,'Elimination - BS'!D:D,'Standalone TB'!B275,'Elimination - BS'!A:A,"EA21")</f>
        <v>0</v>
      </c>
      <c r="H275" s="652">
        <f t="shared" si="33"/>
        <v>1290359.46</v>
      </c>
      <c r="I275" s="652">
        <v>444625</v>
      </c>
      <c r="J275" s="684">
        <v>0</v>
      </c>
      <c r="K275" s="652">
        <f>SUMIFS(OBE!$H:$H,OBE!$C:$C,'Standalone TB'!$B275,OBE!$B:$B,"A22")</f>
        <v>0</v>
      </c>
      <c r="L275" s="652">
        <f>SUMIFS('Elimination - BS'!I:I,'Elimination - BS'!D:D,'Standalone TB'!B275,'Elimination - BS'!A:A,"EA22")</f>
        <v>0</v>
      </c>
      <c r="M275" s="652">
        <f t="shared" si="34"/>
        <v>0</v>
      </c>
      <c r="N275" s="652">
        <f t="shared" si="35"/>
        <v>0</v>
      </c>
      <c r="O275" s="652">
        <v>0</v>
      </c>
      <c r="P275" s="685">
        <v>0</v>
      </c>
      <c r="Q275" s="684">
        <v>0</v>
      </c>
      <c r="R275" s="652">
        <f>SUMIFS(OBE!$H:$H,OBE!$C:$C,'Standalone TB'!$B275,OBE!$B:$B,"A20")</f>
        <v>0</v>
      </c>
      <c r="S275" s="652">
        <f>SUMIFS('Elimination - BS'!I:I,'Elimination - BS'!D:D,'Standalone TB'!B275,'Elimination - BS'!A:A,"EA20")</f>
        <v>0</v>
      </c>
      <c r="T275" s="652">
        <f t="shared" si="36"/>
        <v>0</v>
      </c>
      <c r="U275" s="652">
        <f t="shared" si="37"/>
        <v>0</v>
      </c>
      <c r="V275" s="652">
        <v>0</v>
      </c>
      <c r="W275" s="685">
        <v>0</v>
      </c>
      <c r="X275" s="689">
        <f t="shared" si="38"/>
        <v>1290359.46</v>
      </c>
      <c r="Y275" s="689">
        <f t="shared" si="39"/>
        <v>444625</v>
      </c>
      <c r="Z275" s="652" t="s">
        <v>519</v>
      </c>
      <c r="AA275" s="652" t="s">
        <v>9</v>
      </c>
      <c r="AB275" s="666" t="s">
        <v>1923</v>
      </c>
      <c r="AD275" s="665"/>
    </row>
    <row r="276" spans="2:30" hidden="1" x14ac:dyDescent="0.2">
      <c r="B276" s="673" t="s">
        <v>2216</v>
      </c>
      <c r="C276" s="666" t="s">
        <v>2217</v>
      </c>
      <c r="D276" s="666" t="s">
        <v>3</v>
      </c>
      <c r="E276" s="684">
        <v>0</v>
      </c>
      <c r="F276" s="652">
        <f>SUMIFS(OBE!$H:$H,OBE!$C:$C,'Standalone TB'!$B276,OBE!$B:$B,"A21")</f>
        <v>0</v>
      </c>
      <c r="G276" s="652">
        <f>SUMIFS('Elimination - BS'!I:I,'Elimination - BS'!D:D,'Standalone TB'!B276,'Elimination - BS'!A:A,"EA21")</f>
        <v>0</v>
      </c>
      <c r="H276" s="652">
        <f t="shared" si="33"/>
        <v>0</v>
      </c>
      <c r="I276" s="652">
        <v>434500</v>
      </c>
      <c r="J276" s="684">
        <v>0</v>
      </c>
      <c r="K276" s="652">
        <f>SUMIFS(OBE!$H:$H,OBE!$C:$C,'Standalone TB'!$B276,OBE!$B:$B,"A22")</f>
        <v>0</v>
      </c>
      <c r="L276" s="652">
        <f>SUMIFS('Elimination - BS'!I:I,'Elimination - BS'!D:D,'Standalone TB'!B276,'Elimination - BS'!A:A,"EA22")</f>
        <v>0</v>
      </c>
      <c r="M276" s="652">
        <f t="shared" si="34"/>
        <v>0</v>
      </c>
      <c r="N276" s="652">
        <f t="shared" si="35"/>
        <v>0</v>
      </c>
      <c r="O276" s="652">
        <v>63850.92</v>
      </c>
      <c r="P276" s="685">
        <v>1448732.679156</v>
      </c>
      <c r="Q276" s="684">
        <v>0</v>
      </c>
      <c r="R276" s="652">
        <f>SUMIFS(OBE!$H:$H,OBE!$C:$C,'Standalone TB'!$B276,OBE!$B:$B,"A20")</f>
        <v>0</v>
      </c>
      <c r="S276" s="652">
        <f>SUMIFS('Elimination - BS'!I:I,'Elimination - BS'!D:D,'Standalone TB'!B276,'Elimination - BS'!A:A,"EA20")</f>
        <v>0</v>
      </c>
      <c r="T276" s="652">
        <f t="shared" si="36"/>
        <v>0</v>
      </c>
      <c r="U276" s="652">
        <f t="shared" si="37"/>
        <v>0</v>
      </c>
      <c r="V276" s="652">
        <v>0</v>
      </c>
      <c r="W276" s="685">
        <v>0</v>
      </c>
      <c r="X276" s="689">
        <f t="shared" si="38"/>
        <v>0</v>
      </c>
      <c r="Y276" s="689">
        <f t="shared" si="39"/>
        <v>1883232.679156</v>
      </c>
      <c r="Z276" s="652" t="s">
        <v>519</v>
      </c>
      <c r="AA276" s="652" t="s">
        <v>9</v>
      </c>
      <c r="AB276" s="666" t="s">
        <v>1923</v>
      </c>
      <c r="AD276" s="665"/>
    </row>
    <row r="277" spans="2:30" hidden="1" x14ac:dyDescent="0.2">
      <c r="B277" s="673" t="s">
        <v>2218</v>
      </c>
      <c r="C277" s="666" t="s">
        <v>2219</v>
      </c>
      <c r="D277" s="666" t="s">
        <v>3</v>
      </c>
      <c r="E277" s="684">
        <v>0</v>
      </c>
      <c r="F277" s="652">
        <f>SUMIFS(OBE!$H:$H,OBE!$C:$C,'Standalone TB'!$B277,OBE!$B:$B,"A21")</f>
        <v>0</v>
      </c>
      <c r="G277" s="652">
        <f>SUMIFS('Elimination - BS'!I:I,'Elimination - BS'!D:D,'Standalone TB'!B277,'Elimination - BS'!A:A,"EA21")</f>
        <v>0</v>
      </c>
      <c r="H277" s="652">
        <f t="shared" si="33"/>
        <v>0</v>
      </c>
      <c r="I277" s="652">
        <v>0</v>
      </c>
      <c r="J277" s="684">
        <v>0</v>
      </c>
      <c r="K277" s="652">
        <f>SUMIFS(OBE!$H:$H,OBE!$C:$C,'Standalone TB'!$B277,OBE!$B:$B,"A22")</f>
        <v>0</v>
      </c>
      <c r="L277" s="652">
        <f>SUMIFS('Elimination - BS'!I:I,'Elimination - BS'!D:D,'Standalone TB'!B277,'Elimination - BS'!A:A,"EA22")</f>
        <v>0</v>
      </c>
      <c r="M277" s="652">
        <f t="shared" si="34"/>
        <v>0</v>
      </c>
      <c r="N277" s="652">
        <f t="shared" si="35"/>
        <v>0</v>
      </c>
      <c r="O277" s="652">
        <v>0</v>
      </c>
      <c r="P277" s="685">
        <v>0</v>
      </c>
      <c r="Q277" s="684">
        <v>0</v>
      </c>
      <c r="R277" s="652">
        <f>SUMIFS(OBE!$H:$H,OBE!$C:$C,'Standalone TB'!$B277,OBE!$B:$B,"A20")</f>
        <v>0</v>
      </c>
      <c r="S277" s="652">
        <f>SUMIFS('Elimination - BS'!I:I,'Elimination - BS'!D:D,'Standalone TB'!B277,'Elimination - BS'!A:A,"EA20")</f>
        <v>0</v>
      </c>
      <c r="T277" s="652">
        <f t="shared" si="36"/>
        <v>0</v>
      </c>
      <c r="U277" s="652">
        <f t="shared" si="37"/>
        <v>0</v>
      </c>
      <c r="V277" s="652">
        <v>0</v>
      </c>
      <c r="W277" s="685">
        <v>0</v>
      </c>
      <c r="X277" s="689">
        <f t="shared" si="38"/>
        <v>0</v>
      </c>
      <c r="Y277" s="689">
        <f t="shared" si="39"/>
        <v>0</v>
      </c>
      <c r="Z277" s="652" t="s">
        <v>519</v>
      </c>
      <c r="AA277" s="652" t="s">
        <v>9</v>
      </c>
      <c r="AB277" s="666" t="s">
        <v>1923</v>
      </c>
      <c r="AD277" s="665"/>
    </row>
    <row r="278" spans="2:30" hidden="1" x14ac:dyDescent="0.2">
      <c r="B278" s="673" t="s">
        <v>2220</v>
      </c>
      <c r="C278" s="666" t="s">
        <v>2221</v>
      </c>
      <c r="D278" s="666" t="s">
        <v>3</v>
      </c>
      <c r="E278" s="684">
        <v>0</v>
      </c>
      <c r="F278" s="652">
        <f>SUMIFS(OBE!$H:$H,OBE!$C:$C,'Standalone TB'!$B278,OBE!$B:$B,"A21")</f>
        <v>0</v>
      </c>
      <c r="G278" s="652">
        <f>SUMIFS('Elimination - BS'!I:I,'Elimination - BS'!D:D,'Standalone TB'!B278,'Elimination - BS'!A:A,"EA21")</f>
        <v>0</v>
      </c>
      <c r="H278" s="652">
        <f t="shared" si="33"/>
        <v>0</v>
      </c>
      <c r="I278" s="652">
        <v>0</v>
      </c>
      <c r="J278" s="684">
        <v>0</v>
      </c>
      <c r="K278" s="652">
        <f>SUMIFS(OBE!$H:$H,OBE!$C:$C,'Standalone TB'!$B278,OBE!$B:$B,"A22")</f>
        <v>0</v>
      </c>
      <c r="L278" s="652">
        <f>SUMIFS('Elimination - BS'!I:I,'Elimination - BS'!D:D,'Standalone TB'!B278,'Elimination - BS'!A:A,"EA22")</f>
        <v>0</v>
      </c>
      <c r="M278" s="652">
        <f t="shared" si="34"/>
        <v>0</v>
      </c>
      <c r="N278" s="652">
        <f t="shared" si="35"/>
        <v>0</v>
      </c>
      <c r="O278" s="652">
        <v>0</v>
      </c>
      <c r="P278" s="685">
        <v>0</v>
      </c>
      <c r="Q278" s="684">
        <v>0</v>
      </c>
      <c r="R278" s="652">
        <f>SUMIFS(OBE!$H:$H,OBE!$C:$C,'Standalone TB'!$B278,OBE!$B:$B,"A20")</f>
        <v>0</v>
      </c>
      <c r="S278" s="652">
        <f>SUMIFS('Elimination - BS'!I:I,'Elimination - BS'!D:D,'Standalone TB'!B278,'Elimination - BS'!A:A,"EA20")</f>
        <v>0</v>
      </c>
      <c r="T278" s="652">
        <f t="shared" si="36"/>
        <v>0</v>
      </c>
      <c r="U278" s="652">
        <f t="shared" si="37"/>
        <v>0</v>
      </c>
      <c r="V278" s="652">
        <v>0</v>
      </c>
      <c r="W278" s="685">
        <v>0</v>
      </c>
      <c r="X278" s="689">
        <f t="shared" si="38"/>
        <v>0</v>
      </c>
      <c r="Y278" s="689">
        <f t="shared" si="39"/>
        <v>0</v>
      </c>
      <c r="Z278" s="652" t="s">
        <v>95</v>
      </c>
      <c r="AA278" s="652" t="s">
        <v>9</v>
      </c>
      <c r="AB278" s="666" t="s">
        <v>1893</v>
      </c>
      <c r="AD278" s="665"/>
    </row>
    <row r="279" spans="2:30" hidden="1" x14ac:dyDescent="0.2">
      <c r="B279" s="673" t="s">
        <v>1512</v>
      </c>
      <c r="C279" s="666" t="s">
        <v>2222</v>
      </c>
      <c r="D279" s="666" t="s">
        <v>3</v>
      </c>
      <c r="E279" s="684">
        <v>21035525.18</v>
      </c>
      <c r="F279" s="652">
        <f>SUMIFS(OBE!$H:$H,OBE!$C:$C,'Standalone TB'!$B279,OBE!$B:$B,"A21")</f>
        <v>0</v>
      </c>
      <c r="G279" s="652">
        <f>SUMIFS('Elimination - BS'!I:I,'Elimination - BS'!D:D,'Standalone TB'!B279,'Elimination - BS'!A:A,"EA21")</f>
        <v>-21035525.18</v>
      </c>
      <c r="H279" s="652">
        <f t="shared" si="33"/>
        <v>0</v>
      </c>
      <c r="I279" s="652">
        <v>0</v>
      </c>
      <c r="J279" s="684">
        <v>0</v>
      </c>
      <c r="K279" s="652">
        <f>SUMIFS(OBE!$H:$H,OBE!$C:$C,'Standalone TB'!$B279,OBE!$B:$B,"A22")</f>
        <v>0</v>
      </c>
      <c r="L279" s="652">
        <f>SUMIFS('Elimination - BS'!I:I,'Elimination - BS'!D:D,'Standalone TB'!B279,'Elimination - BS'!A:A,"EA22")</f>
        <v>0</v>
      </c>
      <c r="M279" s="652">
        <f t="shared" si="34"/>
        <v>0</v>
      </c>
      <c r="N279" s="652">
        <f t="shared" si="35"/>
        <v>0</v>
      </c>
      <c r="O279" s="652">
        <v>0</v>
      </c>
      <c r="P279" s="685">
        <v>0</v>
      </c>
      <c r="Q279" s="684">
        <v>0</v>
      </c>
      <c r="R279" s="652">
        <f>SUMIFS(OBE!$H:$H,OBE!$C:$C,'Standalone TB'!$B279,OBE!$B:$B,"A20")</f>
        <v>0</v>
      </c>
      <c r="S279" s="652">
        <f>SUMIFS('Elimination - BS'!I:I,'Elimination - BS'!D:D,'Standalone TB'!B279,'Elimination - BS'!A:A,"EA20")</f>
        <v>0</v>
      </c>
      <c r="T279" s="652">
        <f t="shared" si="36"/>
        <v>0</v>
      </c>
      <c r="U279" s="652">
        <f t="shared" si="37"/>
        <v>0</v>
      </c>
      <c r="V279" s="652">
        <v>0</v>
      </c>
      <c r="W279" s="685">
        <v>0</v>
      </c>
      <c r="X279" s="689">
        <f t="shared" si="38"/>
        <v>0</v>
      </c>
      <c r="Y279" s="689">
        <f t="shared" si="39"/>
        <v>0</v>
      </c>
      <c r="Z279" s="652" t="s">
        <v>519</v>
      </c>
      <c r="AA279" s="652" t="s">
        <v>9</v>
      </c>
      <c r="AB279" s="666" t="s">
        <v>1923</v>
      </c>
      <c r="AD279" s="665"/>
    </row>
    <row r="280" spans="2:30" hidden="1" x14ac:dyDescent="0.2">
      <c r="B280" s="673" t="s">
        <v>2223</v>
      </c>
      <c r="C280" s="666" t="s">
        <v>2224</v>
      </c>
      <c r="D280" s="666" t="s">
        <v>3</v>
      </c>
      <c r="E280" s="684">
        <v>0</v>
      </c>
      <c r="F280" s="652">
        <f>SUMIFS(OBE!$H:$H,OBE!$C:$C,'Standalone TB'!$B280,OBE!$B:$B,"A21")</f>
        <v>0</v>
      </c>
      <c r="G280" s="652">
        <f>SUMIFS('Elimination - BS'!I:I,'Elimination - BS'!D:D,'Standalone TB'!B280,'Elimination - BS'!A:A,"EA21")</f>
        <v>0</v>
      </c>
      <c r="H280" s="652">
        <f t="shared" si="33"/>
        <v>0</v>
      </c>
      <c r="I280" s="652">
        <v>0</v>
      </c>
      <c r="J280" s="684">
        <v>0</v>
      </c>
      <c r="K280" s="652">
        <f>SUMIFS(OBE!$H:$H,OBE!$C:$C,'Standalone TB'!$B280,OBE!$B:$B,"A22")</f>
        <v>0</v>
      </c>
      <c r="L280" s="652">
        <f>SUMIFS('Elimination - BS'!I:I,'Elimination - BS'!D:D,'Standalone TB'!B280,'Elimination - BS'!A:A,"EA22")</f>
        <v>0</v>
      </c>
      <c r="M280" s="652">
        <f t="shared" si="34"/>
        <v>0</v>
      </c>
      <c r="N280" s="652">
        <f t="shared" si="35"/>
        <v>0</v>
      </c>
      <c r="O280" s="652">
        <v>0</v>
      </c>
      <c r="P280" s="685">
        <v>0</v>
      </c>
      <c r="Q280" s="684">
        <v>0</v>
      </c>
      <c r="R280" s="652">
        <f>SUMIFS(OBE!$H:$H,OBE!$C:$C,'Standalone TB'!$B280,OBE!$B:$B,"A20")</f>
        <v>0</v>
      </c>
      <c r="S280" s="652">
        <f>SUMIFS('Elimination - BS'!I:I,'Elimination - BS'!D:D,'Standalone TB'!B280,'Elimination - BS'!A:A,"EA20")</f>
        <v>0</v>
      </c>
      <c r="T280" s="652">
        <f t="shared" si="36"/>
        <v>0</v>
      </c>
      <c r="U280" s="652">
        <f t="shared" si="37"/>
        <v>0</v>
      </c>
      <c r="V280" s="652">
        <v>0</v>
      </c>
      <c r="W280" s="685">
        <v>0</v>
      </c>
      <c r="X280" s="689">
        <f t="shared" si="38"/>
        <v>0</v>
      </c>
      <c r="Y280" s="689">
        <f t="shared" si="39"/>
        <v>0</v>
      </c>
      <c r="Z280" s="652"/>
      <c r="AA280" s="652"/>
      <c r="AB280" s="666" t="s">
        <v>1891</v>
      </c>
      <c r="AD280" s="665"/>
    </row>
    <row r="281" spans="2:30" hidden="1" x14ac:dyDescent="0.2">
      <c r="B281" s="673" t="s">
        <v>2225</v>
      </c>
      <c r="C281" s="666" t="s">
        <v>1777</v>
      </c>
      <c r="D281" s="666" t="s">
        <v>3</v>
      </c>
      <c r="E281" s="684">
        <v>0</v>
      </c>
      <c r="F281" s="652">
        <f>SUMIFS(OBE!$H:$H,OBE!$C:$C,'Standalone TB'!$B281,OBE!$B:$B,"A21")</f>
        <v>0</v>
      </c>
      <c r="G281" s="652">
        <f>SUMIFS('Elimination - BS'!I:I,'Elimination - BS'!D:D,'Standalone TB'!B281,'Elimination - BS'!A:A,"EA21")</f>
        <v>0</v>
      </c>
      <c r="H281" s="652">
        <f t="shared" si="33"/>
        <v>0</v>
      </c>
      <c r="I281" s="652">
        <v>0</v>
      </c>
      <c r="J281" s="684">
        <v>0</v>
      </c>
      <c r="K281" s="652">
        <f>SUMIFS(OBE!$H:$H,OBE!$C:$C,'Standalone TB'!$B281,OBE!$B:$B,"A22")</f>
        <v>0</v>
      </c>
      <c r="L281" s="652">
        <f>SUMIFS('Elimination - BS'!I:I,'Elimination - BS'!D:D,'Standalone TB'!B281,'Elimination - BS'!A:A,"EA22")</f>
        <v>0</v>
      </c>
      <c r="M281" s="652">
        <f t="shared" si="34"/>
        <v>0</v>
      </c>
      <c r="N281" s="652">
        <f t="shared" si="35"/>
        <v>0</v>
      </c>
      <c r="O281" s="652">
        <v>0</v>
      </c>
      <c r="P281" s="685">
        <v>0</v>
      </c>
      <c r="Q281" s="684">
        <v>0</v>
      </c>
      <c r="R281" s="652">
        <f>SUMIFS(OBE!$H:$H,OBE!$C:$C,'Standalone TB'!$B281,OBE!$B:$B,"A20")</f>
        <v>0</v>
      </c>
      <c r="S281" s="652">
        <f>SUMIFS('Elimination - BS'!I:I,'Elimination - BS'!D:D,'Standalone TB'!B281,'Elimination - BS'!A:A,"EA20")</f>
        <v>0</v>
      </c>
      <c r="T281" s="652">
        <f t="shared" si="36"/>
        <v>0</v>
      </c>
      <c r="U281" s="652">
        <f t="shared" si="37"/>
        <v>0</v>
      </c>
      <c r="V281" s="652">
        <v>0</v>
      </c>
      <c r="W281" s="685">
        <v>0</v>
      </c>
      <c r="X281" s="689">
        <f t="shared" si="38"/>
        <v>0</v>
      </c>
      <c r="Y281" s="689">
        <f t="shared" si="39"/>
        <v>0</v>
      </c>
      <c r="Z281" s="652" t="s">
        <v>523</v>
      </c>
      <c r="AA281" s="652" t="s">
        <v>9</v>
      </c>
      <c r="AB281" s="666" t="s">
        <v>1923</v>
      </c>
      <c r="AD281" s="665"/>
    </row>
    <row r="282" spans="2:30" hidden="1" x14ac:dyDescent="0.2">
      <c r="B282" s="673" t="s">
        <v>2226</v>
      </c>
      <c r="C282" s="666" t="s">
        <v>2227</v>
      </c>
      <c r="D282" s="666" t="s">
        <v>3</v>
      </c>
      <c r="E282" s="684">
        <v>6180415.9500000002</v>
      </c>
      <c r="F282" s="652">
        <f>SUMIFS(OBE!$H:$H,OBE!$C:$C,'Standalone TB'!$B282,OBE!$B:$B,"A21")</f>
        <v>0</v>
      </c>
      <c r="G282" s="652">
        <f>SUMIFS('Elimination - BS'!I:I,'Elimination - BS'!D:D,'Standalone TB'!B282,'Elimination - BS'!A:A,"EA21")</f>
        <v>0</v>
      </c>
      <c r="H282" s="652">
        <f t="shared" si="33"/>
        <v>6180415.9500000002</v>
      </c>
      <c r="I282" s="652">
        <v>6450892.54</v>
      </c>
      <c r="J282" s="684">
        <v>778953.39</v>
      </c>
      <c r="K282" s="652">
        <f>SUMIFS(OBE!$H:$H,OBE!$C:$C,'Standalone TB'!$B282,OBE!$B:$B,"A22")</f>
        <v>95035</v>
      </c>
      <c r="L282" s="652">
        <f>SUMIFS('Elimination - BS'!I:I,'Elimination - BS'!D:D,'Standalone TB'!B282,'Elimination - BS'!A:A,"EA22")</f>
        <v>0</v>
      </c>
      <c r="M282" s="652">
        <f t="shared" si="34"/>
        <v>873988.39</v>
      </c>
      <c r="N282" s="652">
        <f t="shared" si="35"/>
        <v>20358598.319371533</v>
      </c>
      <c r="O282" s="652">
        <v>247204.65</v>
      </c>
      <c r="P282" s="685">
        <v>5608900.4652450001</v>
      </c>
      <c r="Q282" s="684">
        <v>33183.120000000003</v>
      </c>
      <c r="R282" s="652">
        <f>SUMIFS(OBE!$H:$H,OBE!$C:$C,'Standalone TB'!$B282,OBE!$B:$B,"A20")</f>
        <v>0</v>
      </c>
      <c r="S282" s="652">
        <f>SUMIFS('Elimination - BS'!I:I,'Elimination - BS'!D:D,'Standalone TB'!B282,'Elimination - BS'!A:A,"EA20")</f>
        <v>0</v>
      </c>
      <c r="T282" s="652">
        <f t="shared" si="36"/>
        <v>33183.120000000003</v>
      </c>
      <c r="U282" s="652">
        <f t="shared" si="37"/>
        <v>2839272.8739371537</v>
      </c>
      <c r="V282" s="652">
        <v>0</v>
      </c>
      <c r="W282" s="685">
        <v>0</v>
      </c>
      <c r="X282" s="689">
        <f t="shared" si="38"/>
        <v>29378287.143308684</v>
      </c>
      <c r="Y282" s="689">
        <f t="shared" si="39"/>
        <v>12059793.005245</v>
      </c>
      <c r="Z282" s="652" t="s">
        <v>523</v>
      </c>
      <c r="AA282" s="652" t="s">
        <v>9</v>
      </c>
      <c r="AB282" s="666" t="s">
        <v>1923</v>
      </c>
      <c r="AD282" s="665"/>
    </row>
    <row r="283" spans="2:30" hidden="1" x14ac:dyDescent="0.2">
      <c r="B283" s="673" t="s">
        <v>2228</v>
      </c>
      <c r="C283" s="666" t="s">
        <v>2229</v>
      </c>
      <c r="D283" s="666" t="s">
        <v>3</v>
      </c>
      <c r="E283" s="684">
        <v>0</v>
      </c>
      <c r="F283" s="652">
        <f>SUMIFS(OBE!$H:$H,OBE!$C:$C,'Standalone TB'!$B283,OBE!$B:$B,"A21")</f>
        <v>0</v>
      </c>
      <c r="G283" s="652">
        <f>SUMIFS('Elimination - BS'!I:I,'Elimination - BS'!D:D,'Standalone TB'!B283,'Elimination - BS'!A:A,"EA21")</f>
        <v>0</v>
      </c>
      <c r="H283" s="652">
        <f t="shared" si="33"/>
        <v>0</v>
      </c>
      <c r="I283" s="652">
        <v>0</v>
      </c>
      <c r="J283" s="684">
        <v>0</v>
      </c>
      <c r="K283" s="652">
        <f>SUMIFS(OBE!$H:$H,OBE!$C:$C,'Standalone TB'!$B283,OBE!$B:$B,"A22")</f>
        <v>0</v>
      </c>
      <c r="L283" s="652">
        <f>SUMIFS('Elimination - BS'!I:I,'Elimination - BS'!D:D,'Standalone TB'!B283,'Elimination - BS'!A:A,"EA22")</f>
        <v>0</v>
      </c>
      <c r="M283" s="652">
        <f t="shared" si="34"/>
        <v>0</v>
      </c>
      <c r="N283" s="652">
        <f t="shared" si="35"/>
        <v>0</v>
      </c>
      <c r="O283" s="652">
        <v>0</v>
      </c>
      <c r="P283" s="685">
        <v>0</v>
      </c>
      <c r="Q283" s="684">
        <v>0</v>
      </c>
      <c r="R283" s="652">
        <f>SUMIFS(OBE!$H:$H,OBE!$C:$C,'Standalone TB'!$B283,OBE!$B:$B,"A20")</f>
        <v>0</v>
      </c>
      <c r="S283" s="652">
        <f>SUMIFS('Elimination - BS'!I:I,'Elimination - BS'!D:D,'Standalone TB'!B283,'Elimination - BS'!A:A,"EA20")</f>
        <v>0</v>
      </c>
      <c r="T283" s="652">
        <f t="shared" si="36"/>
        <v>0</v>
      </c>
      <c r="U283" s="652">
        <f t="shared" si="37"/>
        <v>0</v>
      </c>
      <c r="V283" s="652">
        <v>0</v>
      </c>
      <c r="W283" s="685">
        <v>0</v>
      </c>
      <c r="X283" s="689">
        <f t="shared" si="38"/>
        <v>0</v>
      </c>
      <c r="Y283" s="689">
        <f t="shared" si="39"/>
        <v>0</v>
      </c>
      <c r="Z283" s="652" t="s">
        <v>523</v>
      </c>
      <c r="AA283" s="652" t="s">
        <v>9</v>
      </c>
      <c r="AB283" s="666" t="s">
        <v>1923</v>
      </c>
      <c r="AD283" s="665"/>
    </row>
    <row r="284" spans="2:30" hidden="1" x14ac:dyDescent="0.2">
      <c r="B284" s="673" t="s">
        <v>1653</v>
      </c>
      <c r="C284" s="666" t="s">
        <v>2230</v>
      </c>
      <c r="D284" s="666" t="s">
        <v>3</v>
      </c>
      <c r="E284" s="684">
        <v>51391096.719999999</v>
      </c>
      <c r="F284" s="652">
        <f>SUMIFS(OBE!$H:$H,OBE!$C:$C,'Standalone TB'!$B284,OBE!$B:$B,"A21")</f>
        <v>6777902.7199999997</v>
      </c>
      <c r="G284" s="652">
        <f>SUMIFS('Elimination - BS'!I:I,'Elimination - BS'!D:D,'Standalone TB'!B284,'Elimination - BS'!A:A,"EA21")</f>
        <v>0</v>
      </c>
      <c r="H284" s="652">
        <f t="shared" si="33"/>
        <v>58168999.439999998</v>
      </c>
      <c r="I284" s="652">
        <v>0</v>
      </c>
      <c r="J284" s="684">
        <v>0</v>
      </c>
      <c r="K284" s="652">
        <f>SUMIFS(OBE!$H:$H,OBE!$C:$C,'Standalone TB'!$B284,OBE!$B:$B,"A22")</f>
        <v>0</v>
      </c>
      <c r="L284" s="652">
        <f>SUMIFS('Elimination - BS'!I:I,'Elimination - BS'!D:D,'Standalone TB'!B284,'Elimination - BS'!A:A,"EA22")</f>
        <v>0</v>
      </c>
      <c r="M284" s="652">
        <f t="shared" si="34"/>
        <v>0</v>
      </c>
      <c r="N284" s="652">
        <f t="shared" si="35"/>
        <v>0</v>
      </c>
      <c r="O284" s="652">
        <v>0</v>
      </c>
      <c r="P284" s="685">
        <v>0</v>
      </c>
      <c r="Q284" s="684">
        <v>0</v>
      </c>
      <c r="R284" s="652">
        <f>SUMIFS(OBE!$H:$H,OBE!$C:$C,'Standalone TB'!$B284,OBE!$B:$B,"A20")</f>
        <v>0</v>
      </c>
      <c r="S284" s="652">
        <f>SUMIFS('Elimination - BS'!I:I,'Elimination - BS'!D:D,'Standalone TB'!B284,'Elimination - BS'!A:A,"EA20")</f>
        <v>0</v>
      </c>
      <c r="T284" s="652">
        <f t="shared" si="36"/>
        <v>0</v>
      </c>
      <c r="U284" s="652">
        <f t="shared" si="37"/>
        <v>0</v>
      </c>
      <c r="V284" s="652">
        <v>0</v>
      </c>
      <c r="W284" s="685">
        <v>0</v>
      </c>
      <c r="X284" s="689">
        <f t="shared" si="38"/>
        <v>58168999.439999998</v>
      </c>
      <c r="Y284" s="689">
        <f t="shared" si="39"/>
        <v>0</v>
      </c>
      <c r="Z284" s="652" t="s">
        <v>681</v>
      </c>
      <c r="AA284" s="652" t="s">
        <v>35</v>
      </c>
      <c r="AB284" s="666" t="s">
        <v>1756</v>
      </c>
      <c r="AD284" s="665"/>
    </row>
    <row r="285" spans="2:30" hidden="1" x14ac:dyDescent="0.2">
      <c r="B285" s="673" t="s">
        <v>2231</v>
      </c>
      <c r="C285" s="666" t="s">
        <v>2232</v>
      </c>
      <c r="D285" s="666" t="s">
        <v>3</v>
      </c>
      <c r="E285" s="684">
        <v>0</v>
      </c>
      <c r="F285" s="652">
        <f>SUMIFS(OBE!$H:$H,OBE!$C:$C,'Standalone TB'!$B285,OBE!$B:$B,"A21")</f>
        <v>0</v>
      </c>
      <c r="G285" s="652">
        <f>SUMIFS('Elimination - BS'!I:I,'Elimination - BS'!D:D,'Standalone TB'!B285,'Elimination - BS'!A:A,"EA21")</f>
        <v>0</v>
      </c>
      <c r="H285" s="652">
        <f t="shared" si="33"/>
        <v>0</v>
      </c>
      <c r="I285" s="652">
        <v>0</v>
      </c>
      <c r="J285" s="684">
        <v>0</v>
      </c>
      <c r="K285" s="652">
        <f>SUMIFS(OBE!$H:$H,OBE!$C:$C,'Standalone TB'!$B285,OBE!$B:$B,"A22")</f>
        <v>0</v>
      </c>
      <c r="L285" s="652">
        <f>SUMIFS('Elimination - BS'!I:I,'Elimination - BS'!D:D,'Standalone TB'!B285,'Elimination - BS'!A:A,"EA22")</f>
        <v>0</v>
      </c>
      <c r="M285" s="652">
        <f t="shared" si="34"/>
        <v>0</v>
      </c>
      <c r="N285" s="652">
        <f t="shared" si="35"/>
        <v>0</v>
      </c>
      <c r="O285" s="652">
        <v>0</v>
      </c>
      <c r="P285" s="685">
        <v>0</v>
      </c>
      <c r="Q285" s="684">
        <v>0</v>
      </c>
      <c r="R285" s="652">
        <f>SUMIFS(OBE!$H:$H,OBE!$C:$C,'Standalone TB'!$B285,OBE!$B:$B,"A20")</f>
        <v>0</v>
      </c>
      <c r="S285" s="652">
        <f>SUMIFS('Elimination - BS'!I:I,'Elimination - BS'!D:D,'Standalone TB'!B285,'Elimination - BS'!A:A,"EA20")</f>
        <v>0</v>
      </c>
      <c r="T285" s="652">
        <f t="shared" si="36"/>
        <v>0</v>
      </c>
      <c r="U285" s="652">
        <f t="shared" si="37"/>
        <v>0</v>
      </c>
      <c r="V285" s="652">
        <v>0</v>
      </c>
      <c r="W285" s="685">
        <v>0</v>
      </c>
      <c r="X285" s="689">
        <f t="shared" si="38"/>
        <v>0</v>
      </c>
      <c r="Y285" s="689">
        <f t="shared" si="39"/>
        <v>0</v>
      </c>
      <c r="Z285" s="652" t="s">
        <v>523</v>
      </c>
      <c r="AA285" s="652" t="s">
        <v>9</v>
      </c>
      <c r="AB285" s="666" t="s">
        <v>1923</v>
      </c>
      <c r="AD285" s="665"/>
    </row>
    <row r="286" spans="2:30" hidden="1" x14ac:dyDescent="0.2">
      <c r="B286" s="673" t="s">
        <v>2233</v>
      </c>
      <c r="C286" s="666" t="s">
        <v>2227</v>
      </c>
      <c r="D286" s="666" t="s">
        <v>3</v>
      </c>
      <c r="E286" s="684">
        <v>0</v>
      </c>
      <c r="F286" s="652">
        <f>SUMIFS(OBE!$H:$H,OBE!$C:$C,'Standalone TB'!$B286,OBE!$B:$B,"A21")</f>
        <v>0</v>
      </c>
      <c r="G286" s="652">
        <f>SUMIFS('Elimination - BS'!I:I,'Elimination - BS'!D:D,'Standalone TB'!B286,'Elimination - BS'!A:A,"EA21")</f>
        <v>0</v>
      </c>
      <c r="H286" s="652">
        <f t="shared" si="33"/>
        <v>0</v>
      </c>
      <c r="I286" s="652">
        <v>0</v>
      </c>
      <c r="J286" s="684">
        <v>0</v>
      </c>
      <c r="K286" s="652">
        <f>SUMIFS(OBE!$H:$H,OBE!$C:$C,'Standalone TB'!$B286,OBE!$B:$B,"A22")</f>
        <v>0</v>
      </c>
      <c r="L286" s="652">
        <f>SUMIFS('Elimination - BS'!I:I,'Elimination - BS'!D:D,'Standalone TB'!B286,'Elimination - BS'!A:A,"EA22")</f>
        <v>0</v>
      </c>
      <c r="M286" s="652">
        <f t="shared" si="34"/>
        <v>0</v>
      </c>
      <c r="N286" s="652">
        <f t="shared" si="35"/>
        <v>0</v>
      </c>
      <c r="O286" s="652">
        <v>0</v>
      </c>
      <c r="P286" s="685">
        <v>0</v>
      </c>
      <c r="Q286" s="684">
        <v>0</v>
      </c>
      <c r="R286" s="652">
        <f>SUMIFS(OBE!$H:$H,OBE!$C:$C,'Standalone TB'!$B286,OBE!$B:$B,"A20")</f>
        <v>0</v>
      </c>
      <c r="S286" s="652">
        <f>SUMIFS('Elimination - BS'!I:I,'Elimination - BS'!D:D,'Standalone TB'!B286,'Elimination - BS'!A:A,"EA20")</f>
        <v>0</v>
      </c>
      <c r="T286" s="652">
        <f t="shared" si="36"/>
        <v>0</v>
      </c>
      <c r="U286" s="652">
        <f t="shared" si="37"/>
        <v>0</v>
      </c>
      <c r="V286" s="652">
        <v>0</v>
      </c>
      <c r="W286" s="685">
        <v>0</v>
      </c>
      <c r="X286" s="689">
        <f t="shared" si="38"/>
        <v>0</v>
      </c>
      <c r="Y286" s="689">
        <f t="shared" si="39"/>
        <v>0</v>
      </c>
      <c r="Z286" s="652"/>
      <c r="AA286" s="652"/>
      <c r="AB286" s="666" t="s">
        <v>1891</v>
      </c>
      <c r="AD286" s="665"/>
    </row>
    <row r="287" spans="2:30" hidden="1" x14ac:dyDescent="0.2">
      <c r="B287" s="673" t="s">
        <v>2234</v>
      </c>
      <c r="C287" s="666" t="s">
        <v>2235</v>
      </c>
      <c r="D287" s="666" t="s">
        <v>3</v>
      </c>
      <c r="E287" s="684">
        <v>0</v>
      </c>
      <c r="F287" s="652">
        <f>SUMIFS(OBE!$H:$H,OBE!$C:$C,'Standalone TB'!$B287,OBE!$B:$B,"A21")</f>
        <v>0</v>
      </c>
      <c r="G287" s="652">
        <f>SUMIFS('Elimination - BS'!I:I,'Elimination - BS'!D:D,'Standalone TB'!B287,'Elimination - BS'!A:A,"EA21")</f>
        <v>0</v>
      </c>
      <c r="H287" s="652">
        <f t="shared" si="33"/>
        <v>0</v>
      </c>
      <c r="I287" s="652">
        <v>0</v>
      </c>
      <c r="J287" s="684">
        <v>0</v>
      </c>
      <c r="K287" s="652">
        <f>SUMIFS(OBE!$H:$H,OBE!$C:$C,'Standalone TB'!$B287,OBE!$B:$B,"A22")</f>
        <v>0</v>
      </c>
      <c r="L287" s="652">
        <f>SUMIFS('Elimination - BS'!I:I,'Elimination - BS'!D:D,'Standalone TB'!B287,'Elimination - BS'!A:A,"EA22")</f>
        <v>0</v>
      </c>
      <c r="M287" s="652">
        <f t="shared" si="34"/>
        <v>0</v>
      </c>
      <c r="N287" s="652">
        <f t="shared" si="35"/>
        <v>0</v>
      </c>
      <c r="O287" s="652">
        <v>0</v>
      </c>
      <c r="P287" s="685">
        <v>0</v>
      </c>
      <c r="Q287" s="684">
        <v>0</v>
      </c>
      <c r="R287" s="652">
        <f>SUMIFS(OBE!$H:$H,OBE!$C:$C,'Standalone TB'!$B287,OBE!$B:$B,"A20")</f>
        <v>0</v>
      </c>
      <c r="S287" s="652">
        <f>SUMIFS('Elimination - BS'!I:I,'Elimination - BS'!D:D,'Standalone TB'!B287,'Elimination - BS'!A:A,"EA20")</f>
        <v>0</v>
      </c>
      <c r="T287" s="652">
        <f t="shared" si="36"/>
        <v>0</v>
      </c>
      <c r="U287" s="652">
        <f t="shared" si="37"/>
        <v>0</v>
      </c>
      <c r="V287" s="652">
        <v>0</v>
      </c>
      <c r="W287" s="685">
        <v>0</v>
      </c>
      <c r="X287" s="689">
        <f t="shared" si="38"/>
        <v>0</v>
      </c>
      <c r="Y287" s="689">
        <f t="shared" si="39"/>
        <v>0</v>
      </c>
      <c r="Z287" s="652"/>
      <c r="AA287" s="652"/>
      <c r="AB287" s="666" t="s">
        <v>1891</v>
      </c>
      <c r="AD287" s="665"/>
    </row>
    <row r="288" spans="2:30" hidden="1" x14ac:dyDescent="0.2">
      <c r="B288" s="673" t="s">
        <v>2236</v>
      </c>
      <c r="C288" s="666" t="s">
        <v>2237</v>
      </c>
      <c r="D288" s="666" t="s">
        <v>3</v>
      </c>
      <c r="E288" s="684">
        <v>0</v>
      </c>
      <c r="F288" s="652">
        <f>SUMIFS(OBE!$H:$H,OBE!$C:$C,'Standalone TB'!$B288,OBE!$B:$B,"A21")</f>
        <v>0</v>
      </c>
      <c r="G288" s="652">
        <f>SUMIFS('Elimination - BS'!I:I,'Elimination - BS'!D:D,'Standalone TB'!B288,'Elimination - BS'!A:A,"EA21")</f>
        <v>0</v>
      </c>
      <c r="H288" s="652">
        <f t="shared" si="33"/>
        <v>0</v>
      </c>
      <c r="I288" s="652">
        <v>0</v>
      </c>
      <c r="J288" s="684">
        <v>0</v>
      </c>
      <c r="K288" s="652">
        <f>SUMIFS(OBE!$H:$H,OBE!$C:$C,'Standalone TB'!$B288,OBE!$B:$B,"A22")</f>
        <v>0</v>
      </c>
      <c r="L288" s="652">
        <f>SUMIFS('Elimination - BS'!I:I,'Elimination - BS'!D:D,'Standalone TB'!B288,'Elimination - BS'!A:A,"EA22")</f>
        <v>0</v>
      </c>
      <c r="M288" s="652">
        <f t="shared" si="34"/>
        <v>0</v>
      </c>
      <c r="N288" s="652">
        <f t="shared" si="35"/>
        <v>0</v>
      </c>
      <c r="O288" s="652">
        <v>0</v>
      </c>
      <c r="P288" s="685">
        <v>0</v>
      </c>
      <c r="Q288" s="684">
        <v>0</v>
      </c>
      <c r="R288" s="652">
        <f>SUMIFS(OBE!$H:$H,OBE!$C:$C,'Standalone TB'!$B288,OBE!$B:$B,"A20")</f>
        <v>0</v>
      </c>
      <c r="S288" s="652">
        <f>SUMIFS('Elimination - BS'!I:I,'Elimination - BS'!D:D,'Standalone TB'!B288,'Elimination - BS'!A:A,"EA20")</f>
        <v>0</v>
      </c>
      <c r="T288" s="652">
        <f t="shared" si="36"/>
        <v>0</v>
      </c>
      <c r="U288" s="652">
        <f t="shared" si="37"/>
        <v>0</v>
      </c>
      <c r="V288" s="652">
        <v>0</v>
      </c>
      <c r="W288" s="685">
        <v>0</v>
      </c>
      <c r="X288" s="689">
        <f t="shared" si="38"/>
        <v>0</v>
      </c>
      <c r="Y288" s="689">
        <f t="shared" si="39"/>
        <v>0</v>
      </c>
      <c r="Z288" s="652"/>
      <c r="AA288" s="652"/>
      <c r="AB288" s="666" t="s">
        <v>1891</v>
      </c>
      <c r="AD288" s="665"/>
    </row>
    <row r="289" spans="2:30" hidden="1" x14ac:dyDescent="0.2">
      <c r="B289" s="673" t="s">
        <v>2238</v>
      </c>
      <c r="C289" s="666" t="s">
        <v>2224</v>
      </c>
      <c r="D289" s="666" t="s">
        <v>3</v>
      </c>
      <c r="E289" s="684">
        <v>0</v>
      </c>
      <c r="F289" s="652">
        <f>SUMIFS(OBE!$H:$H,OBE!$C:$C,'Standalone TB'!$B289,OBE!$B:$B,"A21")</f>
        <v>0</v>
      </c>
      <c r="G289" s="652">
        <f>SUMIFS('Elimination - BS'!I:I,'Elimination - BS'!D:D,'Standalone TB'!B289,'Elimination - BS'!A:A,"EA21")</f>
        <v>0</v>
      </c>
      <c r="H289" s="652">
        <f t="shared" si="33"/>
        <v>0</v>
      </c>
      <c r="I289" s="652">
        <v>0</v>
      </c>
      <c r="J289" s="684">
        <v>0</v>
      </c>
      <c r="K289" s="652">
        <f>SUMIFS(OBE!$H:$H,OBE!$C:$C,'Standalone TB'!$B289,OBE!$B:$B,"A22")</f>
        <v>0</v>
      </c>
      <c r="L289" s="652">
        <f>SUMIFS('Elimination - BS'!I:I,'Elimination - BS'!D:D,'Standalone TB'!B289,'Elimination - BS'!A:A,"EA22")</f>
        <v>0</v>
      </c>
      <c r="M289" s="652">
        <f t="shared" si="34"/>
        <v>0</v>
      </c>
      <c r="N289" s="652">
        <f t="shared" si="35"/>
        <v>0</v>
      </c>
      <c r="O289" s="652">
        <v>0</v>
      </c>
      <c r="P289" s="685">
        <v>0</v>
      </c>
      <c r="Q289" s="684">
        <v>0</v>
      </c>
      <c r="R289" s="652">
        <f>SUMIFS(OBE!$H:$H,OBE!$C:$C,'Standalone TB'!$B289,OBE!$B:$B,"A20")</f>
        <v>0</v>
      </c>
      <c r="S289" s="652">
        <f>SUMIFS('Elimination - BS'!I:I,'Elimination - BS'!D:D,'Standalone TB'!B289,'Elimination - BS'!A:A,"EA20")</f>
        <v>0</v>
      </c>
      <c r="T289" s="652">
        <f t="shared" si="36"/>
        <v>0</v>
      </c>
      <c r="U289" s="652">
        <f t="shared" si="37"/>
        <v>0</v>
      </c>
      <c r="V289" s="652">
        <v>0</v>
      </c>
      <c r="W289" s="685">
        <v>0</v>
      </c>
      <c r="X289" s="689">
        <f t="shared" si="38"/>
        <v>0</v>
      </c>
      <c r="Y289" s="689">
        <f t="shared" si="39"/>
        <v>0</v>
      </c>
      <c r="Z289" s="652"/>
      <c r="AA289" s="652"/>
      <c r="AB289" s="666" t="s">
        <v>1891</v>
      </c>
      <c r="AD289" s="665"/>
    </row>
    <row r="290" spans="2:30" hidden="1" x14ac:dyDescent="0.2">
      <c r="B290" s="673" t="s">
        <v>2239</v>
      </c>
      <c r="C290" s="666" t="s">
        <v>2240</v>
      </c>
      <c r="D290" s="666" t="s">
        <v>3</v>
      </c>
      <c r="E290" s="684">
        <v>0</v>
      </c>
      <c r="F290" s="652">
        <f>SUMIFS(OBE!$H:$H,OBE!$C:$C,'Standalone TB'!$B290,OBE!$B:$B,"A21")</f>
        <v>0</v>
      </c>
      <c r="G290" s="652">
        <f>SUMIFS('Elimination - BS'!I:I,'Elimination - BS'!D:D,'Standalone TB'!B290,'Elimination - BS'!A:A,"EA21")</f>
        <v>0</v>
      </c>
      <c r="H290" s="652">
        <f t="shared" si="33"/>
        <v>0</v>
      </c>
      <c r="I290" s="652">
        <v>0</v>
      </c>
      <c r="J290" s="684">
        <v>0</v>
      </c>
      <c r="K290" s="652">
        <f>SUMIFS(OBE!$H:$H,OBE!$C:$C,'Standalone TB'!$B290,OBE!$B:$B,"A22")</f>
        <v>0</v>
      </c>
      <c r="L290" s="652">
        <f>SUMIFS('Elimination - BS'!I:I,'Elimination - BS'!D:D,'Standalone TB'!B290,'Elimination - BS'!A:A,"EA22")</f>
        <v>0</v>
      </c>
      <c r="M290" s="652">
        <f t="shared" si="34"/>
        <v>0</v>
      </c>
      <c r="N290" s="652">
        <f t="shared" si="35"/>
        <v>0</v>
      </c>
      <c r="O290" s="652">
        <v>0</v>
      </c>
      <c r="P290" s="685">
        <v>0</v>
      </c>
      <c r="Q290" s="684">
        <v>0</v>
      </c>
      <c r="R290" s="652">
        <f>SUMIFS(OBE!$H:$H,OBE!$C:$C,'Standalone TB'!$B290,OBE!$B:$B,"A20")</f>
        <v>0</v>
      </c>
      <c r="S290" s="652">
        <f>SUMIFS('Elimination - BS'!I:I,'Elimination - BS'!D:D,'Standalone TB'!B290,'Elimination - BS'!A:A,"EA20")</f>
        <v>0</v>
      </c>
      <c r="T290" s="652">
        <f t="shared" si="36"/>
        <v>0</v>
      </c>
      <c r="U290" s="652">
        <f t="shared" si="37"/>
        <v>0</v>
      </c>
      <c r="V290" s="652">
        <v>0</v>
      </c>
      <c r="W290" s="685">
        <v>0</v>
      </c>
      <c r="X290" s="689">
        <f t="shared" si="38"/>
        <v>0</v>
      </c>
      <c r="Y290" s="689">
        <f t="shared" si="39"/>
        <v>0</v>
      </c>
      <c r="Z290" s="652"/>
      <c r="AA290" s="652"/>
      <c r="AB290" s="666" t="s">
        <v>1891</v>
      </c>
      <c r="AD290" s="665"/>
    </row>
    <row r="291" spans="2:30" hidden="1" x14ac:dyDescent="0.2">
      <c r="B291" s="673" t="s">
        <v>2241</v>
      </c>
      <c r="C291" s="666" t="s">
        <v>2242</v>
      </c>
      <c r="D291" s="666" t="s">
        <v>3</v>
      </c>
      <c r="E291" s="684">
        <v>0</v>
      </c>
      <c r="F291" s="652">
        <f>SUMIFS(OBE!$H:$H,OBE!$C:$C,'Standalone TB'!$B291,OBE!$B:$B,"A21")</f>
        <v>0</v>
      </c>
      <c r="G291" s="652">
        <f>SUMIFS('Elimination - BS'!I:I,'Elimination - BS'!D:D,'Standalone TB'!B291,'Elimination - BS'!A:A,"EA21")</f>
        <v>0</v>
      </c>
      <c r="H291" s="652">
        <f t="shared" si="33"/>
        <v>0</v>
      </c>
      <c r="I291" s="652">
        <v>0</v>
      </c>
      <c r="J291" s="684">
        <v>0</v>
      </c>
      <c r="K291" s="652">
        <f>SUMIFS(OBE!$H:$H,OBE!$C:$C,'Standalone TB'!$B291,OBE!$B:$B,"A22")</f>
        <v>0</v>
      </c>
      <c r="L291" s="652">
        <f>SUMIFS('Elimination - BS'!I:I,'Elimination - BS'!D:D,'Standalone TB'!B291,'Elimination - BS'!A:A,"EA22")</f>
        <v>0</v>
      </c>
      <c r="M291" s="652">
        <f t="shared" si="34"/>
        <v>0</v>
      </c>
      <c r="N291" s="652">
        <f t="shared" si="35"/>
        <v>0</v>
      </c>
      <c r="O291" s="652">
        <v>0</v>
      </c>
      <c r="P291" s="685">
        <v>0</v>
      </c>
      <c r="Q291" s="684">
        <v>0</v>
      </c>
      <c r="R291" s="652">
        <f>SUMIFS(OBE!$H:$H,OBE!$C:$C,'Standalone TB'!$B291,OBE!$B:$B,"A20")</f>
        <v>0</v>
      </c>
      <c r="S291" s="652">
        <f>SUMIFS('Elimination - BS'!I:I,'Elimination - BS'!D:D,'Standalone TB'!B291,'Elimination - BS'!A:A,"EA20")</f>
        <v>0</v>
      </c>
      <c r="T291" s="652">
        <f t="shared" si="36"/>
        <v>0</v>
      </c>
      <c r="U291" s="652">
        <f t="shared" si="37"/>
        <v>0</v>
      </c>
      <c r="V291" s="652">
        <v>0</v>
      </c>
      <c r="W291" s="685">
        <v>0</v>
      </c>
      <c r="X291" s="689">
        <f t="shared" si="38"/>
        <v>0</v>
      </c>
      <c r="Y291" s="689">
        <f t="shared" si="39"/>
        <v>0</v>
      </c>
      <c r="Z291" s="652"/>
      <c r="AA291" s="652"/>
      <c r="AB291" s="666" t="s">
        <v>1891</v>
      </c>
      <c r="AD291" s="665"/>
    </row>
    <row r="292" spans="2:30" hidden="1" x14ac:dyDescent="0.2">
      <c r="B292" s="673" t="s">
        <v>2243</v>
      </c>
      <c r="C292" s="666" t="s">
        <v>2244</v>
      </c>
      <c r="D292" s="666" t="s">
        <v>3</v>
      </c>
      <c r="E292" s="684">
        <v>0</v>
      </c>
      <c r="F292" s="652">
        <f>SUMIFS(OBE!$H:$H,OBE!$C:$C,'Standalone TB'!$B292,OBE!$B:$B,"A21")</f>
        <v>0</v>
      </c>
      <c r="G292" s="652">
        <f>SUMIFS('Elimination - BS'!I:I,'Elimination - BS'!D:D,'Standalone TB'!B292,'Elimination - BS'!A:A,"EA21")</f>
        <v>0</v>
      </c>
      <c r="H292" s="652">
        <f t="shared" ref="H292:H355" si="40">SUM(E292:G292)</f>
        <v>0</v>
      </c>
      <c r="I292" s="652">
        <v>0</v>
      </c>
      <c r="J292" s="684">
        <v>0</v>
      </c>
      <c r="K292" s="652">
        <f>SUMIFS(OBE!$H:$H,OBE!$C:$C,'Standalone TB'!$B292,OBE!$B:$B,"A22")</f>
        <v>0</v>
      </c>
      <c r="L292" s="652">
        <f>SUMIFS('Elimination - BS'!I:I,'Elimination - BS'!D:D,'Standalone TB'!B292,'Elimination - BS'!A:A,"EA22")</f>
        <v>0</v>
      </c>
      <c r="M292" s="652">
        <f t="shared" si="34"/>
        <v>0</v>
      </c>
      <c r="N292" s="652">
        <f t="shared" si="35"/>
        <v>0</v>
      </c>
      <c r="O292" s="652">
        <v>0</v>
      </c>
      <c r="P292" s="685">
        <v>0</v>
      </c>
      <c r="Q292" s="684">
        <v>0</v>
      </c>
      <c r="R292" s="652">
        <f>SUMIFS(OBE!$H:$H,OBE!$C:$C,'Standalone TB'!$B292,OBE!$B:$B,"A20")</f>
        <v>0</v>
      </c>
      <c r="S292" s="652">
        <f>SUMIFS('Elimination - BS'!I:I,'Elimination - BS'!D:D,'Standalone TB'!B292,'Elimination - BS'!A:A,"EA20")</f>
        <v>0</v>
      </c>
      <c r="T292" s="652">
        <f t="shared" si="36"/>
        <v>0</v>
      </c>
      <c r="U292" s="652">
        <f t="shared" si="37"/>
        <v>0</v>
      </c>
      <c r="V292" s="652">
        <v>0</v>
      </c>
      <c r="W292" s="685">
        <v>0</v>
      </c>
      <c r="X292" s="689">
        <f t="shared" si="38"/>
        <v>0</v>
      </c>
      <c r="Y292" s="689">
        <f t="shared" si="39"/>
        <v>0</v>
      </c>
      <c r="Z292" s="652"/>
      <c r="AA292" s="652"/>
      <c r="AB292" s="666" t="s">
        <v>1891</v>
      </c>
      <c r="AD292" s="665"/>
    </row>
    <row r="293" spans="2:30" hidden="1" x14ac:dyDescent="0.2">
      <c r="B293" s="673" t="s">
        <v>2245</v>
      </c>
      <c r="C293" s="666" t="s">
        <v>2246</v>
      </c>
      <c r="D293" s="666" t="s">
        <v>3</v>
      </c>
      <c r="E293" s="684">
        <v>0</v>
      </c>
      <c r="F293" s="652">
        <f>SUMIFS(OBE!$H:$H,OBE!$C:$C,'Standalone TB'!$B293,OBE!$B:$B,"A21")</f>
        <v>0</v>
      </c>
      <c r="G293" s="652">
        <f>SUMIFS('Elimination - BS'!I:I,'Elimination - BS'!D:D,'Standalone TB'!B293,'Elimination - BS'!A:A,"EA21")</f>
        <v>0</v>
      </c>
      <c r="H293" s="652">
        <f t="shared" si="40"/>
        <v>0</v>
      </c>
      <c r="I293" s="652">
        <v>0</v>
      </c>
      <c r="J293" s="684">
        <v>0</v>
      </c>
      <c r="K293" s="652">
        <f>SUMIFS(OBE!$H:$H,OBE!$C:$C,'Standalone TB'!$B293,OBE!$B:$B,"A22")</f>
        <v>0</v>
      </c>
      <c r="L293" s="652">
        <f>SUMIFS('Elimination - BS'!I:I,'Elimination - BS'!D:D,'Standalone TB'!B293,'Elimination - BS'!A:A,"EA22")</f>
        <v>0</v>
      </c>
      <c r="M293" s="652">
        <f t="shared" si="34"/>
        <v>0</v>
      </c>
      <c r="N293" s="652">
        <f t="shared" si="35"/>
        <v>0</v>
      </c>
      <c r="O293" s="652">
        <v>0</v>
      </c>
      <c r="P293" s="685">
        <v>0</v>
      </c>
      <c r="Q293" s="684">
        <v>0</v>
      </c>
      <c r="R293" s="652">
        <f>SUMIFS(OBE!$H:$H,OBE!$C:$C,'Standalone TB'!$B293,OBE!$B:$B,"A20")</f>
        <v>0</v>
      </c>
      <c r="S293" s="652">
        <f>SUMIFS('Elimination - BS'!I:I,'Elimination - BS'!D:D,'Standalone TB'!B293,'Elimination - BS'!A:A,"EA20")</f>
        <v>0</v>
      </c>
      <c r="T293" s="652">
        <f t="shared" si="36"/>
        <v>0</v>
      </c>
      <c r="U293" s="652">
        <f t="shared" si="37"/>
        <v>0</v>
      </c>
      <c r="V293" s="652">
        <v>0</v>
      </c>
      <c r="W293" s="685">
        <v>0</v>
      </c>
      <c r="X293" s="689">
        <f t="shared" si="38"/>
        <v>0</v>
      </c>
      <c r="Y293" s="689">
        <f t="shared" si="39"/>
        <v>0</v>
      </c>
      <c r="Z293" s="652"/>
      <c r="AA293" s="652"/>
      <c r="AB293" s="666" t="s">
        <v>1891</v>
      </c>
      <c r="AD293" s="665"/>
    </row>
    <row r="294" spans="2:30" hidden="1" x14ac:dyDescent="0.2">
      <c r="B294" s="673" t="s">
        <v>2247</v>
      </c>
      <c r="C294" s="666" t="s">
        <v>2248</v>
      </c>
      <c r="D294" s="666" t="s">
        <v>3</v>
      </c>
      <c r="E294" s="684">
        <v>0</v>
      </c>
      <c r="F294" s="652">
        <f>SUMIFS(OBE!$H:$H,OBE!$C:$C,'Standalone TB'!$B294,OBE!$B:$B,"A21")</f>
        <v>0</v>
      </c>
      <c r="G294" s="652">
        <f>SUMIFS('Elimination - BS'!I:I,'Elimination - BS'!D:D,'Standalone TB'!B294,'Elimination - BS'!A:A,"EA21")</f>
        <v>0</v>
      </c>
      <c r="H294" s="652">
        <f t="shared" si="40"/>
        <v>0</v>
      </c>
      <c r="I294" s="652">
        <v>0</v>
      </c>
      <c r="J294" s="684">
        <v>0</v>
      </c>
      <c r="K294" s="652">
        <f>SUMIFS(OBE!$H:$H,OBE!$C:$C,'Standalone TB'!$B294,OBE!$B:$B,"A22")</f>
        <v>0</v>
      </c>
      <c r="L294" s="652">
        <f>SUMIFS('Elimination - BS'!I:I,'Elimination - BS'!D:D,'Standalone TB'!B294,'Elimination - BS'!A:A,"EA22")</f>
        <v>0</v>
      </c>
      <c r="M294" s="652">
        <f t="shared" si="34"/>
        <v>0</v>
      </c>
      <c r="N294" s="652">
        <f t="shared" si="35"/>
        <v>0</v>
      </c>
      <c r="O294" s="652">
        <v>0</v>
      </c>
      <c r="P294" s="685">
        <v>0</v>
      </c>
      <c r="Q294" s="684">
        <v>0</v>
      </c>
      <c r="R294" s="652">
        <f>SUMIFS(OBE!$H:$H,OBE!$C:$C,'Standalone TB'!$B294,OBE!$B:$B,"A20")</f>
        <v>0</v>
      </c>
      <c r="S294" s="652">
        <f>SUMIFS('Elimination - BS'!I:I,'Elimination - BS'!D:D,'Standalone TB'!B294,'Elimination - BS'!A:A,"EA20")</f>
        <v>0</v>
      </c>
      <c r="T294" s="652">
        <f t="shared" si="36"/>
        <v>0</v>
      </c>
      <c r="U294" s="652">
        <f t="shared" si="37"/>
        <v>0</v>
      </c>
      <c r="V294" s="652">
        <v>0</v>
      </c>
      <c r="W294" s="685">
        <v>0</v>
      </c>
      <c r="X294" s="689">
        <f t="shared" si="38"/>
        <v>0</v>
      </c>
      <c r="Y294" s="689">
        <f t="shared" si="39"/>
        <v>0</v>
      </c>
      <c r="Z294" s="652"/>
      <c r="AA294" s="652"/>
      <c r="AB294" s="666" t="s">
        <v>1891</v>
      </c>
      <c r="AD294" s="665"/>
    </row>
    <row r="295" spans="2:30" hidden="1" x14ac:dyDescent="0.2">
      <c r="B295" s="673" t="s">
        <v>1661</v>
      </c>
      <c r="C295" s="666" t="s">
        <v>2249</v>
      </c>
      <c r="D295" s="666" t="s">
        <v>3</v>
      </c>
      <c r="E295" s="684">
        <v>1049581.3999999999</v>
      </c>
      <c r="F295" s="652">
        <f>SUMIFS(OBE!$H:$H,OBE!$C:$C,'Standalone TB'!$B295,OBE!$B:$B,"A21")</f>
        <v>-909916</v>
      </c>
      <c r="G295" s="652">
        <f>SUMIFS('Elimination - BS'!I:I,'Elimination - BS'!D:D,'Standalone TB'!B295,'Elimination - BS'!A:A,"EA21")</f>
        <v>0</v>
      </c>
      <c r="H295" s="652">
        <f t="shared" si="40"/>
        <v>139665.39999999991</v>
      </c>
      <c r="I295" s="652">
        <v>1920931.4</v>
      </c>
      <c r="J295" s="684">
        <v>0</v>
      </c>
      <c r="K295" s="652">
        <f>SUMIFS(OBE!$H:$H,OBE!$C:$C,'Standalone TB'!$B295,OBE!$B:$B,"A22")</f>
        <v>0</v>
      </c>
      <c r="L295" s="652">
        <f>SUMIFS('Elimination - BS'!I:I,'Elimination - BS'!D:D,'Standalone TB'!B295,'Elimination - BS'!A:A,"EA22")</f>
        <v>0</v>
      </c>
      <c r="M295" s="652">
        <f t="shared" si="34"/>
        <v>0</v>
      </c>
      <c r="N295" s="652">
        <f t="shared" si="35"/>
        <v>0</v>
      </c>
      <c r="O295" s="652">
        <v>0</v>
      </c>
      <c r="P295" s="685">
        <v>0</v>
      </c>
      <c r="Q295" s="684">
        <v>0</v>
      </c>
      <c r="R295" s="652">
        <f>SUMIFS(OBE!$H:$H,OBE!$C:$C,'Standalone TB'!$B295,OBE!$B:$B,"A20")</f>
        <v>0</v>
      </c>
      <c r="S295" s="652">
        <f>SUMIFS('Elimination - BS'!I:I,'Elimination - BS'!D:D,'Standalone TB'!B295,'Elimination - BS'!A:A,"EA20")</f>
        <v>0</v>
      </c>
      <c r="T295" s="652">
        <f t="shared" si="36"/>
        <v>0</v>
      </c>
      <c r="U295" s="652">
        <f t="shared" si="37"/>
        <v>0</v>
      </c>
      <c r="V295" s="652">
        <v>0</v>
      </c>
      <c r="W295" s="685">
        <v>0</v>
      </c>
      <c r="X295" s="689">
        <f t="shared" si="38"/>
        <v>139665.39999999991</v>
      </c>
      <c r="Y295" s="689">
        <f t="shared" si="39"/>
        <v>1920931.4</v>
      </c>
      <c r="Z295" s="652" t="s">
        <v>508</v>
      </c>
      <c r="AA295" s="652" t="s">
        <v>9</v>
      </c>
      <c r="AB295" s="666" t="s">
        <v>1905</v>
      </c>
      <c r="AD295" s="652" t="s">
        <v>2250</v>
      </c>
    </row>
    <row r="296" spans="2:30" hidden="1" x14ac:dyDescent="0.2">
      <c r="B296" s="673" t="s">
        <v>2251</v>
      </c>
      <c r="C296" s="666" t="s">
        <v>2252</v>
      </c>
      <c r="D296" s="666" t="s">
        <v>3</v>
      </c>
      <c r="E296" s="684">
        <v>0</v>
      </c>
      <c r="F296" s="652">
        <f>SUMIFS(OBE!$H:$H,OBE!$C:$C,'Standalone TB'!$B296,OBE!$B:$B,"A21")</f>
        <v>0</v>
      </c>
      <c r="G296" s="652">
        <f>SUMIFS('Elimination - BS'!I:I,'Elimination - BS'!D:D,'Standalone TB'!B296,'Elimination - BS'!A:A,"EA21")</f>
        <v>0</v>
      </c>
      <c r="H296" s="652">
        <f t="shared" si="40"/>
        <v>0</v>
      </c>
      <c r="I296" s="652">
        <v>0</v>
      </c>
      <c r="J296" s="684">
        <v>0</v>
      </c>
      <c r="K296" s="652">
        <f>SUMIFS(OBE!$H:$H,OBE!$C:$C,'Standalone TB'!$B296,OBE!$B:$B,"A22")</f>
        <v>0</v>
      </c>
      <c r="L296" s="652">
        <f>SUMIFS('Elimination - BS'!I:I,'Elimination - BS'!D:D,'Standalone TB'!B296,'Elimination - BS'!A:A,"EA22")</f>
        <v>0</v>
      </c>
      <c r="M296" s="652">
        <f t="shared" si="34"/>
        <v>0</v>
      </c>
      <c r="N296" s="652">
        <f t="shared" si="35"/>
        <v>0</v>
      </c>
      <c r="O296" s="652">
        <v>0</v>
      </c>
      <c r="P296" s="685">
        <v>0</v>
      </c>
      <c r="Q296" s="684">
        <v>0</v>
      </c>
      <c r="R296" s="652">
        <f>SUMIFS(OBE!$H:$H,OBE!$C:$C,'Standalone TB'!$B296,OBE!$B:$B,"A20")</f>
        <v>0</v>
      </c>
      <c r="S296" s="652">
        <f>SUMIFS('Elimination - BS'!I:I,'Elimination - BS'!D:D,'Standalone TB'!B296,'Elimination - BS'!A:A,"EA20")</f>
        <v>0</v>
      </c>
      <c r="T296" s="652">
        <f t="shared" si="36"/>
        <v>0</v>
      </c>
      <c r="U296" s="652">
        <f t="shared" si="37"/>
        <v>0</v>
      </c>
      <c r="V296" s="652">
        <v>0</v>
      </c>
      <c r="W296" s="685">
        <v>0</v>
      </c>
      <c r="X296" s="689">
        <f t="shared" si="38"/>
        <v>0</v>
      </c>
      <c r="Y296" s="689">
        <f t="shared" si="39"/>
        <v>0</v>
      </c>
      <c r="Z296" s="652"/>
      <c r="AA296" s="652"/>
      <c r="AB296" s="666" t="s">
        <v>1891</v>
      </c>
      <c r="AD296" s="665"/>
    </row>
    <row r="297" spans="2:30" hidden="1" x14ac:dyDescent="0.2">
      <c r="B297" s="673" t="s">
        <v>2253</v>
      </c>
      <c r="C297" s="666" t="s">
        <v>2254</v>
      </c>
      <c r="D297" s="666" t="s">
        <v>3</v>
      </c>
      <c r="E297" s="684">
        <v>0</v>
      </c>
      <c r="F297" s="652">
        <f>SUMIFS(OBE!$H:$H,OBE!$C:$C,'Standalone TB'!$B297,OBE!$B:$B,"A21")</f>
        <v>0</v>
      </c>
      <c r="G297" s="652">
        <f>SUMIFS('Elimination - BS'!I:I,'Elimination - BS'!D:D,'Standalone TB'!B297,'Elimination - BS'!A:A,"EA21")</f>
        <v>0</v>
      </c>
      <c r="H297" s="652">
        <f t="shared" si="40"/>
        <v>0</v>
      </c>
      <c r="I297" s="652">
        <v>0</v>
      </c>
      <c r="J297" s="684">
        <v>0</v>
      </c>
      <c r="K297" s="652">
        <f>SUMIFS(OBE!$H:$H,OBE!$C:$C,'Standalone TB'!$B297,OBE!$B:$B,"A22")</f>
        <v>0</v>
      </c>
      <c r="L297" s="652">
        <f>SUMIFS('Elimination - BS'!I:I,'Elimination - BS'!D:D,'Standalone TB'!B297,'Elimination - BS'!A:A,"EA22")</f>
        <v>0</v>
      </c>
      <c r="M297" s="652">
        <f t="shared" si="34"/>
        <v>0</v>
      </c>
      <c r="N297" s="652">
        <f t="shared" si="35"/>
        <v>0</v>
      </c>
      <c r="O297" s="652">
        <v>0</v>
      </c>
      <c r="P297" s="685">
        <v>0</v>
      </c>
      <c r="Q297" s="684">
        <v>0</v>
      </c>
      <c r="R297" s="652">
        <f>SUMIFS(OBE!$H:$H,OBE!$C:$C,'Standalone TB'!$B297,OBE!$B:$B,"A20")</f>
        <v>0</v>
      </c>
      <c r="S297" s="652">
        <f>SUMIFS('Elimination - BS'!I:I,'Elimination - BS'!D:D,'Standalone TB'!B297,'Elimination - BS'!A:A,"EA20")</f>
        <v>0</v>
      </c>
      <c r="T297" s="652">
        <f t="shared" si="36"/>
        <v>0</v>
      </c>
      <c r="U297" s="652">
        <f t="shared" si="37"/>
        <v>0</v>
      </c>
      <c r="V297" s="652">
        <v>0</v>
      </c>
      <c r="W297" s="685">
        <v>0</v>
      </c>
      <c r="X297" s="689">
        <f t="shared" si="38"/>
        <v>0</v>
      </c>
      <c r="Y297" s="689">
        <f t="shared" si="39"/>
        <v>0</v>
      </c>
      <c r="Z297" s="652"/>
      <c r="AA297" s="652"/>
      <c r="AB297" s="666" t="s">
        <v>1891</v>
      </c>
      <c r="AD297" s="665"/>
    </row>
    <row r="298" spans="2:30" hidden="1" x14ac:dyDescent="0.2">
      <c r="B298" s="673" t="s">
        <v>2255</v>
      </c>
      <c r="C298" s="666" t="s">
        <v>2256</v>
      </c>
      <c r="D298" s="666" t="s">
        <v>3</v>
      </c>
      <c r="E298" s="684">
        <v>0</v>
      </c>
      <c r="F298" s="652">
        <f>SUMIFS(OBE!$H:$H,OBE!$C:$C,'Standalone TB'!$B298,OBE!$B:$B,"A21")</f>
        <v>0</v>
      </c>
      <c r="G298" s="652">
        <f>SUMIFS('Elimination - BS'!I:I,'Elimination - BS'!D:D,'Standalone TB'!B298,'Elimination - BS'!A:A,"EA21")</f>
        <v>0</v>
      </c>
      <c r="H298" s="652">
        <f t="shared" si="40"/>
        <v>0</v>
      </c>
      <c r="I298" s="652">
        <v>0</v>
      </c>
      <c r="J298" s="684">
        <v>0</v>
      </c>
      <c r="K298" s="652">
        <f>SUMIFS(OBE!$H:$H,OBE!$C:$C,'Standalone TB'!$B298,OBE!$B:$B,"A22")</f>
        <v>0</v>
      </c>
      <c r="L298" s="652">
        <f>SUMIFS('Elimination - BS'!I:I,'Elimination - BS'!D:D,'Standalone TB'!B298,'Elimination - BS'!A:A,"EA22")</f>
        <v>0</v>
      </c>
      <c r="M298" s="652">
        <f t="shared" si="34"/>
        <v>0</v>
      </c>
      <c r="N298" s="652">
        <f t="shared" si="35"/>
        <v>0</v>
      </c>
      <c r="O298" s="652">
        <v>0</v>
      </c>
      <c r="P298" s="685">
        <v>0</v>
      </c>
      <c r="Q298" s="684">
        <v>0</v>
      </c>
      <c r="R298" s="652">
        <f>SUMIFS(OBE!$H:$H,OBE!$C:$C,'Standalone TB'!$B298,OBE!$B:$B,"A20")</f>
        <v>0</v>
      </c>
      <c r="S298" s="652">
        <f>SUMIFS('Elimination - BS'!I:I,'Elimination - BS'!D:D,'Standalone TB'!B298,'Elimination - BS'!A:A,"EA20")</f>
        <v>0</v>
      </c>
      <c r="T298" s="652">
        <f t="shared" si="36"/>
        <v>0</v>
      </c>
      <c r="U298" s="652">
        <f t="shared" si="37"/>
        <v>0</v>
      </c>
      <c r="V298" s="652">
        <v>0</v>
      </c>
      <c r="W298" s="685">
        <v>0</v>
      </c>
      <c r="X298" s="689">
        <f t="shared" si="38"/>
        <v>0</v>
      </c>
      <c r="Y298" s="689">
        <f t="shared" si="39"/>
        <v>0</v>
      </c>
      <c r="Z298" s="652"/>
      <c r="AA298" s="652"/>
      <c r="AB298" s="666" t="s">
        <v>1891</v>
      </c>
      <c r="AD298" s="665"/>
    </row>
    <row r="299" spans="2:30" hidden="1" x14ac:dyDescent="0.2">
      <c r="B299" s="673" t="s">
        <v>2257</v>
      </c>
      <c r="C299" s="666" t="s">
        <v>2258</v>
      </c>
      <c r="D299" s="666" t="s">
        <v>3</v>
      </c>
      <c r="E299" s="684">
        <v>0</v>
      </c>
      <c r="F299" s="652">
        <f>SUMIFS(OBE!$H:$H,OBE!$C:$C,'Standalone TB'!$B299,OBE!$B:$B,"A21")</f>
        <v>0</v>
      </c>
      <c r="G299" s="652">
        <f>SUMIFS('Elimination - BS'!I:I,'Elimination - BS'!D:D,'Standalone TB'!B299,'Elimination - BS'!A:A,"EA21")</f>
        <v>0</v>
      </c>
      <c r="H299" s="652">
        <f t="shared" si="40"/>
        <v>0</v>
      </c>
      <c r="I299" s="652">
        <v>0</v>
      </c>
      <c r="J299" s="684">
        <v>0</v>
      </c>
      <c r="K299" s="652">
        <f>SUMIFS(OBE!$H:$H,OBE!$C:$C,'Standalone TB'!$B299,OBE!$B:$B,"A22")</f>
        <v>0</v>
      </c>
      <c r="L299" s="652">
        <f>SUMIFS('Elimination - BS'!I:I,'Elimination - BS'!D:D,'Standalone TB'!B299,'Elimination - BS'!A:A,"EA22")</f>
        <v>0</v>
      </c>
      <c r="M299" s="652">
        <f t="shared" si="34"/>
        <v>0</v>
      </c>
      <c r="N299" s="652">
        <f t="shared" si="35"/>
        <v>0</v>
      </c>
      <c r="O299" s="652">
        <v>0</v>
      </c>
      <c r="P299" s="685">
        <v>0</v>
      </c>
      <c r="Q299" s="684">
        <v>0</v>
      </c>
      <c r="R299" s="652">
        <f>SUMIFS(OBE!$H:$H,OBE!$C:$C,'Standalone TB'!$B299,OBE!$B:$B,"A20")</f>
        <v>0</v>
      </c>
      <c r="S299" s="652">
        <f>SUMIFS('Elimination - BS'!I:I,'Elimination - BS'!D:D,'Standalone TB'!B299,'Elimination - BS'!A:A,"EA20")</f>
        <v>0</v>
      </c>
      <c r="T299" s="652">
        <f t="shared" si="36"/>
        <v>0</v>
      </c>
      <c r="U299" s="652">
        <f t="shared" si="37"/>
        <v>0</v>
      </c>
      <c r="V299" s="652">
        <v>0</v>
      </c>
      <c r="W299" s="685">
        <v>0</v>
      </c>
      <c r="X299" s="689">
        <f t="shared" si="38"/>
        <v>0</v>
      </c>
      <c r="Y299" s="689">
        <f t="shared" si="39"/>
        <v>0</v>
      </c>
      <c r="Z299" s="652"/>
      <c r="AA299" s="652"/>
      <c r="AB299" s="666" t="s">
        <v>1891</v>
      </c>
      <c r="AD299" s="665"/>
    </row>
    <row r="300" spans="2:30" hidden="1" x14ac:dyDescent="0.2">
      <c r="B300" s="673" t="s">
        <v>2259</v>
      </c>
      <c r="C300" s="666" t="s">
        <v>2260</v>
      </c>
      <c r="D300" s="666" t="s">
        <v>3</v>
      </c>
      <c r="E300" s="684">
        <v>0</v>
      </c>
      <c r="F300" s="652">
        <f>SUMIFS(OBE!$H:$H,OBE!$C:$C,'Standalone TB'!$B300,OBE!$B:$B,"A21")</f>
        <v>0</v>
      </c>
      <c r="G300" s="652">
        <f>SUMIFS('Elimination - BS'!I:I,'Elimination - BS'!D:D,'Standalone TB'!B300,'Elimination - BS'!A:A,"EA21")</f>
        <v>0</v>
      </c>
      <c r="H300" s="652">
        <f t="shared" si="40"/>
        <v>0</v>
      </c>
      <c r="I300" s="652">
        <v>0</v>
      </c>
      <c r="J300" s="684">
        <v>0</v>
      </c>
      <c r="K300" s="652">
        <f>SUMIFS(OBE!$H:$H,OBE!$C:$C,'Standalone TB'!$B300,OBE!$B:$B,"A22")</f>
        <v>0</v>
      </c>
      <c r="L300" s="652">
        <f>SUMIFS('Elimination - BS'!I:I,'Elimination - BS'!D:D,'Standalone TB'!B300,'Elimination - BS'!A:A,"EA22")</f>
        <v>0</v>
      </c>
      <c r="M300" s="652">
        <f t="shared" si="34"/>
        <v>0</v>
      </c>
      <c r="N300" s="652">
        <f t="shared" si="35"/>
        <v>0</v>
      </c>
      <c r="O300" s="652">
        <v>0</v>
      </c>
      <c r="P300" s="685">
        <v>0</v>
      </c>
      <c r="Q300" s="684">
        <v>0</v>
      </c>
      <c r="R300" s="652">
        <f>SUMIFS(OBE!$H:$H,OBE!$C:$C,'Standalone TB'!$B300,OBE!$B:$B,"A20")</f>
        <v>0</v>
      </c>
      <c r="S300" s="652">
        <f>SUMIFS('Elimination - BS'!I:I,'Elimination - BS'!D:D,'Standalone TB'!B300,'Elimination - BS'!A:A,"EA20")</f>
        <v>0</v>
      </c>
      <c r="T300" s="652">
        <f t="shared" si="36"/>
        <v>0</v>
      </c>
      <c r="U300" s="652">
        <f t="shared" si="37"/>
        <v>0</v>
      </c>
      <c r="V300" s="652">
        <v>0</v>
      </c>
      <c r="W300" s="685">
        <v>0</v>
      </c>
      <c r="X300" s="689">
        <f t="shared" si="38"/>
        <v>0</v>
      </c>
      <c r="Y300" s="689">
        <f t="shared" si="39"/>
        <v>0</v>
      </c>
      <c r="Z300" s="652"/>
      <c r="AA300" s="652"/>
      <c r="AB300" s="666" t="s">
        <v>1891</v>
      </c>
      <c r="AD300" s="665"/>
    </row>
    <row r="301" spans="2:30" hidden="1" x14ac:dyDescent="0.2">
      <c r="B301" s="673" t="s">
        <v>2261</v>
      </c>
      <c r="C301" s="666" t="s">
        <v>2262</v>
      </c>
      <c r="D301" s="666" t="s">
        <v>3</v>
      </c>
      <c r="E301" s="684">
        <v>0</v>
      </c>
      <c r="F301" s="652">
        <f>SUMIFS(OBE!$H:$H,OBE!$C:$C,'Standalone TB'!$B301,OBE!$B:$B,"A21")</f>
        <v>0</v>
      </c>
      <c r="G301" s="652">
        <f>SUMIFS('Elimination - BS'!I:I,'Elimination - BS'!D:D,'Standalone TB'!B301,'Elimination - BS'!A:A,"EA21")</f>
        <v>0</v>
      </c>
      <c r="H301" s="652">
        <f t="shared" si="40"/>
        <v>0</v>
      </c>
      <c r="I301" s="652">
        <v>0</v>
      </c>
      <c r="J301" s="684">
        <v>0</v>
      </c>
      <c r="K301" s="652">
        <f>SUMIFS(OBE!$H:$H,OBE!$C:$C,'Standalone TB'!$B301,OBE!$B:$B,"A22")</f>
        <v>0</v>
      </c>
      <c r="L301" s="652">
        <f>SUMIFS('Elimination - BS'!I:I,'Elimination - BS'!D:D,'Standalone TB'!B301,'Elimination - BS'!A:A,"EA22")</f>
        <v>0</v>
      </c>
      <c r="M301" s="652">
        <f t="shared" si="34"/>
        <v>0</v>
      </c>
      <c r="N301" s="652">
        <f t="shared" si="35"/>
        <v>0</v>
      </c>
      <c r="O301" s="652">
        <v>0</v>
      </c>
      <c r="P301" s="685">
        <v>0</v>
      </c>
      <c r="Q301" s="684">
        <v>0</v>
      </c>
      <c r="R301" s="652">
        <f>SUMIFS(OBE!$H:$H,OBE!$C:$C,'Standalone TB'!$B301,OBE!$B:$B,"A20")</f>
        <v>0</v>
      </c>
      <c r="S301" s="652">
        <f>SUMIFS('Elimination - BS'!I:I,'Elimination - BS'!D:D,'Standalone TB'!B301,'Elimination - BS'!A:A,"EA20")</f>
        <v>0</v>
      </c>
      <c r="T301" s="652">
        <f t="shared" si="36"/>
        <v>0</v>
      </c>
      <c r="U301" s="652">
        <f t="shared" si="37"/>
        <v>0</v>
      </c>
      <c r="V301" s="652">
        <v>0</v>
      </c>
      <c r="W301" s="685">
        <v>0</v>
      </c>
      <c r="X301" s="689">
        <f t="shared" si="38"/>
        <v>0</v>
      </c>
      <c r="Y301" s="689">
        <f t="shared" si="39"/>
        <v>0</v>
      </c>
      <c r="Z301" s="652"/>
      <c r="AA301" s="652"/>
      <c r="AB301" s="666" t="s">
        <v>1891</v>
      </c>
      <c r="AC301" s="652">
        <f>SUM(X8:X302)</f>
        <v>11173126.592998991</v>
      </c>
      <c r="AD301" s="665"/>
    </row>
    <row r="302" spans="2:30" hidden="1" x14ac:dyDescent="0.2">
      <c r="B302" s="673" t="s">
        <v>2263</v>
      </c>
      <c r="C302" s="666" t="s">
        <v>2264</v>
      </c>
      <c r="D302" s="666" t="s">
        <v>3</v>
      </c>
      <c r="E302" s="684">
        <v>0</v>
      </c>
      <c r="F302" s="652">
        <f>SUMIFS(OBE!$H:$H,OBE!$C:$C,'Standalone TB'!$B302,OBE!$B:$B,"A21")</f>
        <v>0</v>
      </c>
      <c r="G302" s="652">
        <f>SUMIFS('Elimination - BS'!I:I,'Elimination - BS'!D:D,'Standalone TB'!B302,'Elimination - BS'!A:A,"EA21")</f>
        <v>0</v>
      </c>
      <c r="H302" s="652">
        <f t="shared" si="40"/>
        <v>0</v>
      </c>
      <c r="I302" s="652">
        <v>0</v>
      </c>
      <c r="J302" s="684">
        <v>0</v>
      </c>
      <c r="K302" s="652">
        <f>SUMIFS(OBE!$H:$H,OBE!$C:$C,'Standalone TB'!$B302,OBE!$B:$B,"A22")</f>
        <v>0</v>
      </c>
      <c r="L302" s="652">
        <f>SUMIFS('Elimination - BS'!I:I,'Elimination - BS'!D:D,'Standalone TB'!B302,'Elimination - BS'!A:A,"EA22")</f>
        <v>0</v>
      </c>
      <c r="M302" s="652">
        <f t="shared" si="34"/>
        <v>0</v>
      </c>
      <c r="N302" s="652">
        <f t="shared" si="35"/>
        <v>0</v>
      </c>
      <c r="O302" s="652">
        <v>0</v>
      </c>
      <c r="P302" s="685">
        <v>0</v>
      </c>
      <c r="Q302" s="684">
        <v>0</v>
      </c>
      <c r="R302" s="652">
        <f>SUMIFS(OBE!$H:$H,OBE!$C:$C,'Standalone TB'!$B302,OBE!$B:$B,"A20")</f>
        <v>0</v>
      </c>
      <c r="S302" s="652">
        <f>SUMIFS('Elimination - BS'!I:I,'Elimination - BS'!D:D,'Standalone TB'!B302,'Elimination - BS'!A:A,"EA20")</f>
        <v>0</v>
      </c>
      <c r="T302" s="652">
        <f t="shared" si="36"/>
        <v>0</v>
      </c>
      <c r="U302" s="652">
        <f t="shared" si="37"/>
        <v>0</v>
      </c>
      <c r="V302" s="652">
        <v>0</v>
      </c>
      <c r="W302" s="685">
        <v>0</v>
      </c>
      <c r="X302" s="689">
        <f t="shared" si="38"/>
        <v>0</v>
      </c>
      <c r="Y302" s="689">
        <f t="shared" si="39"/>
        <v>0</v>
      </c>
      <c r="Z302" s="652"/>
      <c r="AA302" s="652"/>
      <c r="AB302" s="652"/>
      <c r="AC302" s="652">
        <f>SUM(X303:X623)</f>
        <v>-11173126.592998719</v>
      </c>
      <c r="AD302" s="665">
        <f>AC302/10^5</f>
        <v>-111.73126592998719</v>
      </c>
    </row>
    <row r="303" spans="2:30" hidden="1" x14ac:dyDescent="0.2">
      <c r="B303" s="673" t="s">
        <v>1474</v>
      </c>
      <c r="C303" s="666" t="s">
        <v>2265</v>
      </c>
      <c r="D303" s="666" t="s">
        <v>670</v>
      </c>
      <c r="E303" s="684">
        <v>-434355148.44999993</v>
      </c>
      <c r="F303" s="652">
        <f>SUMIFS(OBE!$H:$H,OBE!$C:$C,'Standalone TB'!$B303,OBE!$B:$B,"A21")</f>
        <v>810000</v>
      </c>
      <c r="G303" s="652">
        <f>SUMIFS('Elimination - PL'!I:I,'Elimination - PL'!A:A,"EA21",'Elimination - PL'!D:D,'Standalone TB'!B303)</f>
        <v>17173651.459999997</v>
      </c>
      <c r="H303" s="652">
        <f t="shared" si="40"/>
        <v>-416371496.98999995</v>
      </c>
      <c r="I303" s="652">
        <v>-512345335.99000007</v>
      </c>
      <c r="J303" s="684">
        <v>-7760923.1000000006</v>
      </c>
      <c r="K303" s="652">
        <f>SUMIFS(OBE!$H:$H,OBE!$C:$C,'Standalone TB'!$B303,OBE!$B:$B,"A22")</f>
        <v>0</v>
      </c>
      <c r="L303" s="652">
        <f>SUMIFS('Elimination - PL'!I:I,'Elimination - PL'!A:A,"EA22",'Elimination - PL'!D:D,'Standalone TB'!B303)</f>
        <v>0</v>
      </c>
      <c r="M303" s="652">
        <f t="shared" si="34"/>
        <v>-7760923.1000000006</v>
      </c>
      <c r="N303" s="652">
        <f t="shared" ref="N303:N366" si="41">M303*$O$3</f>
        <v>-178373732.68621042</v>
      </c>
      <c r="O303" s="652">
        <v>-7713116.3499999996</v>
      </c>
      <c r="P303" s="685">
        <v>-173842844.16610998</v>
      </c>
      <c r="Q303" s="684">
        <v>-1203595.74</v>
      </c>
      <c r="R303" s="652">
        <f>SUMIFS(OBE!$H:$H,OBE!$C:$C,'Standalone TB'!$B303,OBE!$B:$B,"A20")</f>
        <v>260457.54</v>
      </c>
      <c r="S303" s="652">
        <f>SUMIFS('Elimination - PL'!I:I,'Elimination - PL'!A:A,"EA20",'Elimination - PL'!D:D,'Standalone TB'!B303)</f>
        <v>0</v>
      </c>
      <c r="T303" s="652">
        <f t="shared" si="36"/>
        <v>-943138.2</v>
      </c>
      <c r="U303" s="652">
        <f t="shared" ref="U303:U366" si="42">T303*$V$3</f>
        <v>-79621385.55849278</v>
      </c>
      <c r="V303" s="652">
        <v>-3993332.17</v>
      </c>
      <c r="W303" s="685">
        <v>-330624742.34941399</v>
      </c>
      <c r="X303" s="689">
        <f t="shared" si="38"/>
        <v>-674366615.23470318</v>
      </c>
      <c r="Y303" s="689">
        <f t="shared" si="39"/>
        <v>-1016812922.505524</v>
      </c>
      <c r="Z303" s="652" t="s">
        <v>730</v>
      </c>
      <c r="AA303" s="652" t="s">
        <v>2266</v>
      </c>
      <c r="AB303" s="666" t="s">
        <v>728</v>
      </c>
      <c r="AC303" s="652">
        <f>SUM(AC301:AC302)</f>
        <v>2.7194619178771973E-7</v>
      </c>
      <c r="AD303" s="665">
        <f>PL!D45</f>
        <v>111.73126592998591</v>
      </c>
    </row>
    <row r="304" spans="2:30" hidden="1" x14ac:dyDescent="0.2">
      <c r="B304" s="673" t="s">
        <v>1450</v>
      </c>
      <c r="C304" s="666" t="s">
        <v>2267</v>
      </c>
      <c r="D304" s="666" t="s">
        <v>670</v>
      </c>
      <c r="E304" s="684">
        <v>-700622495.69000006</v>
      </c>
      <c r="F304" s="652">
        <f>SUMIFS(OBE!$H:$H,OBE!$C:$C,'Standalone TB'!$B304,OBE!$B:$B,"A21")</f>
        <v>0</v>
      </c>
      <c r="G304" s="652">
        <f>SUMIFS('Elimination - PL'!I:I,'Elimination - PL'!A:A,"EA21",'Elimination - PL'!D:D,'Standalone TB'!B304)</f>
        <v>39203860.149999999</v>
      </c>
      <c r="H304" s="652">
        <f t="shared" si="40"/>
        <v>-661418635.54000008</v>
      </c>
      <c r="I304" s="652">
        <v>-750859054.43999994</v>
      </c>
      <c r="J304" s="684">
        <v>-2559919.81</v>
      </c>
      <c r="K304" s="652">
        <f>SUMIFS(OBE!$H:$H,OBE!$C:$C,'Standalone TB'!$B304,OBE!$B:$B,"A22")</f>
        <v>30494.224999999919</v>
      </c>
      <c r="L304" s="652">
        <f>SUMIFS('Elimination - PL'!I:I,'Elimination - PL'!A:A,"EA22",'Elimination - PL'!D:D,'Standalone TB'!B304)</f>
        <v>0</v>
      </c>
      <c r="M304" s="652">
        <f t="shared" si="34"/>
        <v>-2529425.585</v>
      </c>
      <c r="N304" s="652">
        <f t="shared" si="41"/>
        <v>-58135234.34453968</v>
      </c>
      <c r="O304" s="652">
        <v>-5227638.5199999996</v>
      </c>
      <c r="P304" s="685">
        <v>-117823653.54687199</v>
      </c>
      <c r="Q304" s="684">
        <v>-120860</v>
      </c>
      <c r="R304" s="652">
        <f>SUMIFS(OBE!$H:$H,OBE!$C:$C,'Standalone TB'!$B304,OBE!$B:$B,"A20")</f>
        <v>0</v>
      </c>
      <c r="S304" s="652">
        <f>SUMIFS('Elimination - PL'!I:I,'Elimination - PL'!A:A,"EA20",'Elimination - PL'!D:D,'Standalone TB'!B304)</f>
        <v>103378</v>
      </c>
      <c r="T304" s="652">
        <f t="shared" si="36"/>
        <v>-17482</v>
      </c>
      <c r="U304" s="652">
        <f t="shared" si="42"/>
        <v>-1475861.1859148224</v>
      </c>
      <c r="V304" s="652">
        <v>-559258</v>
      </c>
      <c r="W304" s="685">
        <v>-46303318.703600004</v>
      </c>
      <c r="X304" s="689">
        <f t="shared" si="38"/>
        <v>-721029731.0704546</v>
      </c>
      <c r="Y304" s="689">
        <f t="shared" si="39"/>
        <v>-914986026.69047201</v>
      </c>
      <c r="Z304" s="652" t="s">
        <v>730</v>
      </c>
      <c r="AA304" s="652" t="s">
        <v>2266</v>
      </c>
      <c r="AB304" s="666" t="s">
        <v>728</v>
      </c>
      <c r="AD304" s="665">
        <f>SUM(AD302:AD303)</f>
        <v>-1.2789769243681803E-12</v>
      </c>
    </row>
    <row r="305" spans="2:30" hidden="1" x14ac:dyDescent="0.2">
      <c r="B305" s="673" t="s">
        <v>2268</v>
      </c>
      <c r="C305" s="666" t="s">
        <v>2269</v>
      </c>
      <c r="D305" s="666" t="s">
        <v>670</v>
      </c>
      <c r="E305" s="684">
        <v>0</v>
      </c>
      <c r="F305" s="652">
        <f>SUMIFS(OBE!$H:$H,OBE!$C:$C,'Standalone TB'!$B305,OBE!$B:$B,"A21")</f>
        <v>0</v>
      </c>
      <c r="G305" s="652">
        <f>SUMIFS('Elimination - PL'!I:I,'Elimination - PL'!A:A,"EA21",'Elimination - PL'!D:D,'Standalone TB'!B305)</f>
        <v>0</v>
      </c>
      <c r="H305" s="652">
        <f t="shared" si="40"/>
        <v>0</v>
      </c>
      <c r="I305" s="652">
        <v>0</v>
      </c>
      <c r="J305" s="684">
        <v>0</v>
      </c>
      <c r="K305" s="652">
        <f>SUMIFS(OBE!$H:$H,OBE!$C:$C,'Standalone TB'!$B305,OBE!$B:$B,"A22")</f>
        <v>0</v>
      </c>
      <c r="L305" s="652">
        <f>SUMIFS('Elimination - PL'!I:I,'Elimination - PL'!A:A,"EA22",'Elimination - PL'!D:D,'Standalone TB'!B305)</f>
        <v>0</v>
      </c>
      <c r="M305" s="652">
        <f t="shared" si="34"/>
        <v>0</v>
      </c>
      <c r="N305" s="652">
        <f t="shared" si="41"/>
        <v>0</v>
      </c>
      <c r="O305" s="652">
        <v>0</v>
      </c>
      <c r="P305" s="685">
        <v>0</v>
      </c>
      <c r="Q305" s="684">
        <v>0</v>
      </c>
      <c r="R305" s="652">
        <f>SUMIFS(OBE!$H:$H,OBE!$C:$C,'Standalone TB'!$B305,OBE!$B:$B,"A20")</f>
        <v>0</v>
      </c>
      <c r="S305" s="652">
        <f>SUMIFS('Elimination - PL'!I:I,'Elimination - PL'!A:A,"EA20",'Elimination - PL'!D:D,'Standalone TB'!B305)</f>
        <v>0</v>
      </c>
      <c r="T305" s="652">
        <f t="shared" si="36"/>
        <v>0</v>
      </c>
      <c r="U305" s="652">
        <f t="shared" si="42"/>
        <v>0</v>
      </c>
      <c r="V305" s="652">
        <v>0</v>
      </c>
      <c r="W305" s="685">
        <v>0</v>
      </c>
      <c r="X305" s="689">
        <f t="shared" si="38"/>
        <v>0</v>
      </c>
      <c r="Y305" s="689">
        <f t="shared" si="39"/>
        <v>0</v>
      </c>
      <c r="Z305" s="652" t="s">
        <v>730</v>
      </c>
      <c r="AA305" s="652" t="s">
        <v>2266</v>
      </c>
      <c r="AB305" s="666" t="s">
        <v>728</v>
      </c>
      <c r="AD305" s="665"/>
    </row>
    <row r="306" spans="2:30" hidden="1" x14ac:dyDescent="0.2">
      <c r="B306" s="673" t="s">
        <v>2270</v>
      </c>
      <c r="C306" s="666" t="s">
        <v>2265</v>
      </c>
      <c r="D306" s="666" t="s">
        <v>670</v>
      </c>
      <c r="E306" s="684">
        <v>0</v>
      </c>
      <c r="F306" s="652">
        <f>SUMIFS(OBE!$H:$H,OBE!$C:$C,'Standalone TB'!$B306,OBE!$B:$B,"A21")</f>
        <v>0</v>
      </c>
      <c r="G306" s="652">
        <f>SUMIFS('Elimination - PL'!I:I,'Elimination - PL'!A:A,"EA21",'Elimination - PL'!D:D,'Standalone TB'!B306)</f>
        <v>0</v>
      </c>
      <c r="H306" s="652">
        <f t="shared" si="40"/>
        <v>0</v>
      </c>
      <c r="I306" s="652">
        <v>0</v>
      </c>
      <c r="J306" s="684">
        <v>0</v>
      </c>
      <c r="K306" s="652">
        <f>SUMIFS(OBE!$H:$H,OBE!$C:$C,'Standalone TB'!$B306,OBE!$B:$B,"A22")</f>
        <v>0</v>
      </c>
      <c r="L306" s="652">
        <f>SUMIFS('Elimination - PL'!I:I,'Elimination - PL'!A:A,"EA22",'Elimination - PL'!D:D,'Standalone TB'!B306)</f>
        <v>0</v>
      </c>
      <c r="M306" s="652">
        <f t="shared" si="34"/>
        <v>0</v>
      </c>
      <c r="N306" s="652">
        <f t="shared" si="41"/>
        <v>0</v>
      </c>
      <c r="O306" s="652">
        <v>0</v>
      </c>
      <c r="P306" s="685">
        <v>0</v>
      </c>
      <c r="Q306" s="684">
        <v>0</v>
      </c>
      <c r="R306" s="652">
        <f>SUMIFS(OBE!$H:$H,OBE!$C:$C,'Standalone TB'!$B306,OBE!$B:$B,"A20")</f>
        <v>0</v>
      </c>
      <c r="S306" s="652">
        <f>SUMIFS('Elimination - PL'!I:I,'Elimination - PL'!A:A,"EA20",'Elimination - PL'!D:D,'Standalone TB'!B306)</f>
        <v>0</v>
      </c>
      <c r="T306" s="652">
        <f t="shared" si="36"/>
        <v>0</v>
      </c>
      <c r="U306" s="652">
        <f t="shared" si="42"/>
        <v>0</v>
      </c>
      <c r="V306" s="652">
        <v>0</v>
      </c>
      <c r="W306" s="685">
        <v>0</v>
      </c>
      <c r="X306" s="689">
        <f t="shared" si="38"/>
        <v>0</v>
      </c>
      <c r="Y306" s="689">
        <f t="shared" si="39"/>
        <v>0</v>
      </c>
      <c r="Z306" s="652" t="s">
        <v>730</v>
      </c>
      <c r="AA306" s="652" t="s">
        <v>2266</v>
      </c>
      <c r="AB306" s="666" t="s">
        <v>728</v>
      </c>
      <c r="AD306" s="665"/>
    </row>
    <row r="307" spans="2:30" hidden="1" x14ac:dyDescent="0.2">
      <c r="B307" s="673" t="s">
        <v>2271</v>
      </c>
      <c r="C307" s="666" t="s">
        <v>2272</v>
      </c>
      <c r="D307" s="666" t="s">
        <v>670</v>
      </c>
      <c r="E307" s="684">
        <v>0</v>
      </c>
      <c r="F307" s="652">
        <f>SUMIFS(OBE!$H:$H,OBE!$C:$C,'Standalone TB'!$B307,OBE!$B:$B,"A21")</f>
        <v>0</v>
      </c>
      <c r="G307" s="652">
        <f>SUMIFS('Elimination - PL'!I:I,'Elimination - PL'!A:A,"EA21",'Elimination - PL'!D:D,'Standalone TB'!B307)</f>
        <v>0</v>
      </c>
      <c r="H307" s="652">
        <f t="shared" si="40"/>
        <v>0</v>
      </c>
      <c r="I307" s="652">
        <v>0</v>
      </c>
      <c r="J307" s="684">
        <v>0</v>
      </c>
      <c r="K307" s="652">
        <f>SUMIFS(OBE!$H:$H,OBE!$C:$C,'Standalone TB'!$B307,OBE!$B:$B,"A22")</f>
        <v>0</v>
      </c>
      <c r="L307" s="652">
        <f>SUMIFS('Elimination - PL'!I:I,'Elimination - PL'!A:A,"EA22",'Elimination - PL'!D:D,'Standalone TB'!B307)</f>
        <v>0</v>
      </c>
      <c r="M307" s="652">
        <f t="shared" si="34"/>
        <v>0</v>
      </c>
      <c r="N307" s="652">
        <f t="shared" si="41"/>
        <v>0</v>
      </c>
      <c r="O307" s="652">
        <v>0</v>
      </c>
      <c r="P307" s="685">
        <v>0</v>
      </c>
      <c r="Q307" s="684">
        <v>0</v>
      </c>
      <c r="R307" s="652">
        <f>SUMIFS(OBE!$H:$H,OBE!$C:$C,'Standalone TB'!$B307,OBE!$B:$B,"A20")</f>
        <v>0</v>
      </c>
      <c r="S307" s="652">
        <f>SUMIFS('Elimination - PL'!I:I,'Elimination - PL'!A:A,"EA20",'Elimination - PL'!D:D,'Standalone TB'!B307)</f>
        <v>0</v>
      </c>
      <c r="T307" s="652">
        <f t="shared" si="36"/>
        <v>0</v>
      </c>
      <c r="U307" s="652">
        <f t="shared" si="42"/>
        <v>0</v>
      </c>
      <c r="V307" s="652">
        <v>0</v>
      </c>
      <c r="W307" s="685">
        <v>0</v>
      </c>
      <c r="X307" s="689">
        <f t="shared" si="38"/>
        <v>0</v>
      </c>
      <c r="Y307" s="689">
        <f t="shared" si="39"/>
        <v>0</v>
      </c>
      <c r="Z307" s="652" t="s">
        <v>730</v>
      </c>
      <c r="AA307" s="652" t="s">
        <v>2266</v>
      </c>
      <c r="AB307" s="666" t="s">
        <v>728</v>
      </c>
      <c r="AD307" s="665"/>
    </row>
    <row r="308" spans="2:30" hidden="1" x14ac:dyDescent="0.2">
      <c r="B308" s="673" t="s">
        <v>2273</v>
      </c>
      <c r="C308" s="666" t="s">
        <v>2274</v>
      </c>
      <c r="D308" s="666" t="s">
        <v>670</v>
      </c>
      <c r="E308" s="684">
        <v>0</v>
      </c>
      <c r="F308" s="652">
        <f>SUMIFS(OBE!$H:$H,OBE!$C:$C,'Standalone TB'!$B308,OBE!$B:$B,"A21")</f>
        <v>0</v>
      </c>
      <c r="G308" s="652">
        <f>SUMIFS('Elimination - PL'!I:I,'Elimination - PL'!A:A,"EA21",'Elimination - PL'!D:D,'Standalone TB'!B308)</f>
        <v>0</v>
      </c>
      <c r="H308" s="652">
        <f t="shared" si="40"/>
        <v>0</v>
      </c>
      <c r="I308" s="652">
        <v>0</v>
      </c>
      <c r="J308" s="684">
        <v>0</v>
      </c>
      <c r="K308" s="652">
        <f>SUMIFS(OBE!$H:$H,OBE!$C:$C,'Standalone TB'!$B308,OBE!$B:$B,"A22")</f>
        <v>0</v>
      </c>
      <c r="L308" s="652">
        <f>SUMIFS('Elimination - PL'!I:I,'Elimination - PL'!A:A,"EA22",'Elimination - PL'!D:D,'Standalone TB'!B308)</f>
        <v>0</v>
      </c>
      <c r="M308" s="652">
        <f t="shared" si="34"/>
        <v>0</v>
      </c>
      <c r="N308" s="652">
        <f t="shared" si="41"/>
        <v>0</v>
      </c>
      <c r="O308" s="652">
        <v>0</v>
      </c>
      <c r="P308" s="685">
        <v>0</v>
      </c>
      <c r="Q308" s="684">
        <v>0</v>
      </c>
      <c r="R308" s="652">
        <f>SUMIFS(OBE!$H:$H,OBE!$C:$C,'Standalone TB'!$B308,OBE!$B:$B,"A20")</f>
        <v>0</v>
      </c>
      <c r="S308" s="652">
        <f>SUMIFS('Elimination - PL'!I:I,'Elimination - PL'!A:A,"EA20",'Elimination - PL'!D:D,'Standalone TB'!B308)</f>
        <v>0</v>
      </c>
      <c r="T308" s="652">
        <f t="shared" si="36"/>
        <v>0</v>
      </c>
      <c r="U308" s="652">
        <f t="shared" si="42"/>
        <v>0</v>
      </c>
      <c r="V308" s="652">
        <v>0</v>
      </c>
      <c r="W308" s="685">
        <v>0</v>
      </c>
      <c r="X308" s="689">
        <f t="shared" si="38"/>
        <v>0</v>
      </c>
      <c r="Y308" s="689">
        <f t="shared" si="39"/>
        <v>0</v>
      </c>
      <c r="Z308" s="652" t="s">
        <v>730</v>
      </c>
      <c r="AA308" s="652" t="s">
        <v>2266</v>
      </c>
      <c r="AB308" s="666" t="s">
        <v>728</v>
      </c>
      <c r="AD308" s="665"/>
    </row>
    <row r="309" spans="2:30" hidden="1" x14ac:dyDescent="0.2">
      <c r="B309" s="673" t="s">
        <v>2275</v>
      </c>
      <c r="C309" s="666" t="s">
        <v>2276</v>
      </c>
      <c r="D309" s="666" t="s">
        <v>670</v>
      </c>
      <c r="E309" s="684">
        <v>0</v>
      </c>
      <c r="F309" s="652">
        <f>SUMIFS(OBE!$H:$H,OBE!$C:$C,'Standalone TB'!$B309,OBE!$B:$B,"A21")</f>
        <v>0</v>
      </c>
      <c r="G309" s="652">
        <f>SUMIFS('Elimination - PL'!I:I,'Elimination - PL'!A:A,"EA21",'Elimination - PL'!D:D,'Standalone TB'!B309)</f>
        <v>0</v>
      </c>
      <c r="H309" s="652">
        <f t="shared" si="40"/>
        <v>0</v>
      </c>
      <c r="I309" s="652">
        <v>0</v>
      </c>
      <c r="J309" s="684">
        <v>0</v>
      </c>
      <c r="K309" s="652">
        <f>SUMIFS(OBE!$H:$H,OBE!$C:$C,'Standalone TB'!$B309,OBE!$B:$B,"A22")</f>
        <v>0</v>
      </c>
      <c r="L309" s="652">
        <f>SUMIFS('Elimination - PL'!I:I,'Elimination - PL'!A:A,"EA22",'Elimination - PL'!D:D,'Standalone TB'!B309)</f>
        <v>0</v>
      </c>
      <c r="M309" s="652">
        <f t="shared" si="34"/>
        <v>0</v>
      </c>
      <c r="N309" s="652">
        <f t="shared" si="41"/>
        <v>0</v>
      </c>
      <c r="O309" s="652">
        <v>0</v>
      </c>
      <c r="P309" s="685">
        <v>0</v>
      </c>
      <c r="Q309" s="684">
        <v>0</v>
      </c>
      <c r="R309" s="652">
        <f>SUMIFS(OBE!$H:$H,OBE!$C:$C,'Standalone TB'!$B309,OBE!$B:$B,"A20")</f>
        <v>0</v>
      </c>
      <c r="S309" s="652">
        <f>SUMIFS('Elimination - PL'!I:I,'Elimination - PL'!A:A,"EA20",'Elimination - PL'!D:D,'Standalone TB'!B309)</f>
        <v>0</v>
      </c>
      <c r="T309" s="652">
        <f t="shared" si="36"/>
        <v>0</v>
      </c>
      <c r="U309" s="652">
        <f t="shared" si="42"/>
        <v>0</v>
      </c>
      <c r="V309" s="652">
        <v>0</v>
      </c>
      <c r="W309" s="685">
        <v>0</v>
      </c>
      <c r="X309" s="689">
        <f t="shared" si="38"/>
        <v>0</v>
      </c>
      <c r="Y309" s="689">
        <f t="shared" si="39"/>
        <v>0</v>
      </c>
      <c r="Z309" s="652" t="s">
        <v>730</v>
      </c>
      <c r="AA309" s="652" t="s">
        <v>2266</v>
      </c>
      <c r="AB309" s="666" t="s">
        <v>728</v>
      </c>
      <c r="AD309" s="665"/>
    </row>
    <row r="310" spans="2:30" hidden="1" x14ac:dyDescent="0.2">
      <c r="B310" s="673" t="s">
        <v>2277</v>
      </c>
      <c r="C310" s="666" t="s">
        <v>2278</v>
      </c>
      <c r="D310" s="666" t="s">
        <v>670</v>
      </c>
      <c r="E310" s="684">
        <v>0</v>
      </c>
      <c r="F310" s="652">
        <f>SUMIFS(OBE!$H:$H,OBE!$C:$C,'Standalone TB'!$B310,OBE!$B:$B,"A21")</f>
        <v>0</v>
      </c>
      <c r="G310" s="652">
        <f>SUMIFS('Elimination - PL'!I:I,'Elimination - PL'!A:A,"EA21",'Elimination - PL'!D:D,'Standalone TB'!B310)</f>
        <v>0</v>
      </c>
      <c r="H310" s="652">
        <f t="shared" si="40"/>
        <v>0</v>
      </c>
      <c r="I310" s="652">
        <v>0</v>
      </c>
      <c r="J310" s="684">
        <v>0</v>
      </c>
      <c r="K310" s="652">
        <f>SUMIFS(OBE!$H:$H,OBE!$C:$C,'Standalone TB'!$B310,OBE!$B:$B,"A22")</f>
        <v>0</v>
      </c>
      <c r="L310" s="652">
        <f>SUMIFS('Elimination - PL'!I:I,'Elimination - PL'!A:A,"EA22",'Elimination - PL'!D:D,'Standalone TB'!B310)</f>
        <v>0</v>
      </c>
      <c r="M310" s="652">
        <f t="shared" si="34"/>
        <v>0</v>
      </c>
      <c r="N310" s="652">
        <f t="shared" si="41"/>
        <v>0</v>
      </c>
      <c r="O310" s="652">
        <v>0</v>
      </c>
      <c r="P310" s="685">
        <v>0</v>
      </c>
      <c r="Q310" s="684">
        <v>0</v>
      </c>
      <c r="R310" s="652">
        <f>SUMIFS(OBE!$H:$H,OBE!$C:$C,'Standalone TB'!$B310,OBE!$B:$B,"A20")</f>
        <v>0</v>
      </c>
      <c r="S310" s="652">
        <f>SUMIFS('Elimination - PL'!I:I,'Elimination - PL'!A:A,"EA20",'Elimination - PL'!D:D,'Standalone TB'!B310)</f>
        <v>0</v>
      </c>
      <c r="T310" s="652">
        <f t="shared" si="36"/>
        <v>0</v>
      </c>
      <c r="U310" s="652">
        <f t="shared" si="42"/>
        <v>0</v>
      </c>
      <c r="V310" s="652">
        <v>0</v>
      </c>
      <c r="W310" s="685">
        <v>0</v>
      </c>
      <c r="X310" s="689">
        <f t="shared" si="38"/>
        <v>0</v>
      </c>
      <c r="Y310" s="689">
        <f t="shared" si="39"/>
        <v>0</v>
      </c>
      <c r="Z310" s="652" t="s">
        <v>730</v>
      </c>
      <c r="AA310" s="652" t="s">
        <v>2266</v>
      </c>
      <c r="AB310" s="666" t="s">
        <v>728</v>
      </c>
      <c r="AD310" s="665"/>
    </row>
    <row r="311" spans="2:30" hidden="1" x14ac:dyDescent="0.2">
      <c r="B311" s="673" t="s">
        <v>2279</v>
      </c>
      <c r="C311" s="666" t="s">
        <v>2280</v>
      </c>
      <c r="D311" s="666" t="s">
        <v>670</v>
      </c>
      <c r="E311" s="684">
        <v>0</v>
      </c>
      <c r="F311" s="652">
        <f>SUMIFS(OBE!$H:$H,OBE!$C:$C,'Standalone TB'!$B311,OBE!$B:$B,"A21")</f>
        <v>0</v>
      </c>
      <c r="G311" s="652">
        <f>SUMIFS('Elimination - PL'!I:I,'Elimination - PL'!A:A,"EA21",'Elimination - PL'!D:D,'Standalone TB'!B311)</f>
        <v>0</v>
      </c>
      <c r="H311" s="652">
        <f t="shared" si="40"/>
        <v>0</v>
      </c>
      <c r="I311" s="652">
        <v>0</v>
      </c>
      <c r="J311" s="684">
        <v>0</v>
      </c>
      <c r="K311" s="652">
        <f>SUMIFS(OBE!$H:$H,OBE!$C:$C,'Standalone TB'!$B311,OBE!$B:$B,"A22")</f>
        <v>0</v>
      </c>
      <c r="L311" s="652">
        <f>SUMIFS('Elimination - PL'!I:I,'Elimination - PL'!A:A,"EA22",'Elimination - PL'!D:D,'Standalone TB'!B311)</f>
        <v>0</v>
      </c>
      <c r="M311" s="652">
        <f t="shared" si="34"/>
        <v>0</v>
      </c>
      <c r="N311" s="652">
        <f t="shared" si="41"/>
        <v>0</v>
      </c>
      <c r="O311" s="652">
        <v>0</v>
      </c>
      <c r="P311" s="685">
        <v>0</v>
      </c>
      <c r="Q311" s="684">
        <v>0</v>
      </c>
      <c r="R311" s="652">
        <f>SUMIFS(OBE!$H:$H,OBE!$C:$C,'Standalone TB'!$B311,OBE!$B:$B,"A20")</f>
        <v>0</v>
      </c>
      <c r="S311" s="652">
        <f>SUMIFS('Elimination - PL'!I:I,'Elimination - PL'!A:A,"EA20",'Elimination - PL'!D:D,'Standalone TB'!B311)</f>
        <v>0</v>
      </c>
      <c r="T311" s="652">
        <f t="shared" si="36"/>
        <v>0</v>
      </c>
      <c r="U311" s="652">
        <f t="shared" si="42"/>
        <v>0</v>
      </c>
      <c r="V311" s="652">
        <v>0</v>
      </c>
      <c r="W311" s="685">
        <v>0</v>
      </c>
      <c r="X311" s="689">
        <f t="shared" si="38"/>
        <v>0</v>
      </c>
      <c r="Y311" s="689">
        <f t="shared" si="39"/>
        <v>0</v>
      </c>
      <c r="Z311" s="652" t="s">
        <v>730</v>
      </c>
      <c r="AA311" s="652" t="s">
        <v>2266</v>
      </c>
      <c r="AB311" s="666" t="s">
        <v>728</v>
      </c>
      <c r="AD311" s="665"/>
    </row>
    <row r="312" spans="2:30" hidden="1" x14ac:dyDescent="0.2">
      <c r="B312" s="673" t="s">
        <v>2281</v>
      </c>
      <c r="C312" s="666" t="s">
        <v>2282</v>
      </c>
      <c r="D312" s="666" t="s">
        <v>670</v>
      </c>
      <c r="E312" s="684">
        <v>0</v>
      </c>
      <c r="F312" s="652">
        <f>SUMIFS(OBE!$H:$H,OBE!$C:$C,'Standalone TB'!$B312,OBE!$B:$B,"A21")</f>
        <v>0</v>
      </c>
      <c r="G312" s="652">
        <f>SUMIFS('Elimination - PL'!I:I,'Elimination - PL'!A:A,"EA21",'Elimination - PL'!D:D,'Standalone TB'!B312)</f>
        <v>0</v>
      </c>
      <c r="H312" s="652">
        <f t="shared" si="40"/>
        <v>0</v>
      </c>
      <c r="I312" s="652">
        <v>0</v>
      </c>
      <c r="J312" s="684">
        <v>0</v>
      </c>
      <c r="K312" s="652">
        <f>SUMIFS(OBE!$H:$H,OBE!$C:$C,'Standalone TB'!$B312,OBE!$B:$B,"A22")</f>
        <v>0</v>
      </c>
      <c r="L312" s="652">
        <f>SUMIFS('Elimination - PL'!I:I,'Elimination - PL'!A:A,"EA22",'Elimination - PL'!D:D,'Standalone TB'!B312)</f>
        <v>0</v>
      </c>
      <c r="M312" s="652">
        <f t="shared" si="34"/>
        <v>0</v>
      </c>
      <c r="N312" s="652">
        <f t="shared" si="41"/>
        <v>0</v>
      </c>
      <c r="O312" s="652">
        <v>0</v>
      </c>
      <c r="P312" s="685">
        <v>0</v>
      </c>
      <c r="Q312" s="684">
        <v>0</v>
      </c>
      <c r="R312" s="652">
        <f>SUMIFS(OBE!$H:$H,OBE!$C:$C,'Standalone TB'!$B312,OBE!$B:$B,"A20")</f>
        <v>0</v>
      </c>
      <c r="S312" s="652">
        <f>SUMIFS('Elimination - PL'!I:I,'Elimination - PL'!A:A,"EA20",'Elimination - PL'!D:D,'Standalone TB'!B312)</f>
        <v>0</v>
      </c>
      <c r="T312" s="652">
        <f t="shared" si="36"/>
        <v>0</v>
      </c>
      <c r="U312" s="652">
        <f t="shared" si="42"/>
        <v>0</v>
      </c>
      <c r="V312" s="652">
        <v>0</v>
      </c>
      <c r="W312" s="685">
        <v>0</v>
      </c>
      <c r="X312" s="689">
        <f t="shared" si="38"/>
        <v>0</v>
      </c>
      <c r="Y312" s="689">
        <f t="shared" si="39"/>
        <v>0</v>
      </c>
      <c r="Z312" s="652" t="s">
        <v>730</v>
      </c>
      <c r="AA312" s="652" t="s">
        <v>2266</v>
      </c>
      <c r="AB312" s="666" t="s">
        <v>728</v>
      </c>
      <c r="AD312" s="665"/>
    </row>
    <row r="313" spans="2:30" hidden="1" x14ac:dyDescent="0.2">
      <c r="B313" s="673" t="s">
        <v>2283</v>
      </c>
      <c r="C313" s="666" t="s">
        <v>2284</v>
      </c>
      <c r="D313" s="666" t="s">
        <v>670</v>
      </c>
      <c r="E313" s="684">
        <v>0</v>
      </c>
      <c r="F313" s="652">
        <f>SUMIFS(OBE!$H:$H,OBE!$C:$C,'Standalone TB'!$B313,OBE!$B:$B,"A21")</f>
        <v>0</v>
      </c>
      <c r="G313" s="652">
        <f>SUMIFS('Elimination - PL'!I:I,'Elimination - PL'!A:A,"EA21",'Elimination - PL'!D:D,'Standalone TB'!B313)</f>
        <v>0</v>
      </c>
      <c r="H313" s="652">
        <f t="shared" si="40"/>
        <v>0</v>
      </c>
      <c r="I313" s="652">
        <v>0</v>
      </c>
      <c r="J313" s="684">
        <v>0</v>
      </c>
      <c r="K313" s="652">
        <f>SUMIFS(OBE!$H:$H,OBE!$C:$C,'Standalone TB'!$B313,OBE!$B:$B,"A22")</f>
        <v>0</v>
      </c>
      <c r="L313" s="652">
        <f>SUMIFS('Elimination - PL'!I:I,'Elimination - PL'!A:A,"EA22",'Elimination - PL'!D:D,'Standalone TB'!B313)</f>
        <v>0</v>
      </c>
      <c r="M313" s="652">
        <f t="shared" si="34"/>
        <v>0</v>
      </c>
      <c r="N313" s="652">
        <f t="shared" si="41"/>
        <v>0</v>
      </c>
      <c r="O313" s="652">
        <v>0</v>
      </c>
      <c r="P313" s="685">
        <v>0</v>
      </c>
      <c r="Q313" s="684">
        <v>0</v>
      </c>
      <c r="R313" s="652">
        <f>SUMIFS(OBE!$H:$H,OBE!$C:$C,'Standalone TB'!$B313,OBE!$B:$B,"A20")</f>
        <v>0</v>
      </c>
      <c r="S313" s="652">
        <f>SUMIFS('Elimination - PL'!I:I,'Elimination - PL'!A:A,"EA20",'Elimination - PL'!D:D,'Standalone TB'!B313)</f>
        <v>0</v>
      </c>
      <c r="T313" s="652">
        <f t="shared" si="36"/>
        <v>0</v>
      </c>
      <c r="U313" s="652">
        <f t="shared" si="42"/>
        <v>0</v>
      </c>
      <c r="V313" s="652">
        <v>0</v>
      </c>
      <c r="W313" s="685">
        <v>0</v>
      </c>
      <c r="X313" s="689">
        <f t="shared" si="38"/>
        <v>0</v>
      </c>
      <c r="Y313" s="689">
        <f t="shared" si="39"/>
        <v>0</v>
      </c>
      <c r="Z313" s="652" t="s">
        <v>730</v>
      </c>
      <c r="AA313" s="652" t="s">
        <v>2266</v>
      </c>
      <c r="AB313" s="666" t="s">
        <v>728</v>
      </c>
      <c r="AD313" s="665"/>
    </row>
    <row r="314" spans="2:30" hidden="1" x14ac:dyDescent="0.2">
      <c r="B314" s="673" t="s">
        <v>1478</v>
      </c>
      <c r="C314" s="666" t="s">
        <v>2285</v>
      </c>
      <c r="D314" s="666" t="s">
        <v>670</v>
      </c>
      <c r="E314" s="684">
        <v>-9394948.6099999975</v>
      </c>
      <c r="F314" s="652">
        <f>SUMIFS(OBE!$H:$H,OBE!$C:$C,'Standalone TB'!$B314,OBE!$B:$B,"A21")</f>
        <v>0</v>
      </c>
      <c r="G314" s="652">
        <f>SUMIFS('Elimination - PL'!I:I,'Elimination - PL'!A:A,"EA21",'Elimination - PL'!D:D,'Standalone TB'!B314)</f>
        <v>-2860.4999999990687</v>
      </c>
      <c r="H314" s="652">
        <f t="shared" si="40"/>
        <v>-9397809.1099999957</v>
      </c>
      <c r="I314" s="652">
        <v>-115298945.22000001</v>
      </c>
      <c r="J314" s="684">
        <v>-937694.12</v>
      </c>
      <c r="K314" s="652">
        <f>SUMIFS(OBE!$H:$H,OBE!$C:$C,'Standalone TB'!$B314,OBE!$B:$B,"A22")</f>
        <v>0</v>
      </c>
      <c r="L314" s="652">
        <f>SUMIFS('Elimination - PL'!I:I,'Elimination - PL'!A:A,"EA22",'Elimination - PL'!D:D,'Standalone TB'!B314)</f>
        <v>0</v>
      </c>
      <c r="M314" s="652">
        <f t="shared" si="34"/>
        <v>-937694.12</v>
      </c>
      <c r="N314" s="652">
        <f t="shared" si="41"/>
        <v>-21551560.05892022</v>
      </c>
      <c r="O314" s="652">
        <v>-64638.039999999994</v>
      </c>
      <c r="P314" s="685">
        <v>-1456850.9283439999</v>
      </c>
      <c r="Q314" s="684">
        <v>0</v>
      </c>
      <c r="R314" s="652">
        <f>SUMIFS(OBE!$H:$H,OBE!$C:$C,'Standalone TB'!$B314,OBE!$B:$B,"A20")</f>
        <v>0</v>
      </c>
      <c r="S314" s="652">
        <f>SUMIFS('Elimination - PL'!I:I,'Elimination - PL'!A:A,"EA20",'Elimination - PL'!D:D,'Standalone TB'!B314)</f>
        <v>0</v>
      </c>
      <c r="T314" s="652">
        <f t="shared" si="36"/>
        <v>0</v>
      </c>
      <c r="U314" s="652">
        <f t="shared" si="42"/>
        <v>0</v>
      </c>
      <c r="V314" s="652">
        <v>0</v>
      </c>
      <c r="W314" s="685">
        <v>0</v>
      </c>
      <c r="X314" s="689">
        <f t="shared" si="38"/>
        <v>-30949369.168920215</v>
      </c>
      <c r="Y314" s="689">
        <f t="shared" si="39"/>
        <v>-116755796.14834401</v>
      </c>
      <c r="Z314" s="652" t="s">
        <v>730</v>
      </c>
      <c r="AA314" s="652" t="s">
        <v>2266</v>
      </c>
      <c r="AB314" s="666" t="s">
        <v>728</v>
      </c>
      <c r="AD314" s="665"/>
    </row>
    <row r="315" spans="2:30" hidden="1" x14ac:dyDescent="0.2">
      <c r="B315" s="673" t="s">
        <v>1452</v>
      </c>
      <c r="C315" s="666" t="s">
        <v>1472</v>
      </c>
      <c r="D315" s="666" t="s">
        <v>670</v>
      </c>
      <c r="E315" s="684">
        <v>-82325688.650000006</v>
      </c>
      <c r="F315" s="652">
        <f>SUMIFS(OBE!$H:$H,OBE!$C:$C,'Standalone TB'!$B315,OBE!$B:$B,"A21")</f>
        <v>0</v>
      </c>
      <c r="G315" s="652">
        <f>SUMIFS('Elimination - PL'!I:I,'Elimination - PL'!A:A,"EA21",'Elimination - PL'!D:D,'Standalone TB'!B315)</f>
        <v>212005.55</v>
      </c>
      <c r="H315" s="652">
        <f t="shared" si="40"/>
        <v>-82113683.100000009</v>
      </c>
      <c r="I315" s="652">
        <v>-139796443.31</v>
      </c>
      <c r="J315" s="684">
        <v>-1398002.03</v>
      </c>
      <c r="K315" s="652">
        <f>SUMIFS(OBE!$H:$H,OBE!$C:$C,'Standalone TB'!$B315,OBE!$B:$B,"A22")</f>
        <v>0</v>
      </c>
      <c r="L315" s="652">
        <f>SUMIFS('Elimination - PL'!I:I,'Elimination - PL'!A:A,"EA22",'Elimination - PL'!D:D,'Standalone TB'!B315)</f>
        <v>8867.5300000000007</v>
      </c>
      <c r="M315" s="652">
        <f t="shared" si="34"/>
        <v>-1389134.5</v>
      </c>
      <c r="N315" s="652">
        <f t="shared" si="41"/>
        <v>-31927272.410184368</v>
      </c>
      <c r="O315" s="652">
        <v>-730155.92999999993</v>
      </c>
      <c r="P315" s="685">
        <v>-16456692.443897998</v>
      </c>
      <c r="Q315" s="684">
        <v>0</v>
      </c>
      <c r="R315" s="652">
        <f>SUMIFS(OBE!$H:$H,OBE!$C:$C,'Standalone TB'!$B315,OBE!$B:$B,"A20")</f>
        <v>0</v>
      </c>
      <c r="S315" s="652">
        <f>SUMIFS('Elimination - PL'!I:I,'Elimination - PL'!A:A,"EA20",'Elimination - PL'!D:D,'Standalone TB'!B315)</f>
        <v>0</v>
      </c>
      <c r="T315" s="652">
        <f t="shared" si="36"/>
        <v>0</v>
      </c>
      <c r="U315" s="652">
        <f t="shared" si="42"/>
        <v>0</v>
      </c>
      <c r="V315" s="652">
        <v>0</v>
      </c>
      <c r="W315" s="685">
        <v>0</v>
      </c>
      <c r="X315" s="689">
        <f t="shared" si="38"/>
        <v>-114040955.51018438</v>
      </c>
      <c r="Y315" s="689">
        <f t="shared" si="39"/>
        <v>-156253135.75389799</v>
      </c>
      <c r="Z315" s="652" t="s">
        <v>730</v>
      </c>
      <c r="AA315" s="652" t="s">
        <v>2266</v>
      </c>
      <c r="AB315" s="666" t="s">
        <v>728</v>
      </c>
      <c r="AD315" s="665"/>
    </row>
    <row r="316" spans="2:30" hidden="1" x14ac:dyDescent="0.2">
      <c r="B316" s="673" t="s">
        <v>1480</v>
      </c>
      <c r="C316" s="666" t="s">
        <v>2286</v>
      </c>
      <c r="D316" s="666" t="s">
        <v>670</v>
      </c>
      <c r="E316" s="684">
        <v>-6923715.5899999999</v>
      </c>
      <c r="F316" s="652">
        <f>SUMIFS(OBE!$H:$H,OBE!$C:$C,'Standalone TB'!$B316,OBE!$B:$B,"A21")</f>
        <v>0</v>
      </c>
      <c r="G316" s="652">
        <f>SUMIFS('Elimination - PL'!I:I,'Elimination - PL'!A:A,"EA21",'Elimination - PL'!D:D,'Standalone TB'!B316)</f>
        <v>6923715.5899999989</v>
      </c>
      <c r="H316" s="652">
        <f t="shared" si="40"/>
        <v>0</v>
      </c>
      <c r="I316" s="652">
        <v>0</v>
      </c>
      <c r="J316" s="684">
        <v>0</v>
      </c>
      <c r="K316" s="652">
        <f>SUMIFS(OBE!$H:$H,OBE!$C:$C,'Standalone TB'!$B316,OBE!$B:$B,"A22")</f>
        <v>0</v>
      </c>
      <c r="L316" s="652">
        <f>SUMIFS('Elimination - PL'!I:I,'Elimination - PL'!A:A,"EA22",'Elimination - PL'!D:D,'Standalone TB'!B316)</f>
        <v>0</v>
      </c>
      <c r="M316" s="652">
        <f t="shared" si="34"/>
        <v>0</v>
      </c>
      <c r="N316" s="652">
        <f t="shared" si="41"/>
        <v>0</v>
      </c>
      <c r="O316" s="652">
        <v>0</v>
      </c>
      <c r="P316" s="685">
        <v>0</v>
      </c>
      <c r="Q316" s="684">
        <v>0</v>
      </c>
      <c r="R316" s="652">
        <f>SUMIFS(OBE!$H:$H,OBE!$C:$C,'Standalone TB'!$B316,OBE!$B:$B,"A20")</f>
        <v>0</v>
      </c>
      <c r="S316" s="652">
        <f>SUMIFS('Elimination - PL'!I:I,'Elimination - PL'!A:A,"EA20",'Elimination - PL'!D:D,'Standalone TB'!B316)</f>
        <v>0</v>
      </c>
      <c r="T316" s="652">
        <f t="shared" si="36"/>
        <v>0</v>
      </c>
      <c r="U316" s="652">
        <f t="shared" si="42"/>
        <v>0</v>
      </c>
      <c r="V316" s="652">
        <v>0</v>
      </c>
      <c r="W316" s="685">
        <v>0</v>
      </c>
      <c r="X316" s="689">
        <f t="shared" si="38"/>
        <v>0</v>
      </c>
      <c r="Y316" s="689">
        <f t="shared" si="39"/>
        <v>0</v>
      </c>
      <c r="Z316" s="652" t="s">
        <v>730</v>
      </c>
      <c r="AA316" s="652" t="s">
        <v>2266</v>
      </c>
      <c r="AB316" s="666" t="s">
        <v>728</v>
      </c>
      <c r="AD316" s="665"/>
    </row>
    <row r="317" spans="2:30" hidden="1" x14ac:dyDescent="0.2">
      <c r="B317" s="673" t="s">
        <v>2287</v>
      </c>
      <c r="C317" s="666" t="s">
        <v>1449</v>
      </c>
      <c r="D317" s="666" t="s">
        <v>670</v>
      </c>
      <c r="E317" s="684">
        <v>0</v>
      </c>
      <c r="F317" s="652">
        <f>SUMIFS(OBE!$H:$H,OBE!$C:$C,'Standalone TB'!$B317,OBE!$B:$B,"A21")</f>
        <v>0</v>
      </c>
      <c r="G317" s="652">
        <f>SUMIFS('Elimination - PL'!I:I,'Elimination - PL'!A:A,"EA21",'Elimination - PL'!D:D,'Standalone TB'!B317)</f>
        <v>0</v>
      </c>
      <c r="H317" s="652">
        <f t="shared" si="40"/>
        <v>0</v>
      </c>
      <c r="I317" s="652">
        <v>0</v>
      </c>
      <c r="J317" s="684">
        <v>0</v>
      </c>
      <c r="K317" s="652">
        <f>SUMIFS(OBE!$H:$H,OBE!$C:$C,'Standalone TB'!$B317,OBE!$B:$B,"A22")</f>
        <v>0</v>
      </c>
      <c r="L317" s="652">
        <f>SUMIFS('Elimination - PL'!I:I,'Elimination - PL'!A:A,"EA22",'Elimination - PL'!D:D,'Standalone TB'!B317)</f>
        <v>0</v>
      </c>
      <c r="M317" s="652">
        <f t="shared" si="34"/>
        <v>0</v>
      </c>
      <c r="N317" s="652">
        <f t="shared" si="41"/>
        <v>0</v>
      </c>
      <c r="O317" s="652">
        <v>0</v>
      </c>
      <c r="P317" s="685">
        <v>0</v>
      </c>
      <c r="Q317" s="684">
        <v>0</v>
      </c>
      <c r="R317" s="652">
        <f>SUMIFS(OBE!$H:$H,OBE!$C:$C,'Standalone TB'!$B317,OBE!$B:$B,"A20")</f>
        <v>0</v>
      </c>
      <c r="S317" s="652">
        <f>SUMIFS('Elimination - PL'!I:I,'Elimination - PL'!A:A,"EA20",'Elimination - PL'!D:D,'Standalone TB'!B317)</f>
        <v>0</v>
      </c>
      <c r="T317" s="652">
        <f t="shared" si="36"/>
        <v>0</v>
      </c>
      <c r="U317" s="652">
        <f t="shared" si="42"/>
        <v>0</v>
      </c>
      <c r="V317" s="652">
        <v>0</v>
      </c>
      <c r="W317" s="685">
        <v>0</v>
      </c>
      <c r="X317" s="689">
        <f t="shared" si="38"/>
        <v>0</v>
      </c>
      <c r="Y317" s="689">
        <f t="shared" si="39"/>
        <v>0</v>
      </c>
      <c r="Z317" s="652" t="s">
        <v>730</v>
      </c>
      <c r="AA317" s="652" t="s">
        <v>2266</v>
      </c>
      <c r="AB317" s="666" t="s">
        <v>728</v>
      </c>
      <c r="AD317" s="665"/>
    </row>
    <row r="318" spans="2:30" hidden="1" x14ac:dyDescent="0.2">
      <c r="B318" s="673" t="s">
        <v>2288</v>
      </c>
      <c r="C318" s="666" t="s">
        <v>2289</v>
      </c>
      <c r="D318" s="666" t="s">
        <v>670</v>
      </c>
      <c r="E318" s="684">
        <v>0</v>
      </c>
      <c r="F318" s="652">
        <f>SUMIFS(OBE!$H:$H,OBE!$C:$C,'Standalone TB'!$B318,OBE!$B:$B,"A21")</f>
        <v>0</v>
      </c>
      <c r="G318" s="652">
        <f>SUMIFS('Elimination - PL'!I:I,'Elimination - PL'!A:A,"EA21",'Elimination - PL'!D:D,'Standalone TB'!B318)</f>
        <v>0</v>
      </c>
      <c r="H318" s="652">
        <f t="shared" si="40"/>
        <v>0</v>
      </c>
      <c r="I318" s="652">
        <v>0</v>
      </c>
      <c r="J318" s="684">
        <v>0</v>
      </c>
      <c r="K318" s="652">
        <f>SUMIFS(OBE!$H:$H,OBE!$C:$C,'Standalone TB'!$B318,OBE!$B:$B,"A22")</f>
        <v>0</v>
      </c>
      <c r="L318" s="652">
        <f>SUMIFS('Elimination - PL'!I:I,'Elimination - PL'!A:A,"EA22",'Elimination - PL'!D:D,'Standalone TB'!B318)</f>
        <v>0</v>
      </c>
      <c r="M318" s="652">
        <f t="shared" si="34"/>
        <v>0</v>
      </c>
      <c r="N318" s="652">
        <f t="shared" si="41"/>
        <v>0</v>
      </c>
      <c r="O318" s="652">
        <v>0</v>
      </c>
      <c r="P318" s="685">
        <v>0</v>
      </c>
      <c r="Q318" s="684">
        <v>0</v>
      </c>
      <c r="R318" s="652">
        <f>SUMIFS(OBE!$H:$H,OBE!$C:$C,'Standalone TB'!$B318,OBE!$B:$B,"A20")</f>
        <v>0</v>
      </c>
      <c r="S318" s="652">
        <f>SUMIFS('Elimination - PL'!I:I,'Elimination - PL'!A:A,"EA20",'Elimination - PL'!D:D,'Standalone TB'!B318)</f>
        <v>0</v>
      </c>
      <c r="T318" s="652">
        <f t="shared" si="36"/>
        <v>0</v>
      </c>
      <c r="U318" s="652">
        <f t="shared" si="42"/>
        <v>0</v>
      </c>
      <c r="V318" s="652">
        <v>0</v>
      </c>
      <c r="W318" s="685">
        <v>0</v>
      </c>
      <c r="X318" s="689">
        <f t="shared" si="38"/>
        <v>0</v>
      </c>
      <c r="Y318" s="689">
        <f t="shared" si="39"/>
        <v>0</v>
      </c>
      <c r="Z318" s="652" t="s">
        <v>730</v>
      </c>
      <c r="AA318" s="652" t="s">
        <v>2266</v>
      </c>
      <c r="AB318" s="666" t="s">
        <v>728</v>
      </c>
      <c r="AD318" s="665"/>
    </row>
    <row r="319" spans="2:30" hidden="1" x14ac:dyDescent="0.2">
      <c r="B319" s="673" t="s">
        <v>2290</v>
      </c>
      <c r="C319" s="666" t="s">
        <v>2291</v>
      </c>
      <c r="D319" s="666" t="s">
        <v>670</v>
      </c>
      <c r="E319" s="684">
        <v>0</v>
      </c>
      <c r="F319" s="652">
        <f>SUMIFS(OBE!$H:$H,OBE!$C:$C,'Standalone TB'!$B319,OBE!$B:$B,"A21")</f>
        <v>0</v>
      </c>
      <c r="G319" s="652">
        <f>SUMIFS('Elimination - PL'!I:I,'Elimination - PL'!A:A,"EA21",'Elimination - PL'!D:D,'Standalone TB'!B319)</f>
        <v>0</v>
      </c>
      <c r="H319" s="652">
        <f t="shared" si="40"/>
        <v>0</v>
      </c>
      <c r="I319" s="652">
        <v>0</v>
      </c>
      <c r="J319" s="684">
        <v>0</v>
      </c>
      <c r="K319" s="652">
        <f>SUMIFS(OBE!$H:$H,OBE!$C:$C,'Standalone TB'!$B319,OBE!$B:$B,"A22")</f>
        <v>0</v>
      </c>
      <c r="L319" s="652">
        <f>SUMIFS('Elimination - PL'!I:I,'Elimination - PL'!A:A,"EA22",'Elimination - PL'!D:D,'Standalone TB'!B319)</f>
        <v>0</v>
      </c>
      <c r="M319" s="652">
        <f t="shared" si="34"/>
        <v>0</v>
      </c>
      <c r="N319" s="652">
        <f t="shared" si="41"/>
        <v>0</v>
      </c>
      <c r="O319" s="652">
        <v>0</v>
      </c>
      <c r="P319" s="685">
        <v>0</v>
      </c>
      <c r="Q319" s="684">
        <v>0</v>
      </c>
      <c r="R319" s="652">
        <f>SUMIFS(OBE!$H:$H,OBE!$C:$C,'Standalone TB'!$B319,OBE!$B:$B,"A20")</f>
        <v>0</v>
      </c>
      <c r="S319" s="652">
        <f>SUMIFS('Elimination - PL'!I:I,'Elimination - PL'!A:A,"EA20",'Elimination - PL'!D:D,'Standalone TB'!B319)</f>
        <v>0</v>
      </c>
      <c r="T319" s="652">
        <f t="shared" si="36"/>
        <v>0</v>
      </c>
      <c r="U319" s="652">
        <f t="shared" si="42"/>
        <v>0</v>
      </c>
      <c r="V319" s="652">
        <v>0</v>
      </c>
      <c r="W319" s="685">
        <v>0</v>
      </c>
      <c r="X319" s="689">
        <f t="shared" si="38"/>
        <v>0</v>
      </c>
      <c r="Y319" s="689">
        <f t="shared" si="39"/>
        <v>0</v>
      </c>
      <c r="Z319" s="652" t="s">
        <v>730</v>
      </c>
      <c r="AA319" s="652" t="s">
        <v>2266</v>
      </c>
      <c r="AB319" s="666" t="s">
        <v>728</v>
      </c>
      <c r="AD319" s="665"/>
    </row>
    <row r="320" spans="2:30" hidden="1" x14ac:dyDescent="0.2">
      <c r="B320" s="673" t="s">
        <v>1444</v>
      </c>
      <c r="C320" s="666" t="s">
        <v>2292</v>
      </c>
      <c r="D320" s="666" t="s">
        <v>670</v>
      </c>
      <c r="E320" s="684">
        <v>75598316.700000003</v>
      </c>
      <c r="F320" s="652">
        <f>SUMIFS(OBE!$H:$H,OBE!$C:$C,'Standalone TB'!$B320,OBE!$B:$B,"A21")</f>
        <v>-2828310.1400000006</v>
      </c>
      <c r="G320" s="652">
        <f>SUMIFS('Elimination - PL'!I:I,'Elimination - PL'!A:A,"EA21",'Elimination - PL'!D:D,'Standalone TB'!B320)</f>
        <v>-1707091.4200000004</v>
      </c>
      <c r="H320" s="652">
        <f t="shared" si="40"/>
        <v>71062915.140000001</v>
      </c>
      <c r="I320" s="652">
        <v>-52633127.409999952</v>
      </c>
      <c r="J320" s="684">
        <v>1438747.65</v>
      </c>
      <c r="K320" s="652">
        <f>SUMIFS(OBE!$H:$H,OBE!$C:$C,'Standalone TB'!$B320,OBE!$B:$B,"A22")</f>
        <v>33399.93</v>
      </c>
      <c r="L320" s="652">
        <f>SUMIFS('Elimination - PL'!I:I,'Elimination - PL'!A:A,"EA22",'Elimination - PL'!D:D,'Standalone TB'!B320)</f>
        <v>0</v>
      </c>
      <c r="M320" s="652">
        <f t="shared" si="34"/>
        <v>1472147.5799999998</v>
      </c>
      <c r="N320" s="652">
        <f t="shared" si="41"/>
        <v>33835209.488104776</v>
      </c>
      <c r="O320" s="652">
        <v>-2441530.3000000003</v>
      </c>
      <c r="P320" s="685">
        <v>-55028674.819580004</v>
      </c>
      <c r="Q320" s="684">
        <v>176817.72</v>
      </c>
      <c r="R320" s="652">
        <f>SUMIFS(OBE!$H:$H,OBE!$C:$C,'Standalone TB'!$B320,OBE!$B:$B,"A20")</f>
        <v>-131200.00000000023</v>
      </c>
      <c r="S320" s="652">
        <f>SUMIFS('Elimination - PL'!I:I,'Elimination - PL'!A:A,"EA20",'Elimination - PL'!D:D,'Standalone TB'!B320)</f>
        <v>0</v>
      </c>
      <c r="T320" s="652">
        <f t="shared" si="36"/>
        <v>45617.719999999768</v>
      </c>
      <c r="U320" s="652">
        <f t="shared" si="42"/>
        <v>3851128.1511228676</v>
      </c>
      <c r="V320" s="652">
        <v>170042.50000000093</v>
      </c>
      <c r="W320" s="685">
        <v>14078532.753500078</v>
      </c>
      <c r="X320" s="689">
        <f t="shared" si="38"/>
        <v>108749252.77922764</v>
      </c>
      <c r="Y320" s="689">
        <f t="shared" si="39"/>
        <v>-93583269.476079881</v>
      </c>
      <c r="Z320" s="652" t="s">
        <v>730</v>
      </c>
      <c r="AA320" s="652" t="s">
        <v>2266</v>
      </c>
      <c r="AB320" s="666" t="s">
        <v>728</v>
      </c>
      <c r="AD320" s="665"/>
    </row>
    <row r="321" spans="2:30" hidden="1" x14ac:dyDescent="0.2">
      <c r="B321" s="673" t="s">
        <v>2293</v>
      </c>
      <c r="C321" s="666" t="s">
        <v>2294</v>
      </c>
      <c r="D321" s="666" t="s">
        <v>670</v>
      </c>
      <c r="E321" s="684">
        <v>0</v>
      </c>
      <c r="F321" s="652">
        <f>SUMIFS(OBE!$H:$H,OBE!$C:$C,'Standalone TB'!$B321,OBE!$B:$B,"A21")</f>
        <v>0</v>
      </c>
      <c r="G321" s="652">
        <f>SUMIFS('Elimination - PL'!I:I,'Elimination - PL'!A:A,"EA21",'Elimination - PL'!D:D,'Standalone TB'!B321)</f>
        <v>0</v>
      </c>
      <c r="H321" s="652">
        <f t="shared" si="40"/>
        <v>0</v>
      </c>
      <c r="I321" s="652">
        <v>0</v>
      </c>
      <c r="J321" s="684">
        <v>0</v>
      </c>
      <c r="K321" s="652">
        <f>SUMIFS(OBE!$H:$H,OBE!$C:$C,'Standalone TB'!$B321,OBE!$B:$B,"A22")</f>
        <v>0</v>
      </c>
      <c r="L321" s="652">
        <f>SUMIFS('Elimination - PL'!I:I,'Elimination - PL'!A:A,"EA22",'Elimination - PL'!D:D,'Standalone TB'!B321)</f>
        <v>0</v>
      </c>
      <c r="M321" s="652">
        <f t="shared" si="34"/>
        <v>0</v>
      </c>
      <c r="N321" s="652">
        <f t="shared" si="41"/>
        <v>0</v>
      </c>
      <c r="O321" s="652">
        <v>0</v>
      </c>
      <c r="P321" s="685">
        <v>0</v>
      </c>
      <c r="Q321" s="684">
        <v>0</v>
      </c>
      <c r="R321" s="652">
        <f>SUMIFS(OBE!$H:$H,OBE!$C:$C,'Standalone TB'!$B321,OBE!$B:$B,"A20")</f>
        <v>0</v>
      </c>
      <c r="S321" s="652">
        <f>SUMIFS('Elimination - PL'!I:I,'Elimination - PL'!A:A,"EA20",'Elimination - PL'!D:D,'Standalone TB'!B321)</f>
        <v>0</v>
      </c>
      <c r="T321" s="652">
        <f t="shared" si="36"/>
        <v>0</v>
      </c>
      <c r="U321" s="652">
        <f t="shared" si="42"/>
        <v>0</v>
      </c>
      <c r="V321" s="652">
        <v>0</v>
      </c>
      <c r="W321" s="685">
        <v>0</v>
      </c>
      <c r="X321" s="689">
        <f t="shared" si="38"/>
        <v>0</v>
      </c>
      <c r="Y321" s="689">
        <f t="shared" si="39"/>
        <v>0</v>
      </c>
      <c r="Z321" s="652" t="s">
        <v>730</v>
      </c>
      <c r="AA321" s="652" t="s">
        <v>2266</v>
      </c>
      <c r="AB321" s="666" t="s">
        <v>728</v>
      </c>
      <c r="AD321" s="665"/>
    </row>
    <row r="322" spans="2:30" hidden="1" x14ac:dyDescent="0.2">
      <c r="B322" s="673" t="s">
        <v>1446</v>
      </c>
      <c r="C322" s="666" t="s">
        <v>1447</v>
      </c>
      <c r="D322" s="666" t="s">
        <v>670</v>
      </c>
      <c r="E322" s="684">
        <v>-576251707.44000006</v>
      </c>
      <c r="F322" s="652">
        <f>SUMIFS(OBE!$H:$H,OBE!$C:$C,'Standalone TB'!$B322,OBE!$B:$B,"A21")</f>
        <v>-152000995.24973753</v>
      </c>
      <c r="G322" s="652">
        <f>SUMIFS('Elimination - PL'!I:I,'Elimination - PL'!A:A,"EA21",'Elimination - PL'!D:D,'Standalone TB'!B322)</f>
        <v>16044264.439999999</v>
      </c>
      <c r="H322" s="652">
        <f t="shared" si="40"/>
        <v>-712208438.2497375</v>
      </c>
      <c r="I322" s="652">
        <v>-438597357.43000001</v>
      </c>
      <c r="J322" s="684">
        <v>-174038.27</v>
      </c>
      <c r="K322" s="652">
        <f>SUMIFS(OBE!$H:$H,OBE!$C:$C,'Standalone TB'!$B322,OBE!$B:$B,"A22")</f>
        <v>0</v>
      </c>
      <c r="L322" s="652">
        <f>SUMIFS('Elimination - PL'!I:I,'Elimination - PL'!A:A,"EA22",'Elimination - PL'!D:D,'Standalone TB'!B322)</f>
        <v>846.34</v>
      </c>
      <c r="M322" s="652">
        <f t="shared" si="34"/>
        <v>-173191.93</v>
      </c>
      <c r="N322" s="652">
        <f t="shared" si="41"/>
        <v>-3980569.1445684936</v>
      </c>
      <c r="O322" s="652">
        <v>-12349.82</v>
      </c>
      <c r="P322" s="685">
        <v>-278347.65305199998</v>
      </c>
      <c r="Q322" s="684">
        <v>0</v>
      </c>
      <c r="R322" s="652">
        <f>SUMIFS(OBE!$H:$H,OBE!$C:$C,'Standalone TB'!$B322,OBE!$B:$B,"A20")</f>
        <v>0</v>
      </c>
      <c r="S322" s="652">
        <f>SUMIFS('Elimination - PL'!I:I,'Elimination - PL'!A:A,"EA20",'Elimination - PL'!D:D,'Standalone TB'!B322)</f>
        <v>0</v>
      </c>
      <c r="T322" s="652">
        <f t="shared" si="36"/>
        <v>0</v>
      </c>
      <c r="U322" s="652">
        <f t="shared" si="42"/>
        <v>0</v>
      </c>
      <c r="V322" s="652">
        <v>0</v>
      </c>
      <c r="W322" s="685">
        <v>0</v>
      </c>
      <c r="X322" s="689">
        <f t="shared" si="38"/>
        <v>-716189007.39430594</v>
      </c>
      <c r="Y322" s="689">
        <f t="shared" si="39"/>
        <v>-438875705.08305198</v>
      </c>
      <c r="Z322" s="652" t="s">
        <v>730</v>
      </c>
      <c r="AA322" s="652" t="s">
        <v>2266</v>
      </c>
      <c r="AB322" s="666" t="s">
        <v>728</v>
      </c>
      <c r="AD322" s="665"/>
    </row>
    <row r="323" spans="2:30" hidden="1" x14ac:dyDescent="0.2">
      <c r="B323" s="673" t="s">
        <v>2295</v>
      </c>
      <c r="C323" s="666" t="s">
        <v>2296</v>
      </c>
      <c r="D323" s="666" t="s">
        <v>670</v>
      </c>
      <c r="E323" s="684">
        <v>0</v>
      </c>
      <c r="F323" s="652">
        <f>SUMIFS(OBE!$H:$H,OBE!$C:$C,'Standalone TB'!$B323,OBE!$B:$B,"A21")</f>
        <v>0</v>
      </c>
      <c r="G323" s="652">
        <f>SUMIFS('Elimination - PL'!I:I,'Elimination - PL'!A:A,"EA21",'Elimination - PL'!D:D,'Standalone TB'!B323)</f>
        <v>0</v>
      </c>
      <c r="H323" s="652">
        <f t="shared" si="40"/>
        <v>0</v>
      </c>
      <c r="I323" s="652">
        <v>0</v>
      </c>
      <c r="J323" s="684">
        <v>0</v>
      </c>
      <c r="K323" s="652">
        <f>SUMIFS(OBE!$H:$H,OBE!$C:$C,'Standalone TB'!$B323,OBE!$B:$B,"A22")</f>
        <v>0</v>
      </c>
      <c r="L323" s="652">
        <f>SUMIFS('Elimination - PL'!I:I,'Elimination - PL'!A:A,"EA22",'Elimination - PL'!D:D,'Standalone TB'!B323)</f>
        <v>0</v>
      </c>
      <c r="M323" s="652">
        <f t="shared" si="34"/>
        <v>0</v>
      </c>
      <c r="N323" s="652">
        <f t="shared" si="41"/>
        <v>0</v>
      </c>
      <c r="O323" s="652">
        <v>0</v>
      </c>
      <c r="P323" s="685">
        <v>0</v>
      </c>
      <c r="Q323" s="684">
        <v>0</v>
      </c>
      <c r="R323" s="652">
        <f>SUMIFS(OBE!$H:$H,OBE!$C:$C,'Standalone TB'!$B323,OBE!$B:$B,"A20")</f>
        <v>0</v>
      </c>
      <c r="S323" s="652">
        <f>SUMIFS('Elimination - PL'!I:I,'Elimination - PL'!A:A,"EA20",'Elimination - PL'!D:D,'Standalone TB'!B323)</f>
        <v>0</v>
      </c>
      <c r="T323" s="652">
        <f t="shared" si="36"/>
        <v>0</v>
      </c>
      <c r="U323" s="652">
        <f t="shared" si="42"/>
        <v>0</v>
      </c>
      <c r="V323" s="652">
        <v>0</v>
      </c>
      <c r="W323" s="685">
        <v>0</v>
      </c>
      <c r="X323" s="689">
        <f t="shared" si="38"/>
        <v>0</v>
      </c>
      <c r="Y323" s="689">
        <f t="shared" si="39"/>
        <v>0</v>
      </c>
      <c r="Z323" s="652" t="s">
        <v>730</v>
      </c>
      <c r="AA323" s="652" t="s">
        <v>2266</v>
      </c>
      <c r="AB323" s="666" t="s">
        <v>728</v>
      </c>
      <c r="AD323" s="665"/>
    </row>
    <row r="324" spans="2:30" hidden="1" x14ac:dyDescent="0.2">
      <c r="B324" s="673" t="s">
        <v>2297</v>
      </c>
      <c r="C324" s="666" t="s">
        <v>2298</v>
      </c>
      <c r="D324" s="666" t="s">
        <v>670</v>
      </c>
      <c r="E324" s="684">
        <v>740264.55</v>
      </c>
      <c r="F324" s="652">
        <f>SUMIFS(OBE!$H:$H,OBE!$C:$C,'Standalone TB'!$B324,OBE!$B:$B,"A21")</f>
        <v>0</v>
      </c>
      <c r="G324" s="652">
        <f>SUMIFS('Elimination - PL'!I:I,'Elimination - PL'!A:A,"EA21",'Elimination - PL'!D:D,'Standalone TB'!B324)</f>
        <v>0</v>
      </c>
      <c r="H324" s="652">
        <f t="shared" si="40"/>
        <v>740264.55</v>
      </c>
      <c r="I324" s="652">
        <v>-1266396.75</v>
      </c>
      <c r="J324" s="684">
        <v>0</v>
      </c>
      <c r="K324" s="652">
        <f>SUMIFS(OBE!$H:$H,OBE!$C:$C,'Standalone TB'!$B324,OBE!$B:$B,"A22")</f>
        <v>0</v>
      </c>
      <c r="L324" s="652">
        <f>SUMIFS('Elimination - PL'!I:I,'Elimination - PL'!A:A,"EA22",'Elimination - PL'!D:D,'Standalone TB'!B324)</f>
        <v>0</v>
      </c>
      <c r="M324" s="652">
        <f t="shared" si="34"/>
        <v>0</v>
      </c>
      <c r="N324" s="652">
        <f t="shared" si="41"/>
        <v>0</v>
      </c>
      <c r="O324" s="652">
        <v>0</v>
      </c>
      <c r="P324" s="685">
        <v>0</v>
      </c>
      <c r="Q324" s="684">
        <v>0</v>
      </c>
      <c r="R324" s="652">
        <f>SUMIFS(OBE!$H:$H,OBE!$C:$C,'Standalone TB'!$B324,OBE!$B:$B,"A20")</f>
        <v>0</v>
      </c>
      <c r="S324" s="652">
        <f>SUMIFS('Elimination - PL'!I:I,'Elimination - PL'!A:A,"EA20",'Elimination - PL'!D:D,'Standalone TB'!B324)</f>
        <v>0</v>
      </c>
      <c r="T324" s="652">
        <f t="shared" si="36"/>
        <v>0</v>
      </c>
      <c r="U324" s="652">
        <f t="shared" si="42"/>
        <v>0</v>
      </c>
      <c r="V324" s="652">
        <v>0</v>
      </c>
      <c r="W324" s="685">
        <v>0</v>
      </c>
      <c r="X324" s="689">
        <f t="shared" si="38"/>
        <v>740264.55</v>
      </c>
      <c r="Y324" s="689">
        <f t="shared" si="39"/>
        <v>-1266396.75</v>
      </c>
      <c r="Z324" s="652" t="s">
        <v>730</v>
      </c>
      <c r="AA324" s="652" t="s">
        <v>2266</v>
      </c>
      <c r="AB324" s="666" t="s">
        <v>728</v>
      </c>
      <c r="AD324" s="665"/>
    </row>
    <row r="325" spans="2:30" hidden="1" x14ac:dyDescent="0.2">
      <c r="B325" s="673" t="s">
        <v>2299</v>
      </c>
      <c r="C325" s="666" t="s">
        <v>2300</v>
      </c>
      <c r="D325" s="666" t="s">
        <v>670</v>
      </c>
      <c r="E325" s="684">
        <v>0</v>
      </c>
      <c r="F325" s="652">
        <f>SUMIFS(OBE!$H:$H,OBE!$C:$C,'Standalone TB'!$B325,OBE!$B:$B,"A21")</f>
        <v>0</v>
      </c>
      <c r="G325" s="652">
        <f>SUMIFS('Elimination - PL'!I:I,'Elimination - PL'!A:A,"EA21",'Elimination - PL'!D:D,'Standalone TB'!B325)</f>
        <v>0</v>
      </c>
      <c r="H325" s="652">
        <f t="shared" si="40"/>
        <v>0</v>
      </c>
      <c r="I325" s="652">
        <v>0</v>
      </c>
      <c r="J325" s="684">
        <v>0</v>
      </c>
      <c r="K325" s="652">
        <f>SUMIFS(OBE!$H:$H,OBE!$C:$C,'Standalone TB'!$B325,OBE!$B:$B,"A22")</f>
        <v>0</v>
      </c>
      <c r="L325" s="652">
        <f>SUMIFS('Elimination - PL'!I:I,'Elimination - PL'!A:A,"EA22",'Elimination - PL'!D:D,'Standalone TB'!B325)</f>
        <v>0</v>
      </c>
      <c r="M325" s="652">
        <f t="shared" si="34"/>
        <v>0</v>
      </c>
      <c r="N325" s="652">
        <f t="shared" si="41"/>
        <v>0</v>
      </c>
      <c r="O325" s="652">
        <v>0</v>
      </c>
      <c r="P325" s="685">
        <v>0</v>
      </c>
      <c r="Q325" s="684">
        <v>0</v>
      </c>
      <c r="R325" s="652">
        <f>SUMIFS(OBE!$H:$H,OBE!$C:$C,'Standalone TB'!$B325,OBE!$B:$B,"A20")</f>
        <v>0</v>
      </c>
      <c r="S325" s="652">
        <f>SUMIFS('Elimination - PL'!I:I,'Elimination - PL'!A:A,"EA20",'Elimination - PL'!D:D,'Standalone TB'!B325)</f>
        <v>0</v>
      </c>
      <c r="T325" s="652">
        <f t="shared" si="36"/>
        <v>0</v>
      </c>
      <c r="U325" s="652">
        <f t="shared" si="42"/>
        <v>0</v>
      </c>
      <c r="V325" s="652">
        <v>0</v>
      </c>
      <c r="W325" s="685">
        <v>0</v>
      </c>
      <c r="X325" s="689">
        <f t="shared" si="38"/>
        <v>0</v>
      </c>
      <c r="Y325" s="689">
        <f t="shared" si="39"/>
        <v>0</v>
      </c>
      <c r="Z325" s="652" t="s">
        <v>730</v>
      </c>
      <c r="AA325" s="652" t="s">
        <v>2266</v>
      </c>
      <c r="AB325" s="666" t="s">
        <v>728</v>
      </c>
      <c r="AD325" s="665"/>
    </row>
    <row r="326" spans="2:30" hidden="1" x14ac:dyDescent="0.2">
      <c r="B326" s="673" t="s">
        <v>2301</v>
      </c>
      <c r="C326" s="666" t="s">
        <v>2302</v>
      </c>
      <c r="D326" s="666" t="s">
        <v>670</v>
      </c>
      <c r="E326" s="684">
        <v>0</v>
      </c>
      <c r="F326" s="652">
        <f>SUMIFS(OBE!$H:$H,OBE!$C:$C,'Standalone TB'!$B326,OBE!$B:$B,"A21")</f>
        <v>0</v>
      </c>
      <c r="G326" s="652">
        <f>SUMIFS('Elimination - PL'!I:I,'Elimination - PL'!A:A,"EA21",'Elimination - PL'!D:D,'Standalone TB'!B326)</f>
        <v>0</v>
      </c>
      <c r="H326" s="652">
        <f t="shared" si="40"/>
        <v>0</v>
      </c>
      <c r="I326" s="652">
        <v>0</v>
      </c>
      <c r="J326" s="684">
        <v>0</v>
      </c>
      <c r="K326" s="652">
        <f>SUMIFS(OBE!$H:$H,OBE!$C:$C,'Standalone TB'!$B326,OBE!$B:$B,"A22")</f>
        <v>0</v>
      </c>
      <c r="L326" s="652">
        <f>SUMIFS('Elimination - PL'!I:I,'Elimination - PL'!A:A,"EA22",'Elimination - PL'!D:D,'Standalone TB'!B326)</f>
        <v>0</v>
      </c>
      <c r="M326" s="652">
        <f t="shared" si="34"/>
        <v>0</v>
      </c>
      <c r="N326" s="652">
        <f t="shared" si="41"/>
        <v>0</v>
      </c>
      <c r="O326" s="652">
        <v>0</v>
      </c>
      <c r="P326" s="685">
        <v>0</v>
      </c>
      <c r="Q326" s="684">
        <v>0</v>
      </c>
      <c r="R326" s="652">
        <f>SUMIFS(OBE!$H:$H,OBE!$C:$C,'Standalone TB'!$B326,OBE!$B:$B,"A20")</f>
        <v>0</v>
      </c>
      <c r="S326" s="652">
        <f>SUMIFS('Elimination - PL'!I:I,'Elimination - PL'!A:A,"EA20",'Elimination - PL'!D:D,'Standalone TB'!B326)</f>
        <v>0</v>
      </c>
      <c r="T326" s="652">
        <f t="shared" si="36"/>
        <v>0</v>
      </c>
      <c r="U326" s="652">
        <f t="shared" si="42"/>
        <v>0</v>
      </c>
      <c r="V326" s="652">
        <v>0</v>
      </c>
      <c r="W326" s="685">
        <v>0</v>
      </c>
      <c r="X326" s="689">
        <f t="shared" si="38"/>
        <v>0</v>
      </c>
      <c r="Y326" s="689">
        <f t="shared" si="39"/>
        <v>0</v>
      </c>
      <c r="Z326" s="652" t="s">
        <v>730</v>
      </c>
      <c r="AA326" s="652" t="s">
        <v>2266</v>
      </c>
      <c r="AB326" s="666" t="s">
        <v>728</v>
      </c>
      <c r="AD326" s="665"/>
    </row>
    <row r="327" spans="2:30" hidden="1" x14ac:dyDescent="0.2">
      <c r="B327" s="673" t="s">
        <v>2303</v>
      </c>
      <c r="C327" s="666" t="s">
        <v>2304</v>
      </c>
      <c r="D327" s="666" t="s">
        <v>670</v>
      </c>
      <c r="E327" s="684">
        <v>0</v>
      </c>
      <c r="F327" s="652">
        <f>SUMIFS(OBE!$H:$H,OBE!$C:$C,'Standalone TB'!$B327,OBE!$B:$B,"A21")</f>
        <v>0</v>
      </c>
      <c r="G327" s="652">
        <f>SUMIFS('Elimination - PL'!I:I,'Elimination - PL'!A:A,"EA21",'Elimination - PL'!D:D,'Standalone TB'!B327)</f>
        <v>0</v>
      </c>
      <c r="H327" s="652">
        <f t="shared" si="40"/>
        <v>0</v>
      </c>
      <c r="I327" s="652">
        <v>-417452</v>
      </c>
      <c r="J327" s="684">
        <v>0</v>
      </c>
      <c r="K327" s="652">
        <f>SUMIFS(OBE!$H:$H,OBE!$C:$C,'Standalone TB'!$B327,OBE!$B:$B,"A22")</f>
        <v>0</v>
      </c>
      <c r="L327" s="652">
        <f>SUMIFS('Elimination - PL'!I:I,'Elimination - PL'!A:A,"EA22",'Elimination - PL'!D:D,'Standalone TB'!B327)</f>
        <v>0</v>
      </c>
      <c r="M327" s="652">
        <f t="shared" si="34"/>
        <v>0</v>
      </c>
      <c r="N327" s="652">
        <f t="shared" si="41"/>
        <v>0</v>
      </c>
      <c r="O327" s="652">
        <v>-33399.93</v>
      </c>
      <c r="P327" s="685">
        <v>-752787.66229799995</v>
      </c>
      <c r="Q327" s="684">
        <v>0</v>
      </c>
      <c r="R327" s="652">
        <f>SUMIFS(OBE!$H:$H,OBE!$C:$C,'Standalone TB'!$B327,OBE!$B:$B,"A20")</f>
        <v>0</v>
      </c>
      <c r="S327" s="652">
        <f>SUMIFS('Elimination - PL'!I:I,'Elimination - PL'!A:A,"EA20",'Elimination - PL'!D:D,'Standalone TB'!B327)</f>
        <v>0</v>
      </c>
      <c r="T327" s="652">
        <f t="shared" si="36"/>
        <v>0</v>
      </c>
      <c r="U327" s="652">
        <f t="shared" si="42"/>
        <v>0</v>
      </c>
      <c r="V327" s="652">
        <v>0</v>
      </c>
      <c r="W327" s="685">
        <v>0</v>
      </c>
      <c r="X327" s="689">
        <f t="shared" si="38"/>
        <v>0</v>
      </c>
      <c r="Y327" s="689">
        <f t="shared" si="39"/>
        <v>-1170239.662298</v>
      </c>
      <c r="Z327" s="652" t="s">
        <v>730</v>
      </c>
      <c r="AA327" s="652" t="s">
        <v>2266</v>
      </c>
      <c r="AB327" s="666" t="s">
        <v>728</v>
      </c>
      <c r="AD327" s="665"/>
    </row>
    <row r="328" spans="2:30" hidden="1" x14ac:dyDescent="0.2">
      <c r="B328" s="673" t="s">
        <v>1448</v>
      </c>
      <c r="C328" s="666" t="s">
        <v>2305</v>
      </c>
      <c r="D328" s="666" t="s">
        <v>670</v>
      </c>
      <c r="E328" s="684">
        <v>-59294251.859999999</v>
      </c>
      <c r="F328" s="652">
        <f>SUMIFS(OBE!$H:$H,OBE!$C:$C,'Standalone TB'!$B328,OBE!$B:$B,"A21")</f>
        <v>0</v>
      </c>
      <c r="G328" s="652">
        <f>SUMIFS('Elimination - PL'!I:I,'Elimination - PL'!A:A,"EA21",'Elimination - PL'!D:D,'Standalone TB'!B328)</f>
        <v>4022024.48</v>
      </c>
      <c r="H328" s="652">
        <f t="shared" si="40"/>
        <v>-55272227.380000003</v>
      </c>
      <c r="I328" s="652">
        <v>-48669134.379999995</v>
      </c>
      <c r="J328" s="684">
        <v>-2014016.44</v>
      </c>
      <c r="K328" s="652">
        <f>SUMIFS(OBE!$H:$H,OBE!$C:$C,'Standalone TB'!$B328,OBE!$B:$B,"A22")</f>
        <v>0</v>
      </c>
      <c r="L328" s="652">
        <f>SUMIFS('Elimination - PL'!I:I,'Elimination - PL'!A:A,"EA22",'Elimination - PL'!D:D,'Standalone TB'!B328)</f>
        <v>0</v>
      </c>
      <c r="M328" s="652">
        <f t="shared" ref="M328:M391" si="43">SUM(J328:L328)</f>
        <v>-2014016.44</v>
      </c>
      <c r="N328" s="652">
        <f t="shared" si="41"/>
        <v>-46289291.295025602</v>
      </c>
      <c r="O328" s="652">
        <v>-687812.2</v>
      </c>
      <c r="P328" s="685">
        <v>-15502324.050919998</v>
      </c>
      <c r="Q328" s="684">
        <v>0</v>
      </c>
      <c r="R328" s="652">
        <f>SUMIFS(OBE!$H:$H,OBE!$C:$C,'Standalone TB'!$B328,OBE!$B:$B,"A20")</f>
        <v>0</v>
      </c>
      <c r="S328" s="652">
        <f>SUMIFS('Elimination - PL'!I:I,'Elimination - PL'!A:A,"EA20",'Elimination - PL'!D:D,'Standalone TB'!B328)</f>
        <v>0</v>
      </c>
      <c r="T328" s="652">
        <f t="shared" ref="T328:T391" si="44">SUM(Q328:S328)</f>
        <v>0</v>
      </c>
      <c r="U328" s="652">
        <f t="shared" si="42"/>
        <v>0</v>
      </c>
      <c r="V328" s="652">
        <v>0</v>
      </c>
      <c r="W328" s="685">
        <v>0</v>
      </c>
      <c r="X328" s="689">
        <f t="shared" ref="X328:X391" si="45">H328+N328+U328</f>
        <v>-101561518.67502561</v>
      </c>
      <c r="Y328" s="689">
        <f t="shared" ref="Y328:Y391" si="46">I328+P328+W328</f>
        <v>-64171458.43091999</v>
      </c>
      <c r="Z328" s="652" t="s">
        <v>730</v>
      </c>
      <c r="AA328" s="652" t="s">
        <v>2266</v>
      </c>
      <c r="AB328" s="666" t="s">
        <v>728</v>
      </c>
      <c r="AD328" s="665"/>
    </row>
    <row r="329" spans="2:30" hidden="1" x14ac:dyDescent="0.2">
      <c r="B329" s="673" t="s">
        <v>2306</v>
      </c>
      <c r="C329" s="666" t="s">
        <v>2307</v>
      </c>
      <c r="D329" s="666" t="s">
        <v>670</v>
      </c>
      <c r="E329" s="684">
        <v>0</v>
      </c>
      <c r="F329" s="652">
        <f>SUMIFS(OBE!$H:$H,OBE!$C:$C,'Standalone TB'!$B329,OBE!$B:$B,"A21")</f>
        <v>0</v>
      </c>
      <c r="G329" s="652">
        <f>SUMIFS('Elimination - PL'!I:I,'Elimination - PL'!A:A,"EA21",'Elimination - PL'!D:D,'Standalone TB'!B329)</f>
        <v>0</v>
      </c>
      <c r="H329" s="652">
        <f t="shared" si="40"/>
        <v>0</v>
      </c>
      <c r="I329" s="652">
        <v>0</v>
      </c>
      <c r="J329" s="684">
        <v>-3545196.75</v>
      </c>
      <c r="K329" s="652">
        <f>SUMIFS(OBE!$H:$H,OBE!$C:$C,'Standalone TB'!$B329,OBE!$B:$B,"A22")</f>
        <v>0</v>
      </c>
      <c r="L329" s="652">
        <f>SUMIFS('Elimination - PL'!I:I,'Elimination - PL'!A:A,"EA22",'Elimination - PL'!D:D,'Standalone TB'!B329)</f>
        <v>0</v>
      </c>
      <c r="M329" s="652">
        <f t="shared" si="43"/>
        <v>-3545196.75</v>
      </c>
      <c r="N329" s="652">
        <f t="shared" si="41"/>
        <v>-81481283.766942859</v>
      </c>
      <c r="O329" s="652">
        <v>-174000</v>
      </c>
      <c r="P329" s="685">
        <v>-3921716.4</v>
      </c>
      <c r="Q329" s="684">
        <v>0</v>
      </c>
      <c r="R329" s="652">
        <f>SUMIFS(OBE!$H:$H,OBE!$C:$C,'Standalone TB'!$B329,OBE!$B:$B,"A20")</f>
        <v>0</v>
      </c>
      <c r="S329" s="652">
        <f>SUMIFS('Elimination - PL'!I:I,'Elimination - PL'!A:A,"EA20",'Elimination - PL'!D:D,'Standalone TB'!B329)</f>
        <v>0</v>
      </c>
      <c r="T329" s="652">
        <f t="shared" si="44"/>
        <v>0</v>
      </c>
      <c r="U329" s="652">
        <f t="shared" si="42"/>
        <v>0</v>
      </c>
      <c r="V329" s="652">
        <v>0</v>
      </c>
      <c r="W329" s="685">
        <v>0</v>
      </c>
      <c r="X329" s="689">
        <f t="shared" si="45"/>
        <v>-81481283.766942859</v>
      </c>
      <c r="Y329" s="689">
        <f t="shared" si="46"/>
        <v>-3921716.4</v>
      </c>
      <c r="Z329" s="652" t="s">
        <v>730</v>
      </c>
      <c r="AA329" s="652" t="s">
        <v>2266</v>
      </c>
      <c r="AB329" s="666" t="s">
        <v>728</v>
      </c>
      <c r="AD329" s="665"/>
    </row>
    <row r="330" spans="2:30" hidden="1" x14ac:dyDescent="0.2">
      <c r="B330" s="673" t="s">
        <v>2308</v>
      </c>
      <c r="C330" s="666" t="s">
        <v>2309</v>
      </c>
      <c r="D330" s="666" t="s">
        <v>670</v>
      </c>
      <c r="E330" s="684">
        <v>0</v>
      </c>
      <c r="F330" s="652">
        <f>SUMIFS(OBE!$H:$H,OBE!$C:$C,'Standalone TB'!$B330,OBE!$B:$B,"A21")</f>
        <v>0</v>
      </c>
      <c r="G330" s="652">
        <f>SUMIFS('Elimination - PL'!I:I,'Elimination - PL'!A:A,"EA21",'Elimination - PL'!D:D,'Standalone TB'!B330)</f>
        <v>0</v>
      </c>
      <c r="H330" s="652">
        <f t="shared" si="40"/>
        <v>0</v>
      </c>
      <c r="I330" s="652">
        <v>0</v>
      </c>
      <c r="J330" s="684">
        <v>0</v>
      </c>
      <c r="K330" s="652">
        <f>SUMIFS(OBE!$H:$H,OBE!$C:$C,'Standalone TB'!$B330,OBE!$B:$B,"A22")</f>
        <v>0</v>
      </c>
      <c r="L330" s="652">
        <f>SUMIFS('Elimination - PL'!I:I,'Elimination - PL'!A:A,"EA22",'Elimination - PL'!D:D,'Standalone TB'!B330)</f>
        <v>0</v>
      </c>
      <c r="M330" s="652">
        <f t="shared" si="43"/>
        <v>0</v>
      </c>
      <c r="N330" s="652">
        <f t="shared" si="41"/>
        <v>0</v>
      </c>
      <c r="O330" s="652">
        <v>0</v>
      </c>
      <c r="P330" s="685">
        <v>0</v>
      </c>
      <c r="Q330" s="684">
        <v>0</v>
      </c>
      <c r="R330" s="652">
        <f>SUMIFS(OBE!$H:$H,OBE!$C:$C,'Standalone TB'!$B330,OBE!$B:$B,"A20")</f>
        <v>0</v>
      </c>
      <c r="S330" s="652">
        <f>SUMIFS('Elimination - PL'!I:I,'Elimination - PL'!A:A,"EA20",'Elimination - PL'!D:D,'Standalone TB'!B330)</f>
        <v>0</v>
      </c>
      <c r="T330" s="652">
        <f t="shared" si="44"/>
        <v>0</v>
      </c>
      <c r="U330" s="652">
        <f t="shared" si="42"/>
        <v>0</v>
      </c>
      <c r="V330" s="652">
        <v>0</v>
      </c>
      <c r="W330" s="685">
        <v>0</v>
      </c>
      <c r="X330" s="689">
        <f t="shared" si="45"/>
        <v>0</v>
      </c>
      <c r="Y330" s="689">
        <f t="shared" si="46"/>
        <v>0</v>
      </c>
      <c r="Z330" s="652"/>
      <c r="AA330" s="652" t="s">
        <v>2266</v>
      </c>
      <c r="AB330" s="666" t="s">
        <v>150</v>
      </c>
      <c r="AD330" s="665"/>
    </row>
    <row r="331" spans="2:30" hidden="1" x14ac:dyDescent="0.2">
      <c r="B331" s="673" t="s">
        <v>2310</v>
      </c>
      <c r="C331" s="666" t="s">
        <v>2311</v>
      </c>
      <c r="D331" s="666" t="s">
        <v>670</v>
      </c>
      <c r="E331" s="684">
        <v>0</v>
      </c>
      <c r="F331" s="652">
        <f>SUMIFS(OBE!$H:$H,OBE!$C:$C,'Standalone TB'!$B331,OBE!$B:$B,"A21")</f>
        <v>0</v>
      </c>
      <c r="G331" s="652">
        <f>SUMIFS('Elimination - PL'!I:I,'Elimination - PL'!A:A,"EA21",'Elimination - PL'!D:D,'Standalone TB'!B331)</f>
        <v>0</v>
      </c>
      <c r="H331" s="652">
        <f t="shared" si="40"/>
        <v>0</v>
      </c>
      <c r="I331" s="652">
        <v>0</v>
      </c>
      <c r="J331" s="684">
        <v>0</v>
      </c>
      <c r="K331" s="652">
        <f>SUMIFS(OBE!$H:$H,OBE!$C:$C,'Standalone TB'!$B331,OBE!$B:$B,"A22")</f>
        <v>0</v>
      </c>
      <c r="L331" s="652">
        <f>SUMIFS('Elimination - PL'!I:I,'Elimination - PL'!A:A,"EA22",'Elimination - PL'!D:D,'Standalone TB'!B331)</f>
        <v>0</v>
      </c>
      <c r="M331" s="652">
        <f t="shared" si="43"/>
        <v>0</v>
      </c>
      <c r="N331" s="652">
        <f t="shared" si="41"/>
        <v>0</v>
      </c>
      <c r="O331" s="652">
        <v>0</v>
      </c>
      <c r="P331" s="685">
        <v>0</v>
      </c>
      <c r="Q331" s="684">
        <v>0</v>
      </c>
      <c r="R331" s="652">
        <f>SUMIFS(OBE!$H:$H,OBE!$C:$C,'Standalone TB'!$B331,OBE!$B:$B,"A20")</f>
        <v>0</v>
      </c>
      <c r="S331" s="652">
        <f>SUMIFS('Elimination - PL'!I:I,'Elimination - PL'!A:A,"EA20",'Elimination - PL'!D:D,'Standalone TB'!B331)</f>
        <v>0</v>
      </c>
      <c r="T331" s="652">
        <f t="shared" si="44"/>
        <v>0</v>
      </c>
      <c r="U331" s="652">
        <f t="shared" si="42"/>
        <v>0</v>
      </c>
      <c r="V331" s="652">
        <v>0</v>
      </c>
      <c r="W331" s="685">
        <v>0</v>
      </c>
      <c r="X331" s="689">
        <f t="shared" si="45"/>
        <v>0</v>
      </c>
      <c r="Y331" s="689">
        <f t="shared" si="46"/>
        <v>0</v>
      </c>
      <c r="Z331" s="652"/>
      <c r="AA331" s="652" t="s">
        <v>2266</v>
      </c>
      <c r="AB331" s="666" t="s">
        <v>150</v>
      </c>
      <c r="AD331" s="665"/>
    </row>
    <row r="332" spans="2:30" hidden="1" x14ac:dyDescent="0.2">
      <c r="B332" s="673" t="s">
        <v>2312</v>
      </c>
      <c r="C332" s="666" t="s">
        <v>2313</v>
      </c>
      <c r="D332" s="666" t="s">
        <v>670</v>
      </c>
      <c r="E332" s="684">
        <v>0</v>
      </c>
      <c r="F332" s="652">
        <f>SUMIFS(OBE!$H:$H,OBE!$C:$C,'Standalone TB'!$B332,OBE!$B:$B,"A21")</f>
        <v>0</v>
      </c>
      <c r="G332" s="652">
        <f>SUMIFS('Elimination - PL'!I:I,'Elimination - PL'!A:A,"EA21",'Elimination - PL'!D:D,'Standalone TB'!B332)</f>
        <v>0</v>
      </c>
      <c r="H332" s="652">
        <f t="shared" si="40"/>
        <v>0</v>
      </c>
      <c r="I332" s="652">
        <v>0</v>
      </c>
      <c r="J332" s="684">
        <v>0</v>
      </c>
      <c r="K332" s="652">
        <f>SUMIFS(OBE!$H:$H,OBE!$C:$C,'Standalone TB'!$B332,OBE!$B:$B,"A22")</f>
        <v>0</v>
      </c>
      <c r="L332" s="652">
        <f>SUMIFS('Elimination - PL'!I:I,'Elimination - PL'!A:A,"EA22",'Elimination - PL'!D:D,'Standalone TB'!B332)</f>
        <v>0</v>
      </c>
      <c r="M332" s="652">
        <f t="shared" si="43"/>
        <v>0</v>
      </c>
      <c r="N332" s="652">
        <f t="shared" si="41"/>
        <v>0</v>
      </c>
      <c r="O332" s="652">
        <v>0</v>
      </c>
      <c r="P332" s="685">
        <v>0</v>
      </c>
      <c r="Q332" s="684">
        <v>0</v>
      </c>
      <c r="R332" s="652">
        <f>SUMIFS(OBE!$H:$H,OBE!$C:$C,'Standalone TB'!$B332,OBE!$B:$B,"A20")</f>
        <v>0</v>
      </c>
      <c r="S332" s="652">
        <f>SUMIFS('Elimination - PL'!I:I,'Elimination - PL'!A:A,"EA20",'Elimination - PL'!D:D,'Standalone TB'!B332)</f>
        <v>0</v>
      </c>
      <c r="T332" s="652">
        <f t="shared" si="44"/>
        <v>0</v>
      </c>
      <c r="U332" s="652">
        <f t="shared" si="42"/>
        <v>0</v>
      </c>
      <c r="V332" s="652">
        <v>0</v>
      </c>
      <c r="W332" s="685">
        <v>0</v>
      </c>
      <c r="X332" s="689">
        <f t="shared" si="45"/>
        <v>0</v>
      </c>
      <c r="Y332" s="689">
        <f t="shared" si="46"/>
        <v>0</v>
      </c>
      <c r="Z332" s="652"/>
      <c r="AA332" s="666" t="s">
        <v>152</v>
      </c>
      <c r="AB332" s="666" t="s">
        <v>2314</v>
      </c>
      <c r="AD332" s="665"/>
    </row>
    <row r="333" spans="2:30" hidden="1" x14ac:dyDescent="0.2">
      <c r="B333" s="673" t="s">
        <v>2315</v>
      </c>
      <c r="C333" s="666" t="s">
        <v>2313</v>
      </c>
      <c r="D333" s="666" t="s">
        <v>670</v>
      </c>
      <c r="E333" s="684">
        <v>0</v>
      </c>
      <c r="F333" s="652">
        <f>SUMIFS(OBE!$H:$H,OBE!$C:$C,'Standalone TB'!$B333,OBE!$B:$B,"A21")</f>
        <v>0</v>
      </c>
      <c r="G333" s="652">
        <f>SUMIFS('Elimination - PL'!I:I,'Elimination - PL'!A:A,"EA21",'Elimination - PL'!D:D,'Standalone TB'!B333)</f>
        <v>0</v>
      </c>
      <c r="H333" s="652">
        <f t="shared" si="40"/>
        <v>0</v>
      </c>
      <c r="I333" s="652">
        <v>0</v>
      </c>
      <c r="J333" s="684">
        <v>0</v>
      </c>
      <c r="K333" s="652">
        <f>SUMIFS(OBE!$H:$H,OBE!$C:$C,'Standalone TB'!$B333,OBE!$B:$B,"A22")</f>
        <v>0</v>
      </c>
      <c r="L333" s="652">
        <f>SUMIFS('Elimination - PL'!I:I,'Elimination - PL'!A:A,"EA22",'Elimination - PL'!D:D,'Standalone TB'!B333)</f>
        <v>0</v>
      </c>
      <c r="M333" s="652">
        <f t="shared" si="43"/>
        <v>0</v>
      </c>
      <c r="N333" s="652">
        <f t="shared" si="41"/>
        <v>0</v>
      </c>
      <c r="O333" s="652">
        <v>0</v>
      </c>
      <c r="P333" s="685">
        <v>0</v>
      </c>
      <c r="Q333" s="684">
        <v>0</v>
      </c>
      <c r="R333" s="652">
        <f>SUMIFS(OBE!$H:$H,OBE!$C:$C,'Standalone TB'!$B333,OBE!$B:$B,"A20")</f>
        <v>0</v>
      </c>
      <c r="S333" s="652">
        <f>SUMIFS('Elimination - PL'!I:I,'Elimination - PL'!A:A,"EA20",'Elimination - PL'!D:D,'Standalone TB'!B333)</f>
        <v>0</v>
      </c>
      <c r="T333" s="652">
        <f t="shared" si="44"/>
        <v>0</v>
      </c>
      <c r="U333" s="652">
        <f t="shared" si="42"/>
        <v>0</v>
      </c>
      <c r="V333" s="652">
        <v>0</v>
      </c>
      <c r="W333" s="685">
        <v>0</v>
      </c>
      <c r="X333" s="689">
        <f t="shared" si="45"/>
        <v>0</v>
      </c>
      <c r="Y333" s="689">
        <f t="shared" si="46"/>
        <v>0</v>
      </c>
      <c r="Z333" s="652"/>
      <c r="AA333" s="666" t="s">
        <v>152</v>
      </c>
      <c r="AB333" s="666" t="s">
        <v>2314</v>
      </c>
      <c r="AD333" s="665"/>
    </row>
    <row r="334" spans="2:30" hidden="1" x14ac:dyDescent="0.2">
      <c r="B334" s="673" t="s">
        <v>2316</v>
      </c>
      <c r="C334" s="666" t="s">
        <v>2317</v>
      </c>
      <c r="D334" s="666" t="s">
        <v>670</v>
      </c>
      <c r="E334" s="684">
        <v>0</v>
      </c>
      <c r="F334" s="652">
        <f>SUMIFS(OBE!$H:$H,OBE!$C:$C,'Standalone TB'!$B334,OBE!$B:$B,"A21")</f>
        <v>0</v>
      </c>
      <c r="G334" s="652">
        <f>SUMIFS('Elimination - PL'!I:I,'Elimination - PL'!A:A,"EA21",'Elimination - PL'!D:D,'Standalone TB'!B334)</f>
        <v>0</v>
      </c>
      <c r="H334" s="652">
        <f t="shared" si="40"/>
        <v>0</v>
      </c>
      <c r="I334" s="652">
        <v>0</v>
      </c>
      <c r="J334" s="684">
        <v>0</v>
      </c>
      <c r="K334" s="652">
        <f>SUMIFS(OBE!$H:$H,OBE!$C:$C,'Standalone TB'!$B334,OBE!$B:$B,"A22")</f>
        <v>0</v>
      </c>
      <c r="L334" s="652">
        <f>SUMIFS('Elimination - PL'!I:I,'Elimination - PL'!A:A,"EA22",'Elimination - PL'!D:D,'Standalone TB'!B334)</f>
        <v>0</v>
      </c>
      <c r="M334" s="652">
        <f t="shared" si="43"/>
        <v>0</v>
      </c>
      <c r="N334" s="652">
        <f t="shared" si="41"/>
        <v>0</v>
      </c>
      <c r="O334" s="652">
        <v>0</v>
      </c>
      <c r="P334" s="685">
        <v>0</v>
      </c>
      <c r="Q334" s="684">
        <v>0</v>
      </c>
      <c r="R334" s="652">
        <f>SUMIFS(OBE!$H:$H,OBE!$C:$C,'Standalone TB'!$B334,OBE!$B:$B,"A20")</f>
        <v>0</v>
      </c>
      <c r="S334" s="652">
        <f>SUMIFS('Elimination - PL'!I:I,'Elimination - PL'!A:A,"EA20",'Elimination - PL'!D:D,'Standalone TB'!B334)</f>
        <v>0</v>
      </c>
      <c r="T334" s="652">
        <f t="shared" si="44"/>
        <v>0</v>
      </c>
      <c r="U334" s="652">
        <f t="shared" si="42"/>
        <v>0</v>
      </c>
      <c r="V334" s="652">
        <v>0</v>
      </c>
      <c r="W334" s="685">
        <v>0</v>
      </c>
      <c r="X334" s="689">
        <f t="shared" si="45"/>
        <v>0</v>
      </c>
      <c r="Y334" s="689">
        <f t="shared" si="46"/>
        <v>0</v>
      </c>
      <c r="Z334" s="666" t="s">
        <v>782</v>
      </c>
      <c r="AA334" s="666" t="s">
        <v>152</v>
      </c>
      <c r="AB334" s="666" t="s">
        <v>2318</v>
      </c>
      <c r="AD334" s="665"/>
    </row>
    <row r="335" spans="2:30" hidden="1" x14ac:dyDescent="0.2">
      <c r="B335" s="673" t="s">
        <v>2319</v>
      </c>
      <c r="C335" s="666" t="s">
        <v>2320</v>
      </c>
      <c r="D335" s="666" t="s">
        <v>670</v>
      </c>
      <c r="E335" s="684">
        <v>0</v>
      </c>
      <c r="F335" s="652">
        <f>SUMIFS(OBE!$H:$H,OBE!$C:$C,'Standalone TB'!$B335,OBE!$B:$B,"A21")</f>
        <v>0</v>
      </c>
      <c r="G335" s="652">
        <f>SUMIFS('Elimination - PL'!I:I,'Elimination - PL'!A:A,"EA21",'Elimination - PL'!D:D,'Standalone TB'!B335)</f>
        <v>0</v>
      </c>
      <c r="H335" s="652">
        <f t="shared" si="40"/>
        <v>0</v>
      </c>
      <c r="I335" s="652">
        <v>0</v>
      </c>
      <c r="J335" s="684">
        <v>0</v>
      </c>
      <c r="K335" s="652">
        <f>SUMIFS(OBE!$H:$H,OBE!$C:$C,'Standalone TB'!$B335,OBE!$B:$B,"A22")</f>
        <v>0</v>
      </c>
      <c r="L335" s="652">
        <f>SUMIFS('Elimination - PL'!I:I,'Elimination - PL'!A:A,"EA22",'Elimination - PL'!D:D,'Standalone TB'!B335)</f>
        <v>0</v>
      </c>
      <c r="M335" s="652">
        <f t="shared" si="43"/>
        <v>0</v>
      </c>
      <c r="N335" s="652">
        <f t="shared" si="41"/>
        <v>0</v>
      </c>
      <c r="O335" s="652">
        <v>0</v>
      </c>
      <c r="P335" s="685">
        <v>0</v>
      </c>
      <c r="Q335" s="684">
        <v>0</v>
      </c>
      <c r="R335" s="652">
        <f>SUMIFS(OBE!$H:$H,OBE!$C:$C,'Standalone TB'!$B335,OBE!$B:$B,"A20")</f>
        <v>0</v>
      </c>
      <c r="S335" s="652">
        <f>SUMIFS('Elimination - PL'!I:I,'Elimination - PL'!A:A,"EA20",'Elimination - PL'!D:D,'Standalone TB'!B335)</f>
        <v>0</v>
      </c>
      <c r="T335" s="652">
        <f t="shared" si="44"/>
        <v>0</v>
      </c>
      <c r="U335" s="652">
        <f t="shared" si="42"/>
        <v>0</v>
      </c>
      <c r="V335" s="652">
        <v>0</v>
      </c>
      <c r="W335" s="685">
        <v>0</v>
      </c>
      <c r="X335" s="689">
        <f t="shared" si="45"/>
        <v>0</v>
      </c>
      <c r="Y335" s="689">
        <f t="shared" si="46"/>
        <v>0</v>
      </c>
      <c r="Z335" s="666" t="s">
        <v>782</v>
      </c>
      <c r="AA335" s="666" t="s">
        <v>152</v>
      </c>
      <c r="AB335" s="666" t="s">
        <v>2318</v>
      </c>
      <c r="AD335" s="652" t="s">
        <v>2321</v>
      </c>
    </row>
    <row r="336" spans="2:30" hidden="1" x14ac:dyDescent="0.2">
      <c r="B336" s="673" t="s">
        <v>2322</v>
      </c>
      <c r="C336" s="666" t="s">
        <v>2323</v>
      </c>
      <c r="D336" s="666" t="s">
        <v>670</v>
      </c>
      <c r="E336" s="684">
        <v>11613016.800000001</v>
      </c>
      <c r="F336" s="652">
        <f>SUMIFS(OBE!$H:$H,OBE!$C:$C,'Standalone TB'!$B336,OBE!$B:$B,"A21")</f>
        <v>1037300.9</v>
      </c>
      <c r="G336" s="652">
        <f>SUMIFS('Elimination - PL'!I:I,'Elimination - PL'!A:A,"EA21",'Elimination - PL'!D:D,'Standalone TB'!B336)</f>
        <v>0</v>
      </c>
      <c r="H336" s="652">
        <f t="shared" si="40"/>
        <v>12650317.700000001</v>
      </c>
      <c r="I336" s="652">
        <v>26347812.870000005</v>
      </c>
      <c r="J336" s="684">
        <v>0</v>
      </c>
      <c r="K336" s="652">
        <f>SUMIFS(OBE!$H:$H,OBE!$C:$C,'Standalone TB'!$B336,OBE!$B:$B,"A22")</f>
        <v>0</v>
      </c>
      <c r="L336" s="652">
        <f>SUMIFS('Elimination - PL'!I:I,'Elimination - PL'!A:A,"EA22",'Elimination - PL'!D:D,'Standalone TB'!B336)</f>
        <v>0</v>
      </c>
      <c r="M336" s="652">
        <f t="shared" si="43"/>
        <v>0</v>
      </c>
      <c r="N336" s="652">
        <f t="shared" si="41"/>
        <v>0</v>
      </c>
      <c r="O336" s="652">
        <v>0</v>
      </c>
      <c r="P336" s="685">
        <v>0</v>
      </c>
      <c r="Q336" s="684">
        <v>0</v>
      </c>
      <c r="R336" s="652">
        <f>SUMIFS(OBE!$H:$H,OBE!$C:$C,'Standalone TB'!$B336,OBE!$B:$B,"A20")</f>
        <v>0</v>
      </c>
      <c r="S336" s="652">
        <f>SUMIFS('Elimination - PL'!I:I,'Elimination - PL'!A:A,"EA20",'Elimination - PL'!D:D,'Standalone TB'!B336)</f>
        <v>0</v>
      </c>
      <c r="T336" s="652">
        <f t="shared" si="44"/>
        <v>0</v>
      </c>
      <c r="U336" s="652">
        <f t="shared" si="42"/>
        <v>0</v>
      </c>
      <c r="V336" s="652">
        <v>0</v>
      </c>
      <c r="W336" s="685">
        <v>0</v>
      </c>
      <c r="X336" s="689">
        <f t="shared" si="45"/>
        <v>12650317.700000001</v>
      </c>
      <c r="Y336" s="689">
        <f t="shared" si="46"/>
        <v>26347812.870000005</v>
      </c>
      <c r="Z336" s="666" t="s">
        <v>782</v>
      </c>
      <c r="AA336" s="666" t="s">
        <v>152</v>
      </c>
      <c r="AB336" s="666" t="s">
        <v>2318</v>
      </c>
      <c r="AD336" s="652" t="s">
        <v>2324</v>
      </c>
    </row>
    <row r="337" spans="2:30" hidden="1" x14ac:dyDescent="0.2">
      <c r="B337" s="673" t="s">
        <v>2325</v>
      </c>
      <c r="C337" s="666" t="s">
        <v>2326</v>
      </c>
      <c r="D337" s="666" t="s">
        <v>670</v>
      </c>
      <c r="E337" s="684">
        <v>0</v>
      </c>
      <c r="F337" s="652">
        <f>SUMIFS(OBE!$H:$H,OBE!$C:$C,'Standalone TB'!$B337,OBE!$B:$B,"A21")</f>
        <v>0</v>
      </c>
      <c r="G337" s="652">
        <f>SUMIFS('Elimination - PL'!I:I,'Elimination - PL'!A:A,"EA21",'Elimination - PL'!D:D,'Standalone TB'!B337)</f>
        <v>0</v>
      </c>
      <c r="H337" s="652">
        <f t="shared" si="40"/>
        <v>0</v>
      </c>
      <c r="I337" s="652">
        <v>0</v>
      </c>
      <c r="J337" s="684">
        <v>2486654.9699999997</v>
      </c>
      <c r="K337" s="652">
        <f>SUMIFS(OBE!$H:$H,OBE!$C:$C,'Standalone TB'!$B337,OBE!$B:$B,"A22")</f>
        <v>0</v>
      </c>
      <c r="L337" s="652">
        <f>SUMIFS('Elimination - PL'!I:I,'Elimination - PL'!A:A,"EA22",'Elimination - PL'!D:D,'Standalone TB'!B337)</f>
        <v>0</v>
      </c>
      <c r="M337" s="652">
        <f t="shared" si="43"/>
        <v>2486654.9699999997</v>
      </c>
      <c r="N337" s="652">
        <f>M337*$O$3</f>
        <v>57152212.847156867</v>
      </c>
      <c r="O337" s="652">
        <v>1916926.95</v>
      </c>
      <c r="P337" s="685">
        <v>43204849.755269997</v>
      </c>
      <c r="Q337" s="684">
        <v>0</v>
      </c>
      <c r="R337" s="652">
        <f>SUMIFS(OBE!$H:$H,OBE!$C:$C,'Standalone TB'!$B337,OBE!$B:$B,"A20")</f>
        <v>0</v>
      </c>
      <c r="S337" s="652">
        <f>SUMIFS('Elimination - PL'!I:I,'Elimination - PL'!A:A,"EA20",'Elimination - PL'!D:D,'Standalone TB'!B337)</f>
        <v>0</v>
      </c>
      <c r="T337" s="652">
        <f t="shared" si="44"/>
        <v>0</v>
      </c>
      <c r="U337" s="652">
        <f t="shared" si="42"/>
        <v>0</v>
      </c>
      <c r="V337" s="652">
        <v>0</v>
      </c>
      <c r="W337" s="685">
        <v>0</v>
      </c>
      <c r="X337" s="689">
        <f t="shared" si="45"/>
        <v>57152212.847156867</v>
      </c>
      <c r="Y337" s="689">
        <f t="shared" si="46"/>
        <v>43204849.755269997</v>
      </c>
      <c r="Z337" s="666" t="s">
        <v>782</v>
      </c>
      <c r="AA337" s="666" t="s">
        <v>152</v>
      </c>
      <c r="AB337" s="666" t="s">
        <v>2318</v>
      </c>
      <c r="AD337" s="665"/>
    </row>
    <row r="338" spans="2:30" hidden="1" x14ac:dyDescent="0.2">
      <c r="B338" s="673" t="s">
        <v>2327</v>
      </c>
      <c r="C338" s="666" t="s">
        <v>2328</v>
      </c>
      <c r="D338" s="666" t="s">
        <v>670</v>
      </c>
      <c r="E338" s="684">
        <v>0</v>
      </c>
      <c r="F338" s="652">
        <f>SUMIFS(OBE!$H:$H,OBE!$C:$C,'Standalone TB'!$B338,OBE!$B:$B,"A21")</f>
        <v>0</v>
      </c>
      <c r="G338" s="652">
        <f>SUMIFS('Elimination - PL'!I:I,'Elimination - PL'!A:A,"EA21",'Elimination - PL'!D:D,'Standalone TB'!B338)</f>
        <v>0</v>
      </c>
      <c r="H338" s="652">
        <f t="shared" si="40"/>
        <v>0</v>
      </c>
      <c r="I338" s="652">
        <v>0</v>
      </c>
      <c r="J338" s="684">
        <v>0</v>
      </c>
      <c r="K338" s="652">
        <f>SUMIFS(OBE!$H:$H,OBE!$C:$C,'Standalone TB'!$B338,OBE!$B:$B,"A22")</f>
        <v>0</v>
      </c>
      <c r="L338" s="652">
        <f>SUMIFS('Elimination - PL'!I:I,'Elimination - PL'!A:A,"EA22",'Elimination - PL'!D:D,'Standalone TB'!B338)</f>
        <v>0</v>
      </c>
      <c r="M338" s="652">
        <f t="shared" si="43"/>
        <v>0</v>
      </c>
      <c r="N338" s="652">
        <f t="shared" si="41"/>
        <v>0</v>
      </c>
      <c r="O338" s="652">
        <v>0</v>
      </c>
      <c r="P338" s="685">
        <v>0</v>
      </c>
      <c r="Q338" s="684">
        <v>0</v>
      </c>
      <c r="R338" s="652">
        <f>SUMIFS(OBE!$H:$H,OBE!$C:$C,'Standalone TB'!$B338,OBE!$B:$B,"A20")</f>
        <v>0</v>
      </c>
      <c r="S338" s="652">
        <f>SUMIFS('Elimination - PL'!I:I,'Elimination - PL'!A:A,"EA20",'Elimination - PL'!D:D,'Standalone TB'!B338)</f>
        <v>0</v>
      </c>
      <c r="T338" s="652">
        <f t="shared" si="44"/>
        <v>0</v>
      </c>
      <c r="U338" s="652">
        <f t="shared" si="42"/>
        <v>0</v>
      </c>
      <c r="V338" s="652">
        <v>0</v>
      </c>
      <c r="W338" s="685">
        <v>0</v>
      </c>
      <c r="X338" s="689">
        <f t="shared" si="45"/>
        <v>0</v>
      </c>
      <c r="Y338" s="689">
        <f t="shared" si="46"/>
        <v>0</v>
      </c>
      <c r="Z338" s="666" t="s">
        <v>782</v>
      </c>
      <c r="AA338" s="666" t="s">
        <v>152</v>
      </c>
      <c r="AB338" s="666" t="s">
        <v>2318</v>
      </c>
      <c r="AD338" s="665"/>
    </row>
    <row r="339" spans="2:30" hidden="1" x14ac:dyDescent="0.2">
      <c r="B339" s="673" t="s">
        <v>2329</v>
      </c>
      <c r="C339" s="666" t="s">
        <v>2330</v>
      </c>
      <c r="D339" s="666" t="s">
        <v>670</v>
      </c>
      <c r="E339" s="684">
        <v>0</v>
      </c>
      <c r="F339" s="652">
        <f>SUMIFS(OBE!$H:$H,OBE!$C:$C,'Standalone TB'!$B339,OBE!$B:$B,"A21")</f>
        <v>0</v>
      </c>
      <c r="G339" s="652">
        <f>SUMIFS('Elimination - PL'!I:I,'Elimination - PL'!A:A,"EA21",'Elimination - PL'!D:D,'Standalone TB'!B339)</f>
        <v>0</v>
      </c>
      <c r="H339" s="652">
        <f t="shared" si="40"/>
        <v>0</v>
      </c>
      <c r="I339" s="652">
        <v>0</v>
      </c>
      <c r="J339" s="684">
        <v>2945869.0300000003</v>
      </c>
      <c r="K339" s="652">
        <f>SUMIFS(OBE!$H:$H,OBE!$C:$C,'Standalone TB'!$B339,OBE!$B:$B,"A22")</f>
        <v>471758.62</v>
      </c>
      <c r="L339" s="652">
        <f>SUMIFS('Elimination - PL'!I:I,'Elimination - PL'!A:A,"EA22",'Elimination - PL'!D:D,'Standalone TB'!B339)</f>
        <v>0</v>
      </c>
      <c r="M339" s="652">
        <f t="shared" si="43"/>
        <v>3417627.6500000004</v>
      </c>
      <c r="N339" s="652">
        <f t="shared" si="41"/>
        <v>78549290.207772002</v>
      </c>
      <c r="O339" s="652">
        <v>3614608.3</v>
      </c>
      <c r="P339" s="685">
        <v>81468210.63037999</v>
      </c>
      <c r="Q339" s="684">
        <v>0</v>
      </c>
      <c r="R339" s="652">
        <f>SUMIFS(OBE!$H:$H,OBE!$C:$C,'Standalone TB'!$B339,OBE!$B:$B,"A20")</f>
        <v>0</v>
      </c>
      <c r="S339" s="652">
        <f>SUMIFS('Elimination - PL'!I:I,'Elimination - PL'!A:A,"EA20",'Elimination - PL'!D:D,'Standalone TB'!B339)</f>
        <v>0</v>
      </c>
      <c r="T339" s="652">
        <f t="shared" si="44"/>
        <v>0</v>
      </c>
      <c r="U339" s="652">
        <f t="shared" si="42"/>
        <v>0</v>
      </c>
      <c r="V339" s="652">
        <v>0</v>
      </c>
      <c r="W339" s="685">
        <v>0</v>
      </c>
      <c r="X339" s="689">
        <f t="shared" si="45"/>
        <v>78549290.207772002</v>
      </c>
      <c r="Y339" s="689">
        <f t="shared" si="46"/>
        <v>81468210.63037999</v>
      </c>
      <c r="Z339" s="666" t="s">
        <v>782</v>
      </c>
      <c r="AA339" s="666" t="s">
        <v>152</v>
      </c>
      <c r="AB339" s="666" t="s">
        <v>2318</v>
      </c>
      <c r="AD339" s="665"/>
    </row>
    <row r="340" spans="2:30" hidden="1" x14ac:dyDescent="0.2">
      <c r="B340" s="673" t="s">
        <v>2331</v>
      </c>
      <c r="C340" s="666" t="s">
        <v>2332</v>
      </c>
      <c r="D340" s="666" t="s">
        <v>670</v>
      </c>
      <c r="E340" s="684">
        <v>0</v>
      </c>
      <c r="F340" s="652">
        <f>SUMIFS(OBE!$H:$H,OBE!$C:$C,'Standalone TB'!$B340,OBE!$B:$B,"A21")</f>
        <v>0</v>
      </c>
      <c r="G340" s="652">
        <f>SUMIFS('Elimination - PL'!I:I,'Elimination - PL'!A:A,"EA21",'Elimination - PL'!D:D,'Standalone TB'!B340)</f>
        <v>0</v>
      </c>
      <c r="H340" s="652">
        <f t="shared" si="40"/>
        <v>0</v>
      </c>
      <c r="I340" s="652">
        <v>0</v>
      </c>
      <c r="J340" s="684">
        <v>0</v>
      </c>
      <c r="K340" s="652">
        <f>SUMIFS(OBE!$H:$H,OBE!$C:$C,'Standalone TB'!$B340,OBE!$B:$B,"A22")</f>
        <v>0</v>
      </c>
      <c r="L340" s="652">
        <f>SUMIFS('Elimination - PL'!I:I,'Elimination - PL'!A:A,"EA22",'Elimination - PL'!D:D,'Standalone TB'!B340)</f>
        <v>0</v>
      </c>
      <c r="M340" s="652">
        <f t="shared" si="43"/>
        <v>0</v>
      </c>
      <c r="N340" s="652">
        <f t="shared" si="41"/>
        <v>0</v>
      </c>
      <c r="O340" s="652">
        <v>0</v>
      </c>
      <c r="P340" s="685">
        <v>0</v>
      </c>
      <c r="Q340" s="684">
        <v>0</v>
      </c>
      <c r="R340" s="652">
        <f>SUMIFS(OBE!$H:$H,OBE!$C:$C,'Standalone TB'!$B340,OBE!$B:$B,"A20")</f>
        <v>0</v>
      </c>
      <c r="S340" s="652">
        <f>SUMIFS('Elimination - PL'!I:I,'Elimination - PL'!A:A,"EA20",'Elimination - PL'!D:D,'Standalone TB'!B340)</f>
        <v>0</v>
      </c>
      <c r="T340" s="652">
        <f t="shared" si="44"/>
        <v>0</v>
      </c>
      <c r="U340" s="652">
        <f t="shared" si="42"/>
        <v>0</v>
      </c>
      <c r="V340" s="652">
        <v>0</v>
      </c>
      <c r="W340" s="685">
        <v>0</v>
      </c>
      <c r="X340" s="689">
        <f t="shared" si="45"/>
        <v>0</v>
      </c>
      <c r="Y340" s="689">
        <f t="shared" si="46"/>
        <v>0</v>
      </c>
      <c r="Z340" s="666" t="s">
        <v>782</v>
      </c>
      <c r="AA340" s="666" t="s">
        <v>152</v>
      </c>
      <c r="AB340" s="666" t="s">
        <v>2318</v>
      </c>
      <c r="AD340" s="665"/>
    </row>
    <row r="341" spans="2:30" hidden="1" x14ac:dyDescent="0.2">
      <c r="B341" s="673" t="s">
        <v>2333</v>
      </c>
      <c r="C341" s="666" t="s">
        <v>2334</v>
      </c>
      <c r="D341" s="666" t="s">
        <v>670</v>
      </c>
      <c r="E341" s="684">
        <v>0</v>
      </c>
      <c r="F341" s="652">
        <f>SUMIFS(OBE!$H:$H,OBE!$C:$C,'Standalone TB'!$B341,OBE!$B:$B,"A21")</f>
        <v>0</v>
      </c>
      <c r="G341" s="652">
        <f>SUMIFS('Elimination - PL'!I:I,'Elimination - PL'!A:A,"EA21",'Elimination - PL'!D:D,'Standalone TB'!B341)</f>
        <v>0</v>
      </c>
      <c r="H341" s="652">
        <f t="shared" si="40"/>
        <v>0</v>
      </c>
      <c r="I341" s="652">
        <v>0</v>
      </c>
      <c r="J341" s="684">
        <v>0</v>
      </c>
      <c r="K341" s="652">
        <f>SUMIFS(OBE!$H:$H,OBE!$C:$C,'Standalone TB'!$B341,OBE!$B:$B,"A22")</f>
        <v>0</v>
      </c>
      <c r="L341" s="652">
        <f>SUMIFS('Elimination - PL'!I:I,'Elimination - PL'!A:A,"EA22",'Elimination - PL'!D:D,'Standalone TB'!B341)</f>
        <v>0</v>
      </c>
      <c r="M341" s="652">
        <f t="shared" si="43"/>
        <v>0</v>
      </c>
      <c r="N341" s="652">
        <f t="shared" si="41"/>
        <v>0</v>
      </c>
      <c r="O341" s="652">
        <v>0</v>
      </c>
      <c r="P341" s="685">
        <v>0</v>
      </c>
      <c r="Q341" s="684">
        <v>0</v>
      </c>
      <c r="R341" s="652">
        <f>SUMIFS(OBE!$H:$H,OBE!$C:$C,'Standalone TB'!$B341,OBE!$B:$B,"A20")</f>
        <v>0</v>
      </c>
      <c r="S341" s="652">
        <f>SUMIFS('Elimination - PL'!I:I,'Elimination - PL'!A:A,"EA20",'Elimination - PL'!D:D,'Standalone TB'!B341)</f>
        <v>0</v>
      </c>
      <c r="T341" s="652">
        <f t="shared" si="44"/>
        <v>0</v>
      </c>
      <c r="U341" s="652">
        <f t="shared" si="42"/>
        <v>0</v>
      </c>
      <c r="V341" s="652">
        <v>0</v>
      </c>
      <c r="W341" s="685">
        <v>0</v>
      </c>
      <c r="X341" s="689">
        <f t="shared" si="45"/>
        <v>0</v>
      </c>
      <c r="Y341" s="689">
        <f t="shared" si="46"/>
        <v>0</v>
      </c>
      <c r="Z341" s="666" t="s">
        <v>782</v>
      </c>
      <c r="AA341" s="666" t="s">
        <v>152</v>
      </c>
      <c r="AB341" s="666" t="s">
        <v>2318</v>
      </c>
      <c r="AD341" s="665"/>
    </row>
    <row r="342" spans="2:30" hidden="1" x14ac:dyDescent="0.2">
      <c r="B342" s="673" t="s">
        <v>2335</v>
      </c>
      <c r="C342" s="666" t="s">
        <v>2336</v>
      </c>
      <c r="D342" s="666" t="s">
        <v>670</v>
      </c>
      <c r="E342" s="684">
        <v>0</v>
      </c>
      <c r="F342" s="652">
        <f>SUMIFS(OBE!$H:$H,OBE!$C:$C,'Standalone TB'!$B342,OBE!$B:$B,"A21")</f>
        <v>0</v>
      </c>
      <c r="G342" s="652">
        <f>SUMIFS('Elimination - PL'!I:I,'Elimination - PL'!A:A,"EA21",'Elimination - PL'!D:D,'Standalone TB'!B342)</f>
        <v>0</v>
      </c>
      <c r="H342" s="652">
        <f t="shared" si="40"/>
        <v>0</v>
      </c>
      <c r="I342" s="652">
        <v>0</v>
      </c>
      <c r="J342" s="684">
        <v>0</v>
      </c>
      <c r="K342" s="652">
        <f>SUMIFS(OBE!$H:$H,OBE!$C:$C,'Standalone TB'!$B342,OBE!$B:$B,"A22")</f>
        <v>0</v>
      </c>
      <c r="L342" s="652">
        <f>SUMIFS('Elimination - PL'!I:I,'Elimination - PL'!A:A,"EA22",'Elimination - PL'!D:D,'Standalone TB'!B342)</f>
        <v>0</v>
      </c>
      <c r="M342" s="652">
        <f t="shared" si="43"/>
        <v>0</v>
      </c>
      <c r="N342" s="652">
        <f t="shared" si="41"/>
        <v>0</v>
      </c>
      <c r="O342" s="652">
        <v>0</v>
      </c>
      <c r="P342" s="685">
        <v>0</v>
      </c>
      <c r="Q342" s="684">
        <v>0</v>
      </c>
      <c r="R342" s="652">
        <f>SUMIFS(OBE!$H:$H,OBE!$C:$C,'Standalone TB'!$B342,OBE!$B:$B,"A20")</f>
        <v>0</v>
      </c>
      <c r="S342" s="652">
        <f>SUMIFS('Elimination - PL'!I:I,'Elimination - PL'!A:A,"EA20",'Elimination - PL'!D:D,'Standalone TB'!B342)</f>
        <v>0</v>
      </c>
      <c r="T342" s="652">
        <f t="shared" si="44"/>
        <v>0</v>
      </c>
      <c r="U342" s="652">
        <f t="shared" si="42"/>
        <v>0</v>
      </c>
      <c r="V342" s="652">
        <v>0</v>
      </c>
      <c r="W342" s="685">
        <v>0</v>
      </c>
      <c r="X342" s="689">
        <f t="shared" si="45"/>
        <v>0</v>
      </c>
      <c r="Y342" s="689">
        <f t="shared" si="46"/>
        <v>0</v>
      </c>
      <c r="Z342" s="666" t="s">
        <v>782</v>
      </c>
      <c r="AA342" s="666" t="s">
        <v>152</v>
      </c>
      <c r="AB342" s="666" t="s">
        <v>2318</v>
      </c>
      <c r="AD342" s="665"/>
    </row>
    <row r="343" spans="2:30" hidden="1" x14ac:dyDescent="0.2">
      <c r="B343" s="673" t="s">
        <v>2337</v>
      </c>
      <c r="C343" s="666" t="s">
        <v>2338</v>
      </c>
      <c r="D343" s="666" t="s">
        <v>670</v>
      </c>
      <c r="E343" s="684">
        <v>0</v>
      </c>
      <c r="F343" s="652">
        <f>SUMIFS(OBE!$H:$H,OBE!$C:$C,'Standalone TB'!$B343,OBE!$B:$B,"A21")</f>
        <v>0</v>
      </c>
      <c r="G343" s="652">
        <f>SUMIFS('Elimination - PL'!I:I,'Elimination - PL'!A:A,"EA21",'Elimination - PL'!D:D,'Standalone TB'!B343)</f>
        <v>0</v>
      </c>
      <c r="H343" s="652">
        <f t="shared" si="40"/>
        <v>0</v>
      </c>
      <c r="I343" s="652">
        <v>0</v>
      </c>
      <c r="J343" s="684">
        <v>0</v>
      </c>
      <c r="K343" s="652">
        <f>SUMIFS(OBE!$H:$H,OBE!$C:$C,'Standalone TB'!$B343,OBE!$B:$B,"A22")</f>
        <v>0</v>
      </c>
      <c r="L343" s="652">
        <f>SUMIFS('Elimination - PL'!I:I,'Elimination - PL'!A:A,"EA22",'Elimination - PL'!D:D,'Standalone TB'!B343)</f>
        <v>0</v>
      </c>
      <c r="M343" s="652">
        <f t="shared" si="43"/>
        <v>0</v>
      </c>
      <c r="N343" s="652">
        <f t="shared" si="41"/>
        <v>0</v>
      </c>
      <c r="O343" s="652">
        <v>0</v>
      </c>
      <c r="P343" s="685">
        <v>0</v>
      </c>
      <c r="Q343" s="684">
        <v>0</v>
      </c>
      <c r="R343" s="652">
        <f>SUMIFS(OBE!$H:$H,OBE!$C:$C,'Standalone TB'!$B343,OBE!$B:$B,"A20")</f>
        <v>0</v>
      </c>
      <c r="S343" s="652">
        <f>SUMIFS('Elimination - PL'!I:I,'Elimination - PL'!A:A,"EA20",'Elimination - PL'!D:D,'Standalone TB'!B343)</f>
        <v>0</v>
      </c>
      <c r="T343" s="652">
        <f t="shared" si="44"/>
        <v>0</v>
      </c>
      <c r="U343" s="652">
        <f t="shared" si="42"/>
        <v>0</v>
      </c>
      <c r="V343" s="652">
        <v>0</v>
      </c>
      <c r="W343" s="685">
        <v>0</v>
      </c>
      <c r="X343" s="689">
        <f t="shared" si="45"/>
        <v>0</v>
      </c>
      <c r="Y343" s="689">
        <f t="shared" si="46"/>
        <v>0</v>
      </c>
      <c r="Z343" s="652"/>
      <c r="AA343" s="666" t="s">
        <v>152</v>
      </c>
      <c r="AB343" s="666" t="str">
        <f>AB344</f>
        <v>Other Expenses</v>
      </c>
      <c r="AD343" s="665"/>
    </row>
    <row r="344" spans="2:30" hidden="1" x14ac:dyDescent="0.2">
      <c r="B344" s="673" t="s">
        <v>2339</v>
      </c>
      <c r="C344" s="666" t="s">
        <v>2340</v>
      </c>
      <c r="D344" s="666" t="s">
        <v>670</v>
      </c>
      <c r="E344" s="684">
        <v>0</v>
      </c>
      <c r="F344" s="652">
        <f>SUMIFS(OBE!$H:$H,OBE!$C:$C,'Standalone TB'!$B344,OBE!$B:$B,"A21")</f>
        <v>0</v>
      </c>
      <c r="G344" s="652">
        <f>SUMIFS('Elimination - PL'!I:I,'Elimination - PL'!A:A,"EA21",'Elimination - PL'!D:D,'Standalone TB'!B344)</f>
        <v>0</v>
      </c>
      <c r="H344" s="652">
        <f t="shared" si="40"/>
        <v>0</v>
      </c>
      <c r="I344" s="652">
        <v>0</v>
      </c>
      <c r="J344" s="684">
        <v>0</v>
      </c>
      <c r="K344" s="652">
        <f>SUMIFS(OBE!$H:$H,OBE!$C:$C,'Standalone TB'!$B344,OBE!$B:$B,"A22")</f>
        <v>0</v>
      </c>
      <c r="L344" s="652">
        <f>SUMIFS('Elimination - PL'!I:I,'Elimination - PL'!A:A,"EA22",'Elimination - PL'!D:D,'Standalone TB'!B344)</f>
        <v>0</v>
      </c>
      <c r="M344" s="652">
        <f t="shared" si="43"/>
        <v>0</v>
      </c>
      <c r="N344" s="652">
        <f t="shared" si="41"/>
        <v>0</v>
      </c>
      <c r="O344" s="652">
        <v>0</v>
      </c>
      <c r="P344" s="685">
        <v>0</v>
      </c>
      <c r="Q344" s="684">
        <v>0</v>
      </c>
      <c r="R344" s="652">
        <f>SUMIFS(OBE!$H:$H,OBE!$C:$C,'Standalone TB'!$B344,OBE!$B:$B,"A20")</f>
        <v>0</v>
      </c>
      <c r="S344" s="652">
        <f>SUMIFS('Elimination - PL'!I:I,'Elimination - PL'!A:A,"EA20",'Elimination - PL'!D:D,'Standalone TB'!B344)</f>
        <v>0</v>
      </c>
      <c r="T344" s="652">
        <f t="shared" si="44"/>
        <v>0</v>
      </c>
      <c r="U344" s="652">
        <f t="shared" si="42"/>
        <v>0</v>
      </c>
      <c r="V344" s="652">
        <v>0</v>
      </c>
      <c r="W344" s="685">
        <v>0</v>
      </c>
      <c r="X344" s="689">
        <f t="shared" si="45"/>
        <v>0</v>
      </c>
      <c r="Y344" s="689">
        <f t="shared" si="46"/>
        <v>0</v>
      </c>
      <c r="Z344" s="652"/>
      <c r="AA344" s="666" t="s">
        <v>152</v>
      </c>
      <c r="AB344" s="666" t="str">
        <f>AB345</f>
        <v>Other Expenses</v>
      </c>
      <c r="AD344" s="665"/>
    </row>
    <row r="345" spans="2:30" hidden="1" x14ac:dyDescent="0.2">
      <c r="B345" s="673" t="s">
        <v>1594</v>
      </c>
      <c r="C345" s="666" t="s">
        <v>2341</v>
      </c>
      <c r="D345" s="666" t="s">
        <v>670</v>
      </c>
      <c r="E345" s="684">
        <v>31950846.130000003</v>
      </c>
      <c r="F345" s="652">
        <f>SUMIFS(OBE!$H:$H,OBE!$C:$C,'Standalone TB'!$B345,OBE!$B:$B,"A21")</f>
        <v>-31902329.850000001</v>
      </c>
      <c r="G345" s="652">
        <f>SUMIFS('Elimination - PL'!I:I,'Elimination - PL'!A:A,"EA21",'Elimination - PL'!D:D,'Standalone TB'!B345)</f>
        <v>0</v>
      </c>
      <c r="H345" s="652">
        <f t="shared" si="40"/>
        <v>48516.280000001192</v>
      </c>
      <c r="I345" s="652">
        <v>544953.84499999904</v>
      </c>
      <c r="J345" s="684">
        <v>0</v>
      </c>
      <c r="K345" s="652">
        <f>SUMIFS(OBE!$H:$H,OBE!$C:$C,'Standalone TB'!$B345,OBE!$B:$B,"A22")</f>
        <v>0</v>
      </c>
      <c r="L345" s="652">
        <f>SUMIFS('Elimination - PL'!I:I,'Elimination - PL'!A:A,"EA22",'Elimination - PL'!D:D,'Standalone TB'!B345)</f>
        <v>0</v>
      </c>
      <c r="M345" s="652">
        <f t="shared" si="43"/>
        <v>0</v>
      </c>
      <c r="N345" s="652">
        <f t="shared" si="41"/>
        <v>0</v>
      </c>
      <c r="O345" s="652">
        <v>0</v>
      </c>
      <c r="P345" s="685">
        <v>0</v>
      </c>
      <c r="Q345" s="684">
        <v>52359.08</v>
      </c>
      <c r="R345" s="652">
        <f>SUMIFS(OBE!$H:$H,OBE!$C:$C,'Standalone TB'!$B345,OBE!$B:$B,"A20")</f>
        <v>-52359.08</v>
      </c>
      <c r="S345" s="652">
        <f>SUMIFS('Elimination - PL'!I:I,'Elimination - PL'!A:A,"EA20",'Elimination - PL'!D:D,'Standalone TB'!B345)</f>
        <v>0</v>
      </c>
      <c r="T345" s="652">
        <f t="shared" si="44"/>
        <v>0</v>
      </c>
      <c r="U345" s="652">
        <f t="shared" si="42"/>
        <v>0</v>
      </c>
      <c r="V345" s="652">
        <v>82542.740000000005</v>
      </c>
      <c r="W345" s="685">
        <v>6834060.1241079997</v>
      </c>
      <c r="X345" s="689">
        <f t="shared" si="45"/>
        <v>48516.280000001192</v>
      </c>
      <c r="Y345" s="689">
        <f t="shared" si="46"/>
        <v>7379013.9691079985</v>
      </c>
      <c r="Z345" s="652" t="s">
        <v>829</v>
      </c>
      <c r="AA345" s="666" t="s">
        <v>152</v>
      </c>
      <c r="AB345" s="666" t="s">
        <v>2314</v>
      </c>
      <c r="AD345" s="665"/>
    </row>
    <row r="346" spans="2:30" hidden="1" x14ac:dyDescent="0.2">
      <c r="B346" s="673" t="s">
        <v>1539</v>
      </c>
      <c r="C346" s="666" t="s">
        <v>1554</v>
      </c>
      <c r="D346" s="666" t="s">
        <v>670</v>
      </c>
      <c r="E346" s="684">
        <v>0</v>
      </c>
      <c r="F346" s="652">
        <f>SUMIFS(OBE!$H:$H,OBE!$C:$C,'Standalone TB'!$B346,OBE!$B:$B,"A21")</f>
        <v>0</v>
      </c>
      <c r="G346" s="652">
        <f>SUMIFS('Elimination - PL'!I:I,'Elimination - PL'!A:A,"EA21",'Elimination - PL'!D:D,'Standalone TB'!B346)</f>
        <v>0</v>
      </c>
      <c r="H346" s="652">
        <f t="shared" si="40"/>
        <v>0</v>
      </c>
      <c r="I346" s="652">
        <v>0</v>
      </c>
      <c r="J346" s="684">
        <v>11505.830000000002</v>
      </c>
      <c r="K346" s="652">
        <f>SUMIFS(OBE!$H:$H,OBE!$C:$C,'Standalone TB'!$B346,OBE!$B:$B,"A22")</f>
        <v>-11505.830000000002</v>
      </c>
      <c r="L346" s="652">
        <f>SUMIFS('Elimination - PL'!I:I,'Elimination - PL'!A:A,"EA22",'Elimination - PL'!D:D,'Standalone TB'!B346)</f>
        <v>0</v>
      </c>
      <c r="M346" s="652">
        <f t="shared" si="43"/>
        <v>0</v>
      </c>
      <c r="N346" s="652">
        <f t="shared" si="41"/>
        <v>0</v>
      </c>
      <c r="O346" s="652">
        <v>0</v>
      </c>
      <c r="P346" s="685">
        <v>0</v>
      </c>
      <c r="Q346" s="684">
        <v>-116419.76999999999</v>
      </c>
      <c r="R346" s="652">
        <f>SUMIFS(OBE!$H:$H,OBE!$C:$C,'Standalone TB'!$B346,OBE!$B:$B,"A20")</f>
        <v>116419.76999999999</v>
      </c>
      <c r="S346" s="652">
        <f>SUMIFS('Elimination - PL'!I:I,'Elimination - PL'!A:A,"EA20",'Elimination - PL'!D:D,'Standalone TB'!B346)</f>
        <v>0</v>
      </c>
      <c r="T346" s="652">
        <f t="shared" si="44"/>
        <v>0</v>
      </c>
      <c r="U346" s="652">
        <f t="shared" si="42"/>
        <v>0</v>
      </c>
      <c r="V346" s="652">
        <v>0</v>
      </c>
      <c r="W346" s="685">
        <v>0</v>
      </c>
      <c r="X346" s="689">
        <f t="shared" si="45"/>
        <v>0</v>
      </c>
      <c r="Y346" s="689">
        <f t="shared" si="46"/>
        <v>0</v>
      </c>
      <c r="Z346" s="652"/>
      <c r="AA346" s="666" t="s">
        <v>152</v>
      </c>
      <c r="AB346" s="666" t="s">
        <v>2314</v>
      </c>
      <c r="AD346" s="665"/>
    </row>
    <row r="347" spans="2:30" hidden="1" x14ac:dyDescent="0.2">
      <c r="B347" s="673" t="s">
        <v>2342</v>
      </c>
      <c r="C347" s="666" t="s">
        <v>2343</v>
      </c>
      <c r="D347" s="666" t="s">
        <v>670</v>
      </c>
      <c r="E347" s="684">
        <v>0</v>
      </c>
      <c r="F347" s="652">
        <f>SUMIFS(OBE!$H:$H,OBE!$C:$C,'Standalone TB'!$B347,OBE!$B:$B,"A21")</f>
        <v>0</v>
      </c>
      <c r="G347" s="652">
        <f>SUMIFS('Elimination - PL'!I:I,'Elimination - PL'!A:A,"EA21",'Elimination - PL'!D:D,'Standalone TB'!B347)</f>
        <v>0</v>
      </c>
      <c r="H347" s="652">
        <f t="shared" si="40"/>
        <v>0</v>
      </c>
      <c r="I347" s="652">
        <v>0</v>
      </c>
      <c r="J347" s="684">
        <v>0</v>
      </c>
      <c r="K347" s="652">
        <f>SUMIFS(OBE!$H:$H,OBE!$C:$C,'Standalone TB'!$B347,OBE!$B:$B,"A22")</f>
        <v>0</v>
      </c>
      <c r="L347" s="652">
        <f>SUMIFS('Elimination - PL'!I:I,'Elimination - PL'!A:A,"EA22",'Elimination - PL'!D:D,'Standalone TB'!B347)</f>
        <v>0</v>
      </c>
      <c r="M347" s="652">
        <f t="shared" si="43"/>
        <v>0</v>
      </c>
      <c r="N347" s="652">
        <f t="shared" si="41"/>
        <v>0</v>
      </c>
      <c r="O347" s="652">
        <v>0</v>
      </c>
      <c r="P347" s="685">
        <v>0</v>
      </c>
      <c r="Q347" s="684">
        <v>0</v>
      </c>
      <c r="R347" s="652">
        <f>SUMIFS(OBE!$H:$H,OBE!$C:$C,'Standalone TB'!$B347,OBE!$B:$B,"A20")</f>
        <v>0</v>
      </c>
      <c r="S347" s="652">
        <f>SUMIFS('Elimination - PL'!I:I,'Elimination - PL'!A:A,"EA20",'Elimination - PL'!D:D,'Standalone TB'!B347)</f>
        <v>0</v>
      </c>
      <c r="T347" s="652">
        <f t="shared" si="44"/>
        <v>0</v>
      </c>
      <c r="U347" s="652">
        <f t="shared" si="42"/>
        <v>0</v>
      </c>
      <c r="V347" s="652">
        <v>0</v>
      </c>
      <c r="W347" s="685">
        <v>0</v>
      </c>
      <c r="X347" s="689">
        <f t="shared" si="45"/>
        <v>0</v>
      </c>
      <c r="Y347" s="689">
        <f t="shared" si="46"/>
        <v>0</v>
      </c>
      <c r="Z347" s="652"/>
      <c r="AA347" s="666" t="s">
        <v>152</v>
      </c>
      <c r="AB347" s="666" t="s">
        <v>2314</v>
      </c>
      <c r="AD347" s="665"/>
    </row>
    <row r="348" spans="2:30" hidden="1" x14ac:dyDescent="0.2">
      <c r="B348" s="673" t="s">
        <v>2344</v>
      </c>
      <c r="C348" s="666" t="s">
        <v>2345</v>
      </c>
      <c r="D348" s="666" t="s">
        <v>670</v>
      </c>
      <c r="E348" s="684">
        <v>0</v>
      </c>
      <c r="F348" s="652">
        <f>SUMIFS(OBE!$H:$H,OBE!$C:$C,'Standalone TB'!$B348,OBE!$B:$B,"A21")</f>
        <v>0</v>
      </c>
      <c r="G348" s="652">
        <f>SUMIFS('Elimination - PL'!I:I,'Elimination - PL'!A:A,"EA21",'Elimination - PL'!D:D,'Standalone TB'!B348)</f>
        <v>0</v>
      </c>
      <c r="H348" s="652">
        <f t="shared" si="40"/>
        <v>0</v>
      </c>
      <c r="I348" s="652">
        <v>0</v>
      </c>
      <c r="J348" s="684">
        <v>0</v>
      </c>
      <c r="K348" s="652">
        <f>SUMIFS(OBE!$H:$H,OBE!$C:$C,'Standalone TB'!$B348,OBE!$B:$B,"A22")</f>
        <v>0</v>
      </c>
      <c r="L348" s="652">
        <f>SUMIFS('Elimination - PL'!I:I,'Elimination - PL'!A:A,"EA22",'Elimination - PL'!D:D,'Standalone TB'!B348)</f>
        <v>0</v>
      </c>
      <c r="M348" s="652">
        <f t="shared" si="43"/>
        <v>0</v>
      </c>
      <c r="N348" s="652">
        <f t="shared" si="41"/>
        <v>0</v>
      </c>
      <c r="O348" s="652">
        <v>0</v>
      </c>
      <c r="P348" s="685">
        <v>0</v>
      </c>
      <c r="Q348" s="684">
        <v>0</v>
      </c>
      <c r="R348" s="652">
        <f>SUMIFS(OBE!$H:$H,OBE!$C:$C,'Standalone TB'!$B348,OBE!$B:$B,"A20")</f>
        <v>0</v>
      </c>
      <c r="S348" s="652">
        <f>SUMIFS('Elimination - PL'!I:I,'Elimination - PL'!A:A,"EA20",'Elimination - PL'!D:D,'Standalone TB'!B348)</f>
        <v>0</v>
      </c>
      <c r="T348" s="652">
        <f t="shared" si="44"/>
        <v>0</v>
      </c>
      <c r="U348" s="652">
        <f t="shared" si="42"/>
        <v>0</v>
      </c>
      <c r="V348" s="652">
        <v>0</v>
      </c>
      <c r="W348" s="685">
        <v>0</v>
      </c>
      <c r="X348" s="689">
        <f t="shared" si="45"/>
        <v>0</v>
      </c>
      <c r="Y348" s="689">
        <f t="shared" si="46"/>
        <v>0</v>
      </c>
      <c r="Z348" s="652"/>
      <c r="AA348" s="666" t="s">
        <v>152</v>
      </c>
      <c r="AB348" s="666" t="s">
        <v>2314</v>
      </c>
      <c r="AD348" s="665"/>
    </row>
    <row r="349" spans="2:30" hidden="1" x14ac:dyDescent="0.2">
      <c r="B349" s="673" t="s">
        <v>2346</v>
      </c>
      <c r="C349" s="666" t="s">
        <v>2347</v>
      </c>
      <c r="D349" s="666" t="s">
        <v>670</v>
      </c>
      <c r="E349" s="684">
        <v>0</v>
      </c>
      <c r="F349" s="652">
        <f>SUMIFS(OBE!$H:$H,OBE!$C:$C,'Standalone TB'!$B349,OBE!$B:$B,"A21")</f>
        <v>0</v>
      </c>
      <c r="G349" s="652">
        <f>SUMIFS('Elimination - PL'!I:I,'Elimination - PL'!A:A,"EA21",'Elimination - PL'!D:D,'Standalone TB'!B349)</f>
        <v>0</v>
      </c>
      <c r="H349" s="652">
        <f t="shared" si="40"/>
        <v>0</v>
      </c>
      <c r="I349" s="652">
        <v>0</v>
      </c>
      <c r="J349" s="684">
        <v>0</v>
      </c>
      <c r="K349" s="652">
        <f>SUMIFS(OBE!$H:$H,OBE!$C:$C,'Standalone TB'!$B349,OBE!$B:$B,"A22")</f>
        <v>0</v>
      </c>
      <c r="L349" s="652">
        <f>SUMIFS('Elimination - PL'!I:I,'Elimination - PL'!A:A,"EA22",'Elimination - PL'!D:D,'Standalone TB'!B349)</f>
        <v>0</v>
      </c>
      <c r="M349" s="652">
        <f t="shared" si="43"/>
        <v>0</v>
      </c>
      <c r="N349" s="652">
        <f t="shared" si="41"/>
        <v>0</v>
      </c>
      <c r="O349" s="652">
        <v>0</v>
      </c>
      <c r="P349" s="685">
        <v>0</v>
      </c>
      <c r="Q349" s="684">
        <v>0</v>
      </c>
      <c r="R349" s="652">
        <f>SUMIFS(OBE!$H:$H,OBE!$C:$C,'Standalone TB'!$B349,OBE!$B:$B,"A20")</f>
        <v>0</v>
      </c>
      <c r="S349" s="652">
        <f>SUMIFS('Elimination - PL'!I:I,'Elimination - PL'!A:A,"EA20",'Elimination - PL'!D:D,'Standalone TB'!B349)</f>
        <v>0</v>
      </c>
      <c r="T349" s="652">
        <f t="shared" si="44"/>
        <v>0</v>
      </c>
      <c r="U349" s="652">
        <f t="shared" si="42"/>
        <v>0</v>
      </c>
      <c r="V349" s="652">
        <v>0</v>
      </c>
      <c r="W349" s="685">
        <v>0</v>
      </c>
      <c r="X349" s="689">
        <f t="shared" si="45"/>
        <v>0</v>
      </c>
      <c r="Y349" s="689">
        <f t="shared" si="46"/>
        <v>0</v>
      </c>
      <c r="Z349" s="652"/>
      <c r="AA349" s="666" t="s">
        <v>152</v>
      </c>
      <c r="AB349" s="666" t="s">
        <v>2314</v>
      </c>
      <c r="AD349" s="665"/>
    </row>
    <row r="350" spans="2:30" hidden="1" x14ac:dyDescent="0.2">
      <c r="B350" s="673" t="s">
        <v>1542</v>
      </c>
      <c r="C350" s="666" t="s">
        <v>1555</v>
      </c>
      <c r="D350" s="666" t="s">
        <v>670</v>
      </c>
      <c r="E350" s="684">
        <v>0</v>
      </c>
      <c r="F350" s="652">
        <f>SUMIFS(OBE!$H:$H,OBE!$C:$C,'Standalone TB'!$B350,OBE!$B:$B,"A21")</f>
        <v>0</v>
      </c>
      <c r="G350" s="652">
        <f>SUMIFS('Elimination - PL'!I:I,'Elimination - PL'!A:A,"EA21",'Elimination - PL'!D:D,'Standalone TB'!B350)</f>
        <v>0</v>
      </c>
      <c r="H350" s="652">
        <f t="shared" si="40"/>
        <v>0</v>
      </c>
      <c r="I350" s="652">
        <v>0</v>
      </c>
      <c r="J350" s="684">
        <v>5.77</v>
      </c>
      <c r="K350" s="652">
        <f>SUMIFS(OBE!$H:$H,OBE!$C:$C,'Standalone TB'!$B350,OBE!$B:$B,"A22")</f>
        <v>-5.77</v>
      </c>
      <c r="L350" s="652">
        <f>SUMIFS('Elimination - PL'!I:I,'Elimination - PL'!A:A,"EA22",'Elimination - PL'!D:D,'Standalone TB'!B350)</f>
        <v>0</v>
      </c>
      <c r="M350" s="652">
        <f t="shared" si="43"/>
        <v>0</v>
      </c>
      <c r="N350" s="652">
        <f t="shared" si="41"/>
        <v>0</v>
      </c>
      <c r="O350" s="652">
        <v>0</v>
      </c>
      <c r="P350" s="685">
        <v>0</v>
      </c>
      <c r="Q350" s="684">
        <v>49702.319999999992</v>
      </c>
      <c r="R350" s="652">
        <f>SUMIFS(OBE!$H:$H,OBE!$C:$C,'Standalone TB'!$B350,OBE!$B:$B,"A20")</f>
        <v>-49702.319999999992</v>
      </c>
      <c r="S350" s="652">
        <f>SUMIFS('Elimination - PL'!I:I,'Elimination - PL'!A:A,"EA20",'Elimination - PL'!D:D,'Standalone TB'!B350)</f>
        <v>0</v>
      </c>
      <c r="T350" s="652">
        <f t="shared" si="44"/>
        <v>0</v>
      </c>
      <c r="U350" s="652">
        <f t="shared" si="42"/>
        <v>0</v>
      </c>
      <c r="V350" s="652">
        <v>0</v>
      </c>
      <c r="W350" s="685">
        <v>0</v>
      </c>
      <c r="X350" s="689">
        <f t="shared" si="45"/>
        <v>0</v>
      </c>
      <c r="Y350" s="689">
        <f t="shared" si="46"/>
        <v>0</v>
      </c>
      <c r="Z350" s="652"/>
      <c r="AA350" s="666" t="s">
        <v>152</v>
      </c>
      <c r="AB350" s="666" t="s">
        <v>2314</v>
      </c>
      <c r="AD350" s="665"/>
    </row>
    <row r="351" spans="2:30" hidden="1" x14ac:dyDescent="0.2">
      <c r="B351" s="673" t="s">
        <v>1601</v>
      </c>
      <c r="C351" s="666" t="s">
        <v>2348</v>
      </c>
      <c r="D351" s="666" t="s">
        <v>670</v>
      </c>
      <c r="E351" s="684">
        <v>0</v>
      </c>
      <c r="F351" s="652">
        <f>SUMIFS(OBE!$H:$H,OBE!$C:$C,'Standalone TB'!$B351,OBE!$B:$B,"A21")</f>
        <v>8012378.2516694088</v>
      </c>
      <c r="G351" s="652">
        <f>SUMIFS('Elimination - PL'!I:I,'Elimination - PL'!A:A,"EA21",'Elimination - PL'!D:D,'Standalone TB'!B351)</f>
        <v>0</v>
      </c>
      <c r="H351" s="652">
        <f t="shared" si="40"/>
        <v>8012378.2516694088</v>
      </c>
      <c r="I351" s="652">
        <v>6766112.3118596151</v>
      </c>
      <c r="J351" s="684">
        <v>0</v>
      </c>
      <c r="K351" s="652">
        <f>SUMIFS(OBE!$H:$H,OBE!$C:$C,'Standalone TB'!$B351,OBE!$B:$B,"A22")</f>
        <v>0</v>
      </c>
      <c r="L351" s="652">
        <f>SUMIFS('Elimination - PL'!I:I,'Elimination - PL'!A:A,"EA22",'Elimination - PL'!D:D,'Standalone TB'!B351)</f>
        <v>0</v>
      </c>
      <c r="M351" s="652">
        <f t="shared" si="43"/>
        <v>0</v>
      </c>
      <c r="N351" s="652">
        <f t="shared" si="41"/>
        <v>0</v>
      </c>
      <c r="O351" s="652">
        <v>0</v>
      </c>
      <c r="P351" s="685">
        <v>0</v>
      </c>
      <c r="Q351" s="684">
        <v>0</v>
      </c>
      <c r="R351" s="652">
        <f>SUMIFS(OBE!$H:$H,OBE!$C:$C,'Standalone TB'!$B351,OBE!$B:$B,"A20")</f>
        <v>30990.700780557152</v>
      </c>
      <c r="S351" s="652">
        <f>SUMIFS('Elimination - PL'!I:I,'Elimination - PL'!A:A,"EA20",'Elimination - PL'!D:D,'Standalone TB'!B351)</f>
        <v>0</v>
      </c>
      <c r="T351" s="652">
        <f t="shared" si="44"/>
        <v>30990.700780557152</v>
      </c>
      <c r="U351" s="652">
        <f t="shared" si="42"/>
        <v>2616289.4638098897</v>
      </c>
      <c r="V351" s="652">
        <v>0</v>
      </c>
      <c r="W351" s="685">
        <v>0</v>
      </c>
      <c r="X351" s="689">
        <f t="shared" si="45"/>
        <v>10628667.715479299</v>
      </c>
      <c r="Y351" s="689">
        <f t="shared" si="46"/>
        <v>6766112.3118596151</v>
      </c>
      <c r="Z351" s="652" t="s">
        <v>796</v>
      </c>
      <c r="AA351" s="666" t="s">
        <v>152</v>
      </c>
      <c r="AB351" s="666" t="s">
        <v>2349</v>
      </c>
      <c r="AD351" s="665"/>
    </row>
    <row r="352" spans="2:30" hidden="1" x14ac:dyDescent="0.2">
      <c r="B352" s="673" t="s">
        <v>2350</v>
      </c>
      <c r="C352" s="666" t="s">
        <v>2351</v>
      </c>
      <c r="D352" s="666" t="s">
        <v>670</v>
      </c>
      <c r="E352" s="684">
        <v>0</v>
      </c>
      <c r="F352" s="652">
        <f>SUMIFS(OBE!$H:$H,OBE!$C:$C,'Standalone TB'!$B352,OBE!$B:$B,"A21")</f>
        <v>0</v>
      </c>
      <c r="G352" s="652">
        <f>SUMIFS('Elimination - PL'!I:I,'Elimination - PL'!A:A,"EA21",'Elimination - PL'!D:D,'Standalone TB'!B352)</f>
        <v>0</v>
      </c>
      <c r="H352" s="652">
        <f t="shared" si="40"/>
        <v>0</v>
      </c>
      <c r="I352" s="652">
        <v>0</v>
      </c>
      <c r="J352" s="684">
        <v>0</v>
      </c>
      <c r="K352" s="652">
        <f>SUMIFS(OBE!$H:$H,OBE!$C:$C,'Standalone TB'!$B352,OBE!$B:$B,"A22")</f>
        <v>0</v>
      </c>
      <c r="L352" s="652">
        <f>SUMIFS('Elimination - PL'!I:I,'Elimination - PL'!A:A,"EA22",'Elimination - PL'!D:D,'Standalone TB'!B352)</f>
        <v>0</v>
      </c>
      <c r="M352" s="652">
        <f t="shared" si="43"/>
        <v>0</v>
      </c>
      <c r="N352" s="652">
        <f t="shared" si="41"/>
        <v>0</v>
      </c>
      <c r="O352" s="652">
        <v>0</v>
      </c>
      <c r="P352" s="685">
        <v>0</v>
      </c>
      <c r="Q352" s="684">
        <v>0</v>
      </c>
      <c r="R352" s="652">
        <f>SUMIFS(OBE!$H:$H,OBE!$C:$C,'Standalone TB'!$B352,OBE!$B:$B,"A20")</f>
        <v>0</v>
      </c>
      <c r="S352" s="652">
        <f>SUMIFS('Elimination - PL'!I:I,'Elimination - PL'!A:A,"EA20",'Elimination - PL'!D:D,'Standalone TB'!B352)</f>
        <v>0</v>
      </c>
      <c r="T352" s="652">
        <f t="shared" si="44"/>
        <v>0</v>
      </c>
      <c r="U352" s="652">
        <f t="shared" si="42"/>
        <v>0</v>
      </c>
      <c r="V352" s="652">
        <v>0</v>
      </c>
      <c r="W352" s="685">
        <v>0</v>
      </c>
      <c r="X352" s="689">
        <f t="shared" si="45"/>
        <v>0</v>
      </c>
      <c r="Y352" s="689">
        <f t="shared" si="46"/>
        <v>0</v>
      </c>
      <c r="Z352" s="652"/>
      <c r="AA352" s="666" t="s">
        <v>152</v>
      </c>
      <c r="AB352" s="666" t="s">
        <v>2314</v>
      </c>
      <c r="AD352" s="665"/>
    </row>
    <row r="353" spans="2:30" hidden="1" x14ac:dyDescent="0.2">
      <c r="B353" s="673" t="s">
        <v>2352</v>
      </c>
      <c r="C353" s="666" t="s">
        <v>2353</v>
      </c>
      <c r="D353" s="666" t="s">
        <v>670</v>
      </c>
      <c r="E353" s="684">
        <v>0</v>
      </c>
      <c r="F353" s="652">
        <f>SUMIFS(OBE!$H:$H,OBE!$C:$C,'Standalone TB'!$B353,OBE!$B:$B,"A21")</f>
        <v>0</v>
      </c>
      <c r="G353" s="652">
        <f>SUMIFS('Elimination - PL'!I:I,'Elimination - PL'!A:A,"EA21",'Elimination - PL'!D:D,'Standalone TB'!B353)</f>
        <v>0</v>
      </c>
      <c r="H353" s="652">
        <f t="shared" si="40"/>
        <v>0</v>
      </c>
      <c r="I353" s="652">
        <v>823250</v>
      </c>
      <c r="J353" s="684">
        <v>136821.92000000001</v>
      </c>
      <c r="K353" s="652">
        <f>SUMIFS(OBE!$H:$H,OBE!$C:$C,'Standalone TB'!$B353,OBE!$B:$B,"A22")</f>
        <v>0</v>
      </c>
      <c r="L353" s="652">
        <f>SUMIFS('Elimination - PL'!I:I,'Elimination - PL'!A:A,"EA22",'Elimination - PL'!D:D,'Standalone TB'!B353)</f>
        <v>0</v>
      </c>
      <c r="M353" s="652">
        <f t="shared" si="43"/>
        <v>136821.92000000001</v>
      </c>
      <c r="N353" s="652">
        <f t="shared" si="41"/>
        <v>3144656.4112578398</v>
      </c>
      <c r="O353" s="652">
        <v>95884.26999999999</v>
      </c>
      <c r="P353" s="685">
        <v>2161097.2078219997</v>
      </c>
      <c r="Q353" s="684">
        <v>0</v>
      </c>
      <c r="R353" s="652">
        <f>SUMIFS(OBE!$H:$H,OBE!$C:$C,'Standalone TB'!$B353,OBE!$B:$B,"A20")</f>
        <v>0</v>
      </c>
      <c r="S353" s="652">
        <f>SUMIFS('Elimination - PL'!I:I,'Elimination - PL'!A:A,"EA20",'Elimination - PL'!D:D,'Standalone TB'!B353)</f>
        <v>0</v>
      </c>
      <c r="T353" s="652">
        <f t="shared" si="44"/>
        <v>0</v>
      </c>
      <c r="U353" s="652">
        <f t="shared" si="42"/>
        <v>0</v>
      </c>
      <c r="V353" s="652">
        <v>912.81</v>
      </c>
      <c r="W353" s="685">
        <v>75575.373701999997</v>
      </c>
      <c r="X353" s="689">
        <f t="shared" si="45"/>
        <v>3144656.4112578398</v>
      </c>
      <c r="Y353" s="689">
        <f t="shared" si="46"/>
        <v>3059922.5815239996</v>
      </c>
      <c r="Z353" s="652" t="s">
        <v>817</v>
      </c>
      <c r="AA353" s="666" t="s">
        <v>152</v>
      </c>
      <c r="AB353" s="666" t="s">
        <v>2314</v>
      </c>
      <c r="AD353" s="665"/>
    </row>
    <row r="354" spans="2:30" hidden="1" x14ac:dyDescent="0.2">
      <c r="B354" s="673" t="s">
        <v>2354</v>
      </c>
      <c r="C354" s="666" t="s">
        <v>2355</v>
      </c>
      <c r="D354" s="666" t="s">
        <v>670</v>
      </c>
      <c r="E354" s="684">
        <v>64135.64</v>
      </c>
      <c r="F354" s="652">
        <f>SUMIFS(OBE!$H:$H,OBE!$C:$C,'Standalone TB'!$B354,OBE!$B:$B,"A21")</f>
        <v>0</v>
      </c>
      <c r="G354" s="652">
        <f>SUMIFS('Elimination - PL'!I:I,'Elimination - PL'!A:A,"EA21",'Elimination - PL'!D:D,'Standalone TB'!B354)</f>
        <v>0</v>
      </c>
      <c r="H354" s="652">
        <f t="shared" si="40"/>
        <v>64135.64</v>
      </c>
      <c r="I354" s="652">
        <v>63449.5</v>
      </c>
      <c r="J354" s="684">
        <v>0</v>
      </c>
      <c r="K354" s="652">
        <f>SUMIFS(OBE!$H:$H,OBE!$C:$C,'Standalone TB'!$B354,OBE!$B:$B,"A22")</f>
        <v>0</v>
      </c>
      <c r="L354" s="652">
        <f>SUMIFS('Elimination - PL'!I:I,'Elimination - PL'!A:A,"EA22",'Elimination - PL'!D:D,'Standalone TB'!B354)</f>
        <v>0</v>
      </c>
      <c r="M354" s="652">
        <f t="shared" si="43"/>
        <v>0</v>
      </c>
      <c r="N354" s="652">
        <f t="shared" si="41"/>
        <v>0</v>
      </c>
      <c r="O354" s="652">
        <v>0</v>
      </c>
      <c r="P354" s="685">
        <v>0</v>
      </c>
      <c r="Q354" s="684">
        <v>0</v>
      </c>
      <c r="R354" s="652">
        <f>SUMIFS(OBE!$H:$H,OBE!$C:$C,'Standalone TB'!$B354,OBE!$B:$B,"A20")</f>
        <v>0</v>
      </c>
      <c r="S354" s="652">
        <f>SUMIFS('Elimination - PL'!I:I,'Elimination - PL'!A:A,"EA20",'Elimination - PL'!D:D,'Standalone TB'!B354)</f>
        <v>0</v>
      </c>
      <c r="T354" s="652">
        <f t="shared" si="44"/>
        <v>0</v>
      </c>
      <c r="U354" s="652">
        <f t="shared" si="42"/>
        <v>0</v>
      </c>
      <c r="V354" s="652">
        <v>0</v>
      </c>
      <c r="W354" s="685">
        <v>0</v>
      </c>
      <c r="X354" s="689">
        <f t="shared" si="45"/>
        <v>64135.64</v>
      </c>
      <c r="Y354" s="689">
        <f t="shared" si="46"/>
        <v>63449.5</v>
      </c>
      <c r="Z354" s="652" t="s">
        <v>817</v>
      </c>
      <c r="AA354" s="666" t="s">
        <v>152</v>
      </c>
      <c r="AB354" s="666" t="s">
        <v>2314</v>
      </c>
      <c r="AD354" s="665"/>
    </row>
    <row r="355" spans="2:30" hidden="1" x14ac:dyDescent="0.2">
      <c r="B355" s="673" t="s">
        <v>2356</v>
      </c>
      <c r="C355" s="666" t="s">
        <v>2357</v>
      </c>
      <c r="D355" s="666" t="s">
        <v>670</v>
      </c>
      <c r="E355" s="684">
        <v>0</v>
      </c>
      <c r="F355" s="652">
        <f>SUMIFS(OBE!$H:$H,OBE!$C:$C,'Standalone TB'!$B355,OBE!$B:$B,"A21")</f>
        <v>0</v>
      </c>
      <c r="G355" s="652">
        <f>SUMIFS('Elimination - PL'!I:I,'Elimination - PL'!A:A,"EA21",'Elimination - PL'!D:D,'Standalone TB'!B355)</f>
        <v>0</v>
      </c>
      <c r="H355" s="652">
        <f t="shared" si="40"/>
        <v>0</v>
      </c>
      <c r="I355" s="652">
        <v>-1111469.6600000001</v>
      </c>
      <c r="J355" s="684">
        <v>0</v>
      </c>
      <c r="K355" s="652">
        <f>SUMIFS(OBE!$H:$H,OBE!$C:$C,'Standalone TB'!$B355,OBE!$B:$B,"A22")</f>
        <v>0</v>
      </c>
      <c r="L355" s="652">
        <f>SUMIFS('Elimination - PL'!I:I,'Elimination - PL'!A:A,"EA22",'Elimination - PL'!D:D,'Standalone TB'!B355)</f>
        <v>0</v>
      </c>
      <c r="M355" s="652">
        <f t="shared" si="43"/>
        <v>0</v>
      </c>
      <c r="N355" s="652">
        <f t="shared" si="41"/>
        <v>0</v>
      </c>
      <c r="O355" s="652">
        <v>7005.77</v>
      </c>
      <c r="P355" s="685">
        <v>157900.247722</v>
      </c>
      <c r="Q355" s="684">
        <v>0</v>
      </c>
      <c r="R355" s="652">
        <f>SUMIFS(OBE!$H:$H,OBE!$C:$C,'Standalone TB'!$B355,OBE!$B:$B,"A20")</f>
        <v>0</v>
      </c>
      <c r="S355" s="652">
        <f>SUMIFS('Elimination - PL'!I:I,'Elimination - PL'!A:A,"EA20",'Elimination - PL'!D:D,'Standalone TB'!B355)</f>
        <v>0</v>
      </c>
      <c r="T355" s="652">
        <f t="shared" si="44"/>
        <v>0</v>
      </c>
      <c r="U355" s="652">
        <f t="shared" si="42"/>
        <v>0</v>
      </c>
      <c r="V355" s="652">
        <v>0</v>
      </c>
      <c r="W355" s="685">
        <v>0</v>
      </c>
      <c r="X355" s="689">
        <f t="shared" si="45"/>
        <v>0</v>
      </c>
      <c r="Y355" s="689">
        <f t="shared" si="46"/>
        <v>-953569.41227800015</v>
      </c>
      <c r="Z355" s="652" t="s">
        <v>817</v>
      </c>
      <c r="AA355" s="666" t="s">
        <v>152</v>
      </c>
      <c r="AB355" s="666" t="s">
        <v>2314</v>
      </c>
      <c r="AD355" s="665"/>
    </row>
    <row r="356" spans="2:30" hidden="1" x14ac:dyDescent="0.2">
      <c r="B356" s="673" t="s">
        <v>2358</v>
      </c>
      <c r="C356" s="666" t="s">
        <v>2359</v>
      </c>
      <c r="D356" s="666" t="s">
        <v>670</v>
      </c>
      <c r="E356" s="684">
        <v>13360313.100000001</v>
      </c>
      <c r="F356" s="652">
        <f>SUMIFS(OBE!$H:$H,OBE!$C:$C,'Standalone TB'!$B356,OBE!$B:$B,"A21")</f>
        <v>0</v>
      </c>
      <c r="G356" s="652">
        <f>SUMIFS('Elimination - PL'!I:I,'Elimination - PL'!A:A,"EA21",'Elimination - PL'!D:D,'Standalone TB'!B356)</f>
        <v>0</v>
      </c>
      <c r="H356" s="652">
        <f t="shared" ref="H356:H419" si="47">SUM(E356:G356)</f>
        <v>13360313.100000001</v>
      </c>
      <c r="I356" s="652">
        <v>19095969.420000002</v>
      </c>
      <c r="J356" s="684">
        <v>0</v>
      </c>
      <c r="K356" s="652">
        <f>SUMIFS(OBE!$H:$H,OBE!$C:$C,'Standalone TB'!$B356,OBE!$B:$B,"A22")</f>
        <v>0</v>
      </c>
      <c r="L356" s="652">
        <f>SUMIFS('Elimination - PL'!I:I,'Elimination - PL'!A:A,"EA22",'Elimination - PL'!D:D,'Standalone TB'!B356)</f>
        <v>0</v>
      </c>
      <c r="M356" s="652">
        <f t="shared" si="43"/>
        <v>0</v>
      </c>
      <c r="N356" s="652">
        <f t="shared" si="41"/>
        <v>0</v>
      </c>
      <c r="O356" s="652">
        <v>0</v>
      </c>
      <c r="P356" s="685">
        <v>0</v>
      </c>
      <c r="Q356" s="684">
        <v>0</v>
      </c>
      <c r="R356" s="652">
        <f>SUMIFS(OBE!$H:$H,OBE!$C:$C,'Standalone TB'!$B356,OBE!$B:$B,"A20")</f>
        <v>0</v>
      </c>
      <c r="S356" s="652">
        <f>SUMIFS('Elimination - PL'!I:I,'Elimination - PL'!A:A,"EA20",'Elimination - PL'!D:D,'Standalone TB'!B356)</f>
        <v>0</v>
      </c>
      <c r="T356" s="652">
        <f t="shared" si="44"/>
        <v>0</v>
      </c>
      <c r="U356" s="652">
        <f t="shared" si="42"/>
        <v>0</v>
      </c>
      <c r="V356" s="652">
        <v>0</v>
      </c>
      <c r="W356" s="685">
        <v>0</v>
      </c>
      <c r="X356" s="689">
        <f t="shared" si="45"/>
        <v>13360313.100000001</v>
      </c>
      <c r="Y356" s="689">
        <f t="shared" si="46"/>
        <v>19095969.420000002</v>
      </c>
      <c r="Z356" s="652" t="s">
        <v>817</v>
      </c>
      <c r="AA356" s="666" t="s">
        <v>152</v>
      </c>
      <c r="AB356" s="666" t="s">
        <v>2314</v>
      </c>
      <c r="AD356" s="665"/>
    </row>
    <row r="357" spans="2:30" hidden="1" x14ac:dyDescent="0.2">
      <c r="B357" s="673" t="s">
        <v>2360</v>
      </c>
      <c r="C357" s="666" t="s">
        <v>2361</v>
      </c>
      <c r="D357" s="666" t="s">
        <v>670</v>
      </c>
      <c r="E357" s="684">
        <v>125406</v>
      </c>
      <c r="F357" s="652">
        <f>SUMIFS(OBE!$H:$H,OBE!$C:$C,'Standalone TB'!$B357,OBE!$B:$B,"A21")</f>
        <v>0</v>
      </c>
      <c r="G357" s="652">
        <f>SUMIFS('Elimination - PL'!I:I,'Elimination - PL'!A:A,"EA21",'Elimination - PL'!D:D,'Standalone TB'!B357)</f>
        <v>0</v>
      </c>
      <c r="H357" s="652">
        <f t="shared" si="47"/>
        <v>125406</v>
      </c>
      <c r="I357" s="652">
        <v>1000</v>
      </c>
      <c r="J357" s="684">
        <v>0</v>
      </c>
      <c r="K357" s="652">
        <f>SUMIFS(OBE!$H:$H,OBE!$C:$C,'Standalone TB'!$B357,OBE!$B:$B,"A22")</f>
        <v>0</v>
      </c>
      <c r="L357" s="652">
        <f>SUMIFS('Elimination - PL'!I:I,'Elimination - PL'!A:A,"EA22",'Elimination - PL'!D:D,'Standalone TB'!B357)</f>
        <v>0</v>
      </c>
      <c r="M357" s="652">
        <f t="shared" si="43"/>
        <v>0</v>
      </c>
      <c r="N357" s="652">
        <f t="shared" si="41"/>
        <v>0</v>
      </c>
      <c r="O357" s="652">
        <v>102.23000000000002</v>
      </c>
      <c r="P357" s="685">
        <v>2304.1210780000001</v>
      </c>
      <c r="Q357" s="684">
        <v>0</v>
      </c>
      <c r="R357" s="652">
        <f>SUMIFS(OBE!$H:$H,OBE!$C:$C,'Standalone TB'!$B357,OBE!$B:$B,"A20")</f>
        <v>0</v>
      </c>
      <c r="S357" s="652">
        <f>SUMIFS('Elimination - PL'!I:I,'Elimination - PL'!A:A,"EA20",'Elimination - PL'!D:D,'Standalone TB'!B357)</f>
        <v>0</v>
      </c>
      <c r="T357" s="652">
        <f t="shared" si="44"/>
        <v>0</v>
      </c>
      <c r="U357" s="652">
        <f t="shared" si="42"/>
        <v>0</v>
      </c>
      <c r="V357" s="652">
        <v>0</v>
      </c>
      <c r="W357" s="685">
        <v>0</v>
      </c>
      <c r="X357" s="689">
        <f t="shared" si="45"/>
        <v>125406</v>
      </c>
      <c r="Y357" s="689">
        <f t="shared" si="46"/>
        <v>3304.1210780000001</v>
      </c>
      <c r="Z357" s="652" t="s">
        <v>817</v>
      </c>
      <c r="AA357" s="666" t="s">
        <v>152</v>
      </c>
      <c r="AB357" s="666" t="s">
        <v>2314</v>
      </c>
      <c r="AD357" s="665"/>
    </row>
    <row r="358" spans="2:30" hidden="1" x14ac:dyDescent="0.2">
      <c r="B358" s="673" t="s">
        <v>2362</v>
      </c>
      <c r="C358" s="666" t="s">
        <v>2363</v>
      </c>
      <c r="D358" s="666" t="s">
        <v>670</v>
      </c>
      <c r="E358" s="684">
        <v>0</v>
      </c>
      <c r="F358" s="652">
        <f>SUMIFS(OBE!$H:$H,OBE!$C:$C,'Standalone TB'!$B358,OBE!$B:$B,"A21")</f>
        <v>0</v>
      </c>
      <c r="G358" s="652">
        <f>SUMIFS('Elimination - PL'!I:I,'Elimination - PL'!A:A,"EA21",'Elimination - PL'!D:D,'Standalone TB'!B358)</f>
        <v>0</v>
      </c>
      <c r="H358" s="652">
        <f t="shared" si="47"/>
        <v>0</v>
      </c>
      <c r="I358" s="652">
        <v>82500</v>
      </c>
      <c r="J358" s="684">
        <v>0</v>
      </c>
      <c r="K358" s="652">
        <f>SUMIFS(OBE!$H:$H,OBE!$C:$C,'Standalone TB'!$B358,OBE!$B:$B,"A22")</f>
        <v>0</v>
      </c>
      <c r="L358" s="652">
        <f>SUMIFS('Elimination - PL'!I:I,'Elimination - PL'!A:A,"EA22",'Elimination - PL'!D:D,'Standalone TB'!B358)</f>
        <v>0</v>
      </c>
      <c r="M358" s="652">
        <f t="shared" si="43"/>
        <v>0</v>
      </c>
      <c r="N358" s="652">
        <f t="shared" si="41"/>
        <v>0</v>
      </c>
      <c r="O358" s="652">
        <v>0</v>
      </c>
      <c r="P358" s="685">
        <v>0</v>
      </c>
      <c r="Q358" s="684">
        <v>0</v>
      </c>
      <c r="R358" s="652">
        <f>SUMIFS(OBE!$H:$H,OBE!$C:$C,'Standalone TB'!$B358,OBE!$B:$B,"A20")</f>
        <v>0</v>
      </c>
      <c r="S358" s="652">
        <f>SUMIFS('Elimination - PL'!I:I,'Elimination - PL'!A:A,"EA20",'Elimination - PL'!D:D,'Standalone TB'!B358)</f>
        <v>0</v>
      </c>
      <c r="T358" s="652">
        <f t="shared" si="44"/>
        <v>0</v>
      </c>
      <c r="U358" s="652">
        <f t="shared" si="42"/>
        <v>0</v>
      </c>
      <c r="V358" s="652">
        <v>0</v>
      </c>
      <c r="W358" s="685">
        <v>0</v>
      </c>
      <c r="X358" s="689">
        <f t="shared" si="45"/>
        <v>0</v>
      </c>
      <c r="Y358" s="689">
        <f t="shared" si="46"/>
        <v>82500</v>
      </c>
      <c r="Z358" s="652" t="s">
        <v>817</v>
      </c>
      <c r="AA358" s="666" t="s">
        <v>152</v>
      </c>
      <c r="AB358" s="666" t="s">
        <v>2314</v>
      </c>
      <c r="AD358" s="665"/>
    </row>
    <row r="359" spans="2:30" hidden="1" x14ac:dyDescent="0.2">
      <c r="B359" s="673" t="s">
        <v>2364</v>
      </c>
      <c r="C359" s="666" t="s">
        <v>2365</v>
      </c>
      <c r="D359" s="666" t="s">
        <v>670</v>
      </c>
      <c r="E359" s="684">
        <v>0</v>
      </c>
      <c r="F359" s="652">
        <f>SUMIFS(OBE!$H:$H,OBE!$C:$C,'Standalone TB'!$B359,OBE!$B:$B,"A21")</f>
        <v>0</v>
      </c>
      <c r="G359" s="652">
        <f>SUMIFS('Elimination - PL'!I:I,'Elimination - PL'!A:A,"EA21",'Elimination - PL'!D:D,'Standalone TB'!B359)</f>
        <v>0</v>
      </c>
      <c r="H359" s="652">
        <f t="shared" si="47"/>
        <v>0</v>
      </c>
      <c r="I359" s="652">
        <v>0</v>
      </c>
      <c r="J359" s="684">
        <v>0</v>
      </c>
      <c r="K359" s="652">
        <f>SUMIFS(OBE!$H:$H,OBE!$C:$C,'Standalone TB'!$B359,OBE!$B:$B,"A22")</f>
        <v>0</v>
      </c>
      <c r="L359" s="652">
        <f>SUMIFS('Elimination - PL'!I:I,'Elimination - PL'!A:A,"EA22",'Elimination - PL'!D:D,'Standalone TB'!B359)</f>
        <v>0</v>
      </c>
      <c r="M359" s="652">
        <f t="shared" si="43"/>
        <v>0</v>
      </c>
      <c r="N359" s="652">
        <f t="shared" si="41"/>
        <v>0</v>
      </c>
      <c r="O359" s="652">
        <v>121.33</v>
      </c>
      <c r="P359" s="685">
        <v>2734.608338</v>
      </c>
      <c r="Q359" s="684">
        <v>0</v>
      </c>
      <c r="R359" s="652">
        <f>SUMIFS(OBE!$H:$H,OBE!$C:$C,'Standalone TB'!$B359,OBE!$B:$B,"A20")</f>
        <v>0</v>
      </c>
      <c r="S359" s="652">
        <f>SUMIFS('Elimination - PL'!I:I,'Elimination - PL'!A:A,"EA20",'Elimination - PL'!D:D,'Standalone TB'!B359)</f>
        <v>0</v>
      </c>
      <c r="T359" s="652">
        <f t="shared" si="44"/>
        <v>0</v>
      </c>
      <c r="U359" s="652">
        <f t="shared" si="42"/>
        <v>0</v>
      </c>
      <c r="V359" s="652">
        <v>0</v>
      </c>
      <c r="W359" s="685">
        <v>0</v>
      </c>
      <c r="X359" s="689">
        <f t="shared" si="45"/>
        <v>0</v>
      </c>
      <c r="Y359" s="689">
        <f t="shared" si="46"/>
        <v>2734.608338</v>
      </c>
      <c r="Z359" s="652" t="s">
        <v>817</v>
      </c>
      <c r="AA359" s="666" t="s">
        <v>152</v>
      </c>
      <c r="AB359" s="666" t="s">
        <v>2314</v>
      </c>
      <c r="AD359" s="665"/>
    </row>
    <row r="360" spans="2:30" hidden="1" x14ac:dyDescent="0.2">
      <c r="B360" s="673" t="s">
        <v>2366</v>
      </c>
      <c r="C360" s="666" t="s">
        <v>2367</v>
      </c>
      <c r="D360" s="666" t="s">
        <v>670</v>
      </c>
      <c r="E360" s="684">
        <v>0</v>
      </c>
      <c r="F360" s="652">
        <f>SUMIFS(OBE!$H:$H,OBE!$C:$C,'Standalone TB'!$B360,OBE!$B:$B,"A21")</f>
        <v>0</v>
      </c>
      <c r="G360" s="652">
        <f>SUMIFS('Elimination - PL'!I:I,'Elimination - PL'!A:A,"EA21",'Elimination - PL'!D:D,'Standalone TB'!B360)</f>
        <v>0</v>
      </c>
      <c r="H360" s="652">
        <f t="shared" si="47"/>
        <v>0</v>
      </c>
      <c r="I360" s="652">
        <v>0</v>
      </c>
      <c r="J360" s="684">
        <v>0</v>
      </c>
      <c r="K360" s="652">
        <f>SUMIFS(OBE!$H:$H,OBE!$C:$C,'Standalone TB'!$B360,OBE!$B:$B,"A22")</f>
        <v>0</v>
      </c>
      <c r="L360" s="652">
        <f>SUMIFS('Elimination - PL'!I:I,'Elimination - PL'!A:A,"EA22",'Elimination - PL'!D:D,'Standalone TB'!B360)</f>
        <v>0</v>
      </c>
      <c r="M360" s="652">
        <f t="shared" si="43"/>
        <v>0</v>
      </c>
      <c r="N360" s="652">
        <f t="shared" si="41"/>
        <v>0</v>
      </c>
      <c r="O360" s="652">
        <v>0</v>
      </c>
      <c r="P360" s="685">
        <v>0</v>
      </c>
      <c r="Q360" s="684">
        <v>0</v>
      </c>
      <c r="R360" s="652">
        <f>SUMIFS(OBE!$H:$H,OBE!$C:$C,'Standalone TB'!$B360,OBE!$B:$B,"A20")</f>
        <v>0</v>
      </c>
      <c r="S360" s="652">
        <f>SUMIFS('Elimination - PL'!I:I,'Elimination - PL'!A:A,"EA20",'Elimination - PL'!D:D,'Standalone TB'!B360)</f>
        <v>0</v>
      </c>
      <c r="T360" s="652">
        <f t="shared" si="44"/>
        <v>0</v>
      </c>
      <c r="U360" s="652">
        <f t="shared" si="42"/>
        <v>0</v>
      </c>
      <c r="V360" s="652">
        <v>0</v>
      </c>
      <c r="W360" s="685">
        <v>0</v>
      </c>
      <c r="X360" s="689">
        <f t="shared" si="45"/>
        <v>0</v>
      </c>
      <c r="Y360" s="689">
        <f t="shared" si="46"/>
        <v>0</v>
      </c>
      <c r="Z360" s="652" t="s">
        <v>817</v>
      </c>
      <c r="AA360" s="666" t="s">
        <v>152</v>
      </c>
      <c r="AB360" s="666" t="s">
        <v>2314</v>
      </c>
      <c r="AD360" s="665"/>
    </row>
    <row r="361" spans="2:30" hidden="1" x14ac:dyDescent="0.2">
      <c r="B361" s="673" t="s">
        <v>2368</v>
      </c>
      <c r="C361" s="666" t="s">
        <v>2369</v>
      </c>
      <c r="D361" s="666" t="s">
        <v>670</v>
      </c>
      <c r="E361" s="684">
        <v>0</v>
      </c>
      <c r="F361" s="652">
        <f>SUMIFS(OBE!$H:$H,OBE!$C:$C,'Standalone TB'!$B361,OBE!$B:$B,"A21")</f>
        <v>0</v>
      </c>
      <c r="G361" s="652">
        <f>SUMIFS('Elimination - PL'!I:I,'Elimination - PL'!A:A,"EA21",'Elimination - PL'!D:D,'Standalone TB'!B361)</f>
        <v>0</v>
      </c>
      <c r="H361" s="652">
        <f t="shared" si="47"/>
        <v>0</v>
      </c>
      <c r="I361" s="652">
        <v>3056</v>
      </c>
      <c r="J361" s="684">
        <v>0</v>
      </c>
      <c r="K361" s="652">
        <f>SUMIFS(OBE!$H:$H,OBE!$C:$C,'Standalone TB'!$B361,OBE!$B:$B,"A22")</f>
        <v>0</v>
      </c>
      <c r="L361" s="652">
        <f>SUMIFS('Elimination - PL'!I:I,'Elimination - PL'!A:A,"EA22",'Elimination - PL'!D:D,'Standalone TB'!B361)</f>
        <v>0</v>
      </c>
      <c r="M361" s="652">
        <f t="shared" si="43"/>
        <v>0</v>
      </c>
      <c r="N361" s="652">
        <f t="shared" si="41"/>
        <v>0</v>
      </c>
      <c r="O361" s="652">
        <v>0</v>
      </c>
      <c r="P361" s="685">
        <v>0</v>
      </c>
      <c r="Q361" s="684">
        <v>0</v>
      </c>
      <c r="R361" s="652">
        <f>SUMIFS(OBE!$H:$H,OBE!$C:$C,'Standalone TB'!$B361,OBE!$B:$B,"A20")</f>
        <v>0</v>
      </c>
      <c r="S361" s="652">
        <f>SUMIFS('Elimination - PL'!I:I,'Elimination - PL'!A:A,"EA20",'Elimination - PL'!D:D,'Standalone TB'!B361)</f>
        <v>0</v>
      </c>
      <c r="T361" s="652">
        <f t="shared" si="44"/>
        <v>0</v>
      </c>
      <c r="U361" s="652">
        <f t="shared" si="42"/>
        <v>0</v>
      </c>
      <c r="V361" s="652">
        <v>0</v>
      </c>
      <c r="W361" s="685">
        <v>0</v>
      </c>
      <c r="X361" s="689">
        <f t="shared" si="45"/>
        <v>0</v>
      </c>
      <c r="Y361" s="689">
        <f t="shared" si="46"/>
        <v>3056</v>
      </c>
      <c r="Z361" s="652" t="s">
        <v>817</v>
      </c>
      <c r="AA361" s="666" t="s">
        <v>152</v>
      </c>
      <c r="AB361" s="666" t="s">
        <v>2314</v>
      </c>
      <c r="AD361" s="665"/>
    </row>
    <row r="362" spans="2:30" hidden="1" x14ac:dyDescent="0.2">
      <c r="B362" s="673" t="s">
        <v>2370</v>
      </c>
      <c r="C362" s="666" t="s">
        <v>2371</v>
      </c>
      <c r="D362" s="666" t="s">
        <v>670</v>
      </c>
      <c r="E362" s="684">
        <v>0</v>
      </c>
      <c r="F362" s="652">
        <f>SUMIFS(OBE!$H:$H,OBE!$C:$C,'Standalone TB'!$B362,OBE!$B:$B,"A21")</f>
        <v>0</v>
      </c>
      <c r="G362" s="652">
        <f>SUMIFS('Elimination - PL'!I:I,'Elimination - PL'!A:A,"EA21",'Elimination - PL'!D:D,'Standalone TB'!B362)</f>
        <v>0</v>
      </c>
      <c r="H362" s="652">
        <f t="shared" si="47"/>
        <v>0</v>
      </c>
      <c r="I362" s="652">
        <v>0</v>
      </c>
      <c r="J362" s="684">
        <v>0</v>
      </c>
      <c r="K362" s="652">
        <f>SUMIFS(OBE!$H:$H,OBE!$C:$C,'Standalone TB'!$B362,OBE!$B:$B,"A22")</f>
        <v>0</v>
      </c>
      <c r="L362" s="652">
        <f>SUMIFS('Elimination - PL'!I:I,'Elimination - PL'!A:A,"EA22",'Elimination - PL'!D:D,'Standalone TB'!B362)</f>
        <v>0</v>
      </c>
      <c r="M362" s="652">
        <f t="shared" si="43"/>
        <v>0</v>
      </c>
      <c r="N362" s="652">
        <f t="shared" si="41"/>
        <v>0</v>
      </c>
      <c r="O362" s="652">
        <v>0</v>
      </c>
      <c r="P362" s="685">
        <v>0</v>
      </c>
      <c r="Q362" s="684">
        <v>0</v>
      </c>
      <c r="R362" s="652">
        <f>SUMIFS(OBE!$H:$H,OBE!$C:$C,'Standalone TB'!$B362,OBE!$B:$B,"A20")</f>
        <v>0</v>
      </c>
      <c r="S362" s="652">
        <f>SUMIFS('Elimination - PL'!I:I,'Elimination - PL'!A:A,"EA20",'Elimination - PL'!D:D,'Standalone TB'!B362)</f>
        <v>0</v>
      </c>
      <c r="T362" s="652">
        <f t="shared" si="44"/>
        <v>0</v>
      </c>
      <c r="U362" s="652">
        <f t="shared" si="42"/>
        <v>0</v>
      </c>
      <c r="V362" s="652">
        <v>0</v>
      </c>
      <c r="W362" s="685">
        <v>0</v>
      </c>
      <c r="X362" s="689">
        <f t="shared" si="45"/>
        <v>0</v>
      </c>
      <c r="Y362" s="689">
        <f t="shared" si="46"/>
        <v>0</v>
      </c>
      <c r="Z362" s="652" t="s">
        <v>830</v>
      </c>
      <c r="AA362" s="666" t="s">
        <v>152</v>
      </c>
      <c r="AB362" s="666" t="s">
        <v>2314</v>
      </c>
      <c r="AD362" s="665"/>
    </row>
    <row r="363" spans="2:30" hidden="1" x14ac:dyDescent="0.2">
      <c r="B363" s="673" t="s">
        <v>2372</v>
      </c>
      <c r="C363" s="666" t="s">
        <v>2373</v>
      </c>
      <c r="D363" s="666" t="s">
        <v>670</v>
      </c>
      <c r="E363" s="684">
        <v>7336942.9500000002</v>
      </c>
      <c r="F363" s="652">
        <f>SUMIFS(OBE!$H:$H,OBE!$C:$C,'Standalone TB'!$B363,OBE!$B:$B,"A21")</f>
        <v>0</v>
      </c>
      <c r="G363" s="652">
        <f>SUMIFS('Elimination - PL'!I:I,'Elimination - PL'!A:A,"EA21",'Elimination - PL'!D:D,'Standalone TB'!B363)</f>
        <v>0</v>
      </c>
      <c r="H363" s="652">
        <f t="shared" si="47"/>
        <v>7336942.9500000002</v>
      </c>
      <c r="I363" s="652">
        <v>8379156.1399999997</v>
      </c>
      <c r="J363" s="684">
        <v>0</v>
      </c>
      <c r="K363" s="652">
        <f>SUMIFS(OBE!$H:$H,OBE!$C:$C,'Standalone TB'!$B363,OBE!$B:$B,"A22")</f>
        <v>0</v>
      </c>
      <c r="L363" s="652">
        <f>SUMIFS('Elimination - PL'!I:I,'Elimination - PL'!A:A,"EA22",'Elimination - PL'!D:D,'Standalone TB'!B363)</f>
        <v>0</v>
      </c>
      <c r="M363" s="652">
        <f t="shared" si="43"/>
        <v>0</v>
      </c>
      <c r="N363" s="652">
        <f t="shared" si="41"/>
        <v>0</v>
      </c>
      <c r="O363" s="652">
        <v>0</v>
      </c>
      <c r="P363" s="685">
        <v>0</v>
      </c>
      <c r="Q363" s="684">
        <v>0</v>
      </c>
      <c r="R363" s="652">
        <f>SUMIFS(OBE!$H:$H,OBE!$C:$C,'Standalone TB'!$B363,OBE!$B:$B,"A20")</f>
        <v>0</v>
      </c>
      <c r="S363" s="652">
        <f>SUMIFS('Elimination - PL'!I:I,'Elimination - PL'!A:A,"EA20",'Elimination - PL'!D:D,'Standalone TB'!B363)</f>
        <v>0</v>
      </c>
      <c r="T363" s="652">
        <f t="shared" si="44"/>
        <v>0</v>
      </c>
      <c r="U363" s="652">
        <f t="shared" si="42"/>
        <v>0</v>
      </c>
      <c r="V363" s="652">
        <v>0</v>
      </c>
      <c r="W363" s="685">
        <v>0</v>
      </c>
      <c r="X363" s="689">
        <f t="shared" si="45"/>
        <v>7336942.9500000002</v>
      </c>
      <c r="Y363" s="689">
        <f t="shared" si="46"/>
        <v>8379156.1399999997</v>
      </c>
      <c r="Z363" s="652" t="s">
        <v>830</v>
      </c>
      <c r="AA363" s="666" t="s">
        <v>152</v>
      </c>
      <c r="AB363" s="666" t="s">
        <v>2314</v>
      </c>
      <c r="AD363" s="665"/>
    </row>
    <row r="364" spans="2:30" hidden="1" x14ac:dyDescent="0.2">
      <c r="B364" s="673" t="s">
        <v>2374</v>
      </c>
      <c r="C364" s="666" t="s">
        <v>2375</v>
      </c>
      <c r="D364" s="666" t="s">
        <v>670</v>
      </c>
      <c r="E364" s="684">
        <v>0</v>
      </c>
      <c r="F364" s="652">
        <f>SUMIFS(OBE!$H:$H,OBE!$C:$C,'Standalone TB'!$B364,OBE!$B:$B,"A21")</f>
        <v>0</v>
      </c>
      <c r="G364" s="652">
        <f>SUMIFS('Elimination - PL'!I:I,'Elimination - PL'!A:A,"EA21",'Elimination - PL'!D:D,'Standalone TB'!B364)</f>
        <v>0</v>
      </c>
      <c r="H364" s="652">
        <f t="shared" si="47"/>
        <v>0</v>
      </c>
      <c r="I364" s="652">
        <v>0</v>
      </c>
      <c r="J364" s="684">
        <v>0</v>
      </c>
      <c r="K364" s="652">
        <f>SUMIFS(OBE!$H:$H,OBE!$C:$C,'Standalone TB'!$B364,OBE!$B:$B,"A22")</f>
        <v>0</v>
      </c>
      <c r="L364" s="652">
        <f>SUMIFS('Elimination - PL'!I:I,'Elimination - PL'!A:A,"EA22",'Elimination - PL'!D:D,'Standalone TB'!B364)</f>
        <v>0</v>
      </c>
      <c r="M364" s="652">
        <f t="shared" si="43"/>
        <v>0</v>
      </c>
      <c r="N364" s="652">
        <f t="shared" si="41"/>
        <v>0</v>
      </c>
      <c r="O364" s="652">
        <v>0</v>
      </c>
      <c r="P364" s="685">
        <v>0</v>
      </c>
      <c r="Q364" s="684">
        <v>0</v>
      </c>
      <c r="R364" s="652">
        <f>SUMIFS(OBE!$H:$H,OBE!$C:$C,'Standalone TB'!$B364,OBE!$B:$B,"A20")</f>
        <v>0</v>
      </c>
      <c r="S364" s="652">
        <f>SUMIFS('Elimination - PL'!I:I,'Elimination - PL'!A:A,"EA20",'Elimination - PL'!D:D,'Standalone TB'!B364)</f>
        <v>0</v>
      </c>
      <c r="T364" s="652">
        <f t="shared" si="44"/>
        <v>0</v>
      </c>
      <c r="U364" s="652">
        <f t="shared" si="42"/>
        <v>0</v>
      </c>
      <c r="V364" s="652">
        <v>0</v>
      </c>
      <c r="W364" s="685">
        <v>0</v>
      </c>
      <c r="X364" s="689">
        <f t="shared" si="45"/>
        <v>0</v>
      </c>
      <c r="Y364" s="689">
        <f t="shared" si="46"/>
        <v>0</v>
      </c>
      <c r="Z364" s="652"/>
      <c r="AA364" s="666" t="s">
        <v>152</v>
      </c>
      <c r="AB364" s="666" t="s">
        <v>2314</v>
      </c>
      <c r="AD364" s="665"/>
    </row>
    <row r="365" spans="2:30" hidden="1" x14ac:dyDescent="0.2">
      <c r="B365" s="673" t="s">
        <v>2376</v>
      </c>
      <c r="C365" s="666" t="s">
        <v>2377</v>
      </c>
      <c r="D365" s="666" t="s">
        <v>670</v>
      </c>
      <c r="E365" s="684">
        <v>0</v>
      </c>
      <c r="F365" s="652">
        <f>SUMIFS(OBE!$H:$H,OBE!$C:$C,'Standalone TB'!$B365,OBE!$B:$B,"A21")</f>
        <v>0</v>
      </c>
      <c r="G365" s="652">
        <f>SUMIFS('Elimination - PL'!I:I,'Elimination - PL'!A:A,"EA21",'Elimination - PL'!D:D,'Standalone TB'!B365)</f>
        <v>0</v>
      </c>
      <c r="H365" s="652">
        <f t="shared" si="47"/>
        <v>0</v>
      </c>
      <c r="I365" s="652">
        <v>0</v>
      </c>
      <c r="J365" s="684">
        <v>0</v>
      </c>
      <c r="K365" s="652">
        <f>SUMIFS(OBE!$H:$H,OBE!$C:$C,'Standalone TB'!$B365,OBE!$B:$B,"A22")</f>
        <v>0</v>
      </c>
      <c r="L365" s="652">
        <f>SUMIFS('Elimination - PL'!I:I,'Elimination - PL'!A:A,"EA22",'Elimination - PL'!D:D,'Standalone TB'!B365)</f>
        <v>0</v>
      </c>
      <c r="M365" s="652">
        <f t="shared" si="43"/>
        <v>0</v>
      </c>
      <c r="N365" s="652">
        <f t="shared" si="41"/>
        <v>0</v>
      </c>
      <c r="O365" s="652">
        <v>0</v>
      </c>
      <c r="P365" s="685">
        <v>0</v>
      </c>
      <c r="Q365" s="684">
        <v>0</v>
      </c>
      <c r="R365" s="652">
        <f>SUMIFS(OBE!$H:$H,OBE!$C:$C,'Standalone TB'!$B365,OBE!$B:$B,"A20")</f>
        <v>0</v>
      </c>
      <c r="S365" s="652">
        <f>SUMIFS('Elimination - PL'!I:I,'Elimination - PL'!A:A,"EA20",'Elimination - PL'!D:D,'Standalone TB'!B365)</f>
        <v>0</v>
      </c>
      <c r="T365" s="652">
        <f t="shared" si="44"/>
        <v>0</v>
      </c>
      <c r="U365" s="652">
        <f t="shared" si="42"/>
        <v>0</v>
      </c>
      <c r="V365" s="652">
        <v>0</v>
      </c>
      <c r="W365" s="685">
        <v>0</v>
      </c>
      <c r="X365" s="689">
        <f t="shared" si="45"/>
        <v>0</v>
      </c>
      <c r="Y365" s="689">
        <f t="shared" si="46"/>
        <v>0</v>
      </c>
      <c r="Z365" s="652"/>
      <c r="AA365" s="666" t="s">
        <v>152</v>
      </c>
      <c r="AB365" s="666" t="s">
        <v>2314</v>
      </c>
      <c r="AD365" s="665"/>
    </row>
    <row r="366" spans="2:30" hidden="1" x14ac:dyDescent="0.2">
      <c r="B366" s="673" t="s">
        <v>2378</v>
      </c>
      <c r="C366" s="666" t="s">
        <v>2379</v>
      </c>
      <c r="D366" s="666" t="s">
        <v>670</v>
      </c>
      <c r="E366" s="684">
        <v>0</v>
      </c>
      <c r="F366" s="652">
        <f>SUMIFS(OBE!$H:$H,OBE!$C:$C,'Standalone TB'!$B366,OBE!$B:$B,"A21")</f>
        <v>0</v>
      </c>
      <c r="G366" s="652">
        <f>SUMIFS('Elimination - PL'!I:I,'Elimination - PL'!A:A,"EA21",'Elimination - PL'!D:D,'Standalone TB'!B366)</f>
        <v>0</v>
      </c>
      <c r="H366" s="652">
        <f t="shared" si="47"/>
        <v>0</v>
      </c>
      <c r="I366" s="652">
        <v>0</v>
      </c>
      <c r="J366" s="684">
        <v>0</v>
      </c>
      <c r="K366" s="652">
        <f>SUMIFS(OBE!$H:$H,OBE!$C:$C,'Standalone TB'!$B366,OBE!$B:$B,"A22")</f>
        <v>0</v>
      </c>
      <c r="L366" s="652">
        <f>SUMIFS('Elimination - PL'!I:I,'Elimination - PL'!A:A,"EA22",'Elimination - PL'!D:D,'Standalone TB'!B366)</f>
        <v>0</v>
      </c>
      <c r="M366" s="652">
        <f t="shared" si="43"/>
        <v>0</v>
      </c>
      <c r="N366" s="652">
        <f t="shared" si="41"/>
        <v>0</v>
      </c>
      <c r="O366" s="652">
        <v>0</v>
      </c>
      <c r="P366" s="685">
        <v>0</v>
      </c>
      <c r="Q366" s="684">
        <v>0</v>
      </c>
      <c r="R366" s="652">
        <f>SUMIFS(OBE!$H:$H,OBE!$C:$C,'Standalone TB'!$B366,OBE!$B:$B,"A20")</f>
        <v>0</v>
      </c>
      <c r="S366" s="652">
        <f>SUMIFS('Elimination - PL'!I:I,'Elimination - PL'!A:A,"EA20",'Elimination - PL'!D:D,'Standalone TB'!B366)</f>
        <v>0</v>
      </c>
      <c r="T366" s="652">
        <f t="shared" si="44"/>
        <v>0</v>
      </c>
      <c r="U366" s="652">
        <f t="shared" si="42"/>
        <v>0</v>
      </c>
      <c r="V366" s="652">
        <v>0</v>
      </c>
      <c r="W366" s="685">
        <v>0</v>
      </c>
      <c r="X366" s="689">
        <f t="shared" si="45"/>
        <v>0</v>
      </c>
      <c r="Y366" s="689">
        <f t="shared" si="46"/>
        <v>0</v>
      </c>
      <c r="Z366" s="652"/>
      <c r="AA366" s="666" t="s">
        <v>152</v>
      </c>
      <c r="AB366" s="666" t="s">
        <v>2314</v>
      </c>
      <c r="AD366" s="665"/>
    </row>
    <row r="367" spans="2:30" hidden="1" x14ac:dyDescent="0.2">
      <c r="B367" s="673" t="s">
        <v>2380</v>
      </c>
      <c r="C367" s="666" t="s">
        <v>2381</v>
      </c>
      <c r="D367" s="666" t="s">
        <v>670</v>
      </c>
      <c r="E367" s="684">
        <v>0</v>
      </c>
      <c r="F367" s="652">
        <f>SUMIFS(OBE!$H:$H,OBE!$C:$C,'Standalone TB'!$B367,OBE!$B:$B,"A21")</f>
        <v>0</v>
      </c>
      <c r="G367" s="652">
        <f>SUMIFS('Elimination - PL'!I:I,'Elimination - PL'!A:A,"EA21",'Elimination - PL'!D:D,'Standalone TB'!B367)</f>
        <v>0</v>
      </c>
      <c r="H367" s="652">
        <f t="shared" si="47"/>
        <v>0</v>
      </c>
      <c r="I367" s="652">
        <v>0</v>
      </c>
      <c r="J367" s="684">
        <v>0</v>
      </c>
      <c r="K367" s="652">
        <f>SUMIFS(OBE!$H:$H,OBE!$C:$C,'Standalone TB'!$B367,OBE!$B:$B,"A22")</f>
        <v>0</v>
      </c>
      <c r="L367" s="652">
        <f>SUMIFS('Elimination - PL'!I:I,'Elimination - PL'!A:A,"EA22",'Elimination - PL'!D:D,'Standalone TB'!B367)</f>
        <v>0</v>
      </c>
      <c r="M367" s="652">
        <f t="shared" si="43"/>
        <v>0</v>
      </c>
      <c r="N367" s="652">
        <f t="shared" ref="N367:N430" si="48">M367*$O$3</f>
        <v>0</v>
      </c>
      <c r="O367" s="652">
        <v>0</v>
      </c>
      <c r="P367" s="685">
        <v>0</v>
      </c>
      <c r="Q367" s="684">
        <v>0</v>
      </c>
      <c r="R367" s="652">
        <f>SUMIFS(OBE!$H:$H,OBE!$C:$C,'Standalone TB'!$B367,OBE!$B:$B,"A20")</f>
        <v>0</v>
      </c>
      <c r="S367" s="652">
        <f>SUMIFS('Elimination - PL'!I:I,'Elimination - PL'!A:A,"EA20",'Elimination - PL'!D:D,'Standalone TB'!B367)</f>
        <v>0</v>
      </c>
      <c r="T367" s="652">
        <f t="shared" si="44"/>
        <v>0</v>
      </c>
      <c r="U367" s="652">
        <f t="shared" ref="U367:U430" si="49">T367*$V$3</f>
        <v>0</v>
      </c>
      <c r="V367" s="652">
        <v>0</v>
      </c>
      <c r="W367" s="685">
        <v>0</v>
      </c>
      <c r="X367" s="689">
        <f t="shared" si="45"/>
        <v>0</v>
      </c>
      <c r="Y367" s="689">
        <f t="shared" si="46"/>
        <v>0</v>
      </c>
      <c r="Z367" s="652"/>
      <c r="AA367" s="666" t="s">
        <v>152</v>
      </c>
      <c r="AB367" s="666" t="s">
        <v>2314</v>
      </c>
      <c r="AD367" s="665"/>
    </row>
    <row r="368" spans="2:30" hidden="1" x14ac:dyDescent="0.2">
      <c r="B368" s="673" t="s">
        <v>1593</v>
      </c>
      <c r="C368" s="666" t="s">
        <v>2382</v>
      </c>
      <c r="D368" s="666" t="s">
        <v>670</v>
      </c>
      <c r="E368" s="684">
        <v>1654279.6099999999</v>
      </c>
      <c r="F368" s="652">
        <f>SUMIFS(OBE!$H:$H,OBE!$C:$C,'Standalone TB'!$B368,OBE!$B:$B,"A21")</f>
        <v>-645219.38000000012</v>
      </c>
      <c r="G368" s="652">
        <f>SUMIFS('Elimination - PL'!I:I,'Elimination - PL'!A:A,"EA21",'Elimination - PL'!D:D,'Standalone TB'!B368)</f>
        <v>0</v>
      </c>
      <c r="H368" s="652">
        <f t="shared" si="47"/>
        <v>1009060.2299999997</v>
      </c>
      <c r="I368" s="652">
        <v>0</v>
      </c>
      <c r="J368" s="684">
        <v>0</v>
      </c>
      <c r="K368" s="652">
        <f>SUMIFS(OBE!$H:$H,OBE!$C:$C,'Standalone TB'!$B368,OBE!$B:$B,"A22")</f>
        <v>0</v>
      </c>
      <c r="L368" s="652">
        <f>SUMIFS('Elimination - PL'!I:I,'Elimination - PL'!A:A,"EA22",'Elimination - PL'!D:D,'Standalone TB'!B368)</f>
        <v>0</v>
      </c>
      <c r="M368" s="652">
        <f t="shared" si="43"/>
        <v>0</v>
      </c>
      <c r="N368" s="652">
        <f t="shared" si="48"/>
        <v>0</v>
      </c>
      <c r="O368" s="652">
        <v>0</v>
      </c>
      <c r="P368" s="685">
        <v>0</v>
      </c>
      <c r="Q368" s="684">
        <v>9086.86</v>
      </c>
      <c r="R368" s="652">
        <f>SUMIFS(OBE!$H:$H,OBE!$C:$C,'Standalone TB'!$B368,OBE!$B:$B,"A20")</f>
        <v>0</v>
      </c>
      <c r="S368" s="652">
        <f>SUMIFS('Elimination - PL'!I:I,'Elimination - PL'!A:A,"EA20",'Elimination - PL'!D:D,'Standalone TB'!B368)</f>
        <v>0</v>
      </c>
      <c r="T368" s="652">
        <f t="shared" si="44"/>
        <v>9086.86</v>
      </c>
      <c r="U368" s="652">
        <f t="shared" si="49"/>
        <v>767128.7024277522</v>
      </c>
      <c r="V368" s="652">
        <v>0</v>
      </c>
      <c r="W368" s="685">
        <v>0</v>
      </c>
      <c r="X368" s="689">
        <f t="shared" si="45"/>
        <v>1776188.9324277518</v>
      </c>
      <c r="Y368" s="689">
        <f t="shared" si="46"/>
        <v>0</v>
      </c>
      <c r="Z368" s="652" t="s">
        <v>809</v>
      </c>
      <c r="AA368" s="666" t="s">
        <v>152</v>
      </c>
      <c r="AB368" s="666" t="s">
        <v>2314</v>
      </c>
      <c r="AD368" s="665"/>
    </row>
    <row r="369" spans="1:30" hidden="1" x14ac:dyDescent="0.2">
      <c r="B369" s="673" t="s">
        <v>2383</v>
      </c>
      <c r="C369" s="666" t="s">
        <v>2384</v>
      </c>
      <c r="D369" s="666" t="s">
        <v>670</v>
      </c>
      <c r="E369" s="684">
        <v>0</v>
      </c>
      <c r="F369" s="652">
        <f>SUMIFS(OBE!$H:$H,OBE!$C:$C,'Standalone TB'!$B369,OBE!$B:$B,"A21")</f>
        <v>0</v>
      </c>
      <c r="G369" s="652">
        <f>SUMIFS('Elimination - PL'!I:I,'Elimination - PL'!A:A,"EA21",'Elimination - PL'!D:D,'Standalone TB'!B369)</f>
        <v>0</v>
      </c>
      <c r="H369" s="652">
        <f t="shared" si="47"/>
        <v>0</v>
      </c>
      <c r="I369" s="652">
        <v>0</v>
      </c>
      <c r="J369" s="684">
        <v>0</v>
      </c>
      <c r="K369" s="652">
        <f>SUMIFS(OBE!$H:$H,OBE!$C:$C,'Standalone TB'!$B369,OBE!$B:$B,"A22")</f>
        <v>0</v>
      </c>
      <c r="L369" s="652">
        <f>SUMIFS('Elimination - PL'!I:I,'Elimination - PL'!A:A,"EA22",'Elimination - PL'!D:D,'Standalone TB'!B369)</f>
        <v>0</v>
      </c>
      <c r="M369" s="652">
        <f t="shared" si="43"/>
        <v>0</v>
      </c>
      <c r="N369" s="652">
        <f t="shared" si="48"/>
        <v>0</v>
      </c>
      <c r="O369" s="652">
        <v>0</v>
      </c>
      <c r="P369" s="685">
        <v>0</v>
      </c>
      <c r="Q369" s="684">
        <v>0</v>
      </c>
      <c r="R369" s="652">
        <f>SUMIFS(OBE!$H:$H,OBE!$C:$C,'Standalone TB'!$B369,OBE!$B:$B,"A20")</f>
        <v>0</v>
      </c>
      <c r="S369" s="652">
        <f>SUMIFS('Elimination - PL'!I:I,'Elimination - PL'!A:A,"EA20",'Elimination - PL'!D:D,'Standalone TB'!B369)</f>
        <v>0</v>
      </c>
      <c r="T369" s="652">
        <f t="shared" si="44"/>
        <v>0</v>
      </c>
      <c r="U369" s="652">
        <f t="shared" si="49"/>
        <v>0</v>
      </c>
      <c r="V369" s="652">
        <v>0</v>
      </c>
      <c r="W369" s="685">
        <v>0</v>
      </c>
      <c r="X369" s="689">
        <f t="shared" si="45"/>
        <v>0</v>
      </c>
      <c r="Y369" s="689">
        <f t="shared" si="46"/>
        <v>0</v>
      </c>
      <c r="Z369" s="652"/>
      <c r="AA369" s="666" t="s">
        <v>152</v>
      </c>
      <c r="AB369" s="666" t="s">
        <v>2314</v>
      </c>
      <c r="AD369" s="665"/>
    </row>
    <row r="370" spans="1:30" hidden="1" x14ac:dyDescent="0.2">
      <c r="B370" s="673" t="s">
        <v>2385</v>
      </c>
      <c r="C370" s="666" t="s">
        <v>2386</v>
      </c>
      <c r="D370" s="666" t="s">
        <v>670</v>
      </c>
      <c r="E370" s="684">
        <v>662215.52</v>
      </c>
      <c r="F370" s="652">
        <f>SUMIFS(OBE!$H:$H,OBE!$C:$C,'Standalone TB'!$B370,OBE!$B:$B,"A21")</f>
        <v>0</v>
      </c>
      <c r="G370" s="652">
        <f>SUMIFS('Elimination - PL'!I:I,'Elimination - PL'!A:A,"EA21",'Elimination - PL'!D:D,'Standalone TB'!B370)</f>
        <v>0</v>
      </c>
      <c r="H370" s="652">
        <f t="shared" si="47"/>
        <v>662215.52</v>
      </c>
      <c r="I370" s="652">
        <v>1584992.64</v>
      </c>
      <c r="J370" s="684">
        <v>0</v>
      </c>
      <c r="K370" s="652">
        <f>SUMIFS(OBE!$H:$H,OBE!$C:$C,'Standalone TB'!$B370,OBE!$B:$B,"A22")</f>
        <v>0</v>
      </c>
      <c r="L370" s="652">
        <f>SUMIFS('Elimination - PL'!I:I,'Elimination - PL'!A:A,"EA22",'Elimination - PL'!D:D,'Standalone TB'!B370)</f>
        <v>0</v>
      </c>
      <c r="M370" s="652">
        <f t="shared" si="43"/>
        <v>0</v>
      </c>
      <c r="N370" s="652">
        <f t="shared" si="48"/>
        <v>0</v>
      </c>
      <c r="O370" s="652">
        <v>0</v>
      </c>
      <c r="P370" s="685">
        <v>0</v>
      </c>
      <c r="Q370" s="684">
        <v>66366.239999999991</v>
      </c>
      <c r="R370" s="652">
        <f>SUMIFS(OBE!$H:$H,OBE!$C:$C,'Standalone TB'!$B370,OBE!$B:$B,"A20")</f>
        <v>0</v>
      </c>
      <c r="S370" s="652">
        <f>SUMIFS('Elimination - PL'!I:I,'Elimination - PL'!A:A,"EA20",'Elimination - PL'!D:D,'Standalone TB'!B370)</f>
        <v>0</v>
      </c>
      <c r="T370" s="652">
        <f t="shared" si="44"/>
        <v>66366.239999999991</v>
      </c>
      <c r="U370" s="652">
        <f t="shared" si="49"/>
        <v>5602754.7003264902</v>
      </c>
      <c r="V370" s="652">
        <v>99549.37</v>
      </c>
      <c r="W370" s="685">
        <v>8242110.4496539999</v>
      </c>
      <c r="X370" s="689">
        <f t="shared" si="45"/>
        <v>6264970.2203264907</v>
      </c>
      <c r="Y370" s="689">
        <f t="shared" si="46"/>
        <v>9827103.0896540005</v>
      </c>
      <c r="Z370" s="652" t="s">
        <v>825</v>
      </c>
      <c r="AA370" s="666" t="s">
        <v>152</v>
      </c>
      <c r="AB370" s="666" t="s">
        <v>2314</v>
      </c>
      <c r="AD370" s="665"/>
    </row>
    <row r="371" spans="1:30" hidden="1" x14ac:dyDescent="0.2">
      <c r="B371" s="673" t="s">
        <v>2387</v>
      </c>
      <c r="C371" s="666" t="s">
        <v>2388</v>
      </c>
      <c r="D371" s="666" t="s">
        <v>670</v>
      </c>
      <c r="E371" s="684">
        <v>3143481.67</v>
      </c>
      <c r="F371" s="652">
        <f>SUMIFS(OBE!$H:$H,OBE!$C:$C,'Standalone TB'!$B371,OBE!$B:$B,"A21")</f>
        <v>0</v>
      </c>
      <c r="G371" s="652">
        <f>SUMIFS('Elimination - PL'!I:I,'Elimination - PL'!A:A,"EA21",'Elimination - PL'!D:D,'Standalone TB'!B371)</f>
        <v>0</v>
      </c>
      <c r="H371" s="652">
        <f t="shared" si="47"/>
        <v>3143481.67</v>
      </c>
      <c r="I371" s="652">
        <v>3281608.0999999996</v>
      </c>
      <c r="J371" s="684">
        <v>0</v>
      </c>
      <c r="K371" s="652">
        <f>SUMIFS(OBE!$H:$H,OBE!$C:$C,'Standalone TB'!$B371,OBE!$B:$B,"A22")</f>
        <v>0</v>
      </c>
      <c r="L371" s="652">
        <f>SUMIFS('Elimination - PL'!I:I,'Elimination - PL'!A:A,"EA22",'Elimination - PL'!D:D,'Standalone TB'!B371)</f>
        <v>0</v>
      </c>
      <c r="M371" s="652">
        <f t="shared" si="43"/>
        <v>0</v>
      </c>
      <c r="N371" s="652">
        <f t="shared" si="48"/>
        <v>0</v>
      </c>
      <c r="O371" s="652">
        <v>0</v>
      </c>
      <c r="P371" s="685">
        <v>0</v>
      </c>
      <c r="Q371" s="684">
        <v>33183.119999999995</v>
      </c>
      <c r="R371" s="652">
        <f>SUMIFS(OBE!$H:$H,OBE!$C:$C,'Standalone TB'!$B371,OBE!$B:$B,"A20")</f>
        <v>0</v>
      </c>
      <c r="S371" s="652">
        <f>SUMIFS('Elimination - PL'!I:I,'Elimination - PL'!A:A,"EA20",'Elimination - PL'!D:D,'Standalone TB'!B371)</f>
        <v>0</v>
      </c>
      <c r="T371" s="652">
        <f t="shared" si="44"/>
        <v>33183.119999999995</v>
      </c>
      <c r="U371" s="652">
        <f t="shared" si="49"/>
        <v>2801377.3501632451</v>
      </c>
      <c r="V371" s="652">
        <v>-33630.14</v>
      </c>
      <c r="W371" s="685">
        <v>-2784380.537188</v>
      </c>
      <c r="X371" s="689">
        <f t="shared" si="45"/>
        <v>5944859.0201632455</v>
      </c>
      <c r="Y371" s="689">
        <f t="shared" si="46"/>
        <v>497227.56281199958</v>
      </c>
      <c r="Z371" s="652" t="s">
        <v>825</v>
      </c>
      <c r="AA371" s="666" t="s">
        <v>152</v>
      </c>
      <c r="AB371" s="666" t="s">
        <v>2314</v>
      </c>
      <c r="AD371" s="665"/>
    </row>
    <row r="372" spans="1:30" hidden="1" x14ac:dyDescent="0.2">
      <c r="B372" s="673" t="s">
        <v>2389</v>
      </c>
      <c r="C372" s="666" t="s">
        <v>2390</v>
      </c>
      <c r="D372" s="666" t="s">
        <v>670</v>
      </c>
      <c r="E372" s="684">
        <v>77795</v>
      </c>
      <c r="F372" s="652">
        <f>SUMIFS(OBE!$H:$H,OBE!$C:$C,'Standalone TB'!$B372,OBE!$B:$B,"A21")</f>
        <v>0</v>
      </c>
      <c r="G372" s="652">
        <f>SUMIFS('Elimination - PL'!I:I,'Elimination - PL'!A:A,"EA21",'Elimination - PL'!D:D,'Standalone TB'!B372)</f>
        <v>0</v>
      </c>
      <c r="H372" s="652">
        <f t="shared" si="47"/>
        <v>77795</v>
      </c>
      <c r="I372" s="652">
        <v>97096</v>
      </c>
      <c r="J372" s="684">
        <v>0</v>
      </c>
      <c r="K372" s="652">
        <f>SUMIFS(OBE!$H:$H,OBE!$C:$C,'Standalone TB'!$B372,OBE!$B:$B,"A22")</f>
        <v>0</v>
      </c>
      <c r="L372" s="652">
        <f>SUMIFS('Elimination - PL'!I:I,'Elimination - PL'!A:A,"EA22",'Elimination - PL'!D:D,'Standalone TB'!B372)</f>
        <v>0</v>
      </c>
      <c r="M372" s="652">
        <f t="shared" si="43"/>
        <v>0</v>
      </c>
      <c r="N372" s="652">
        <f t="shared" si="48"/>
        <v>0</v>
      </c>
      <c r="O372" s="652">
        <v>0</v>
      </c>
      <c r="P372" s="685">
        <v>0</v>
      </c>
      <c r="Q372" s="684">
        <v>0</v>
      </c>
      <c r="R372" s="652">
        <f>SUMIFS(OBE!$H:$H,OBE!$C:$C,'Standalone TB'!$B372,OBE!$B:$B,"A20")</f>
        <v>0</v>
      </c>
      <c r="S372" s="652">
        <f>SUMIFS('Elimination - PL'!I:I,'Elimination - PL'!A:A,"EA20",'Elimination - PL'!D:D,'Standalone TB'!B372)</f>
        <v>0</v>
      </c>
      <c r="T372" s="652">
        <f t="shared" si="44"/>
        <v>0</v>
      </c>
      <c r="U372" s="652">
        <f t="shared" si="49"/>
        <v>0</v>
      </c>
      <c r="V372" s="652">
        <v>0</v>
      </c>
      <c r="W372" s="685">
        <v>0</v>
      </c>
      <c r="X372" s="689">
        <f t="shared" si="45"/>
        <v>77795</v>
      </c>
      <c r="Y372" s="689">
        <f t="shared" si="46"/>
        <v>97096</v>
      </c>
      <c r="Z372" s="652" t="s">
        <v>815</v>
      </c>
      <c r="AA372" s="666" t="s">
        <v>152</v>
      </c>
      <c r="AB372" s="666" t="s">
        <v>158</v>
      </c>
      <c r="AD372" s="665"/>
    </row>
    <row r="373" spans="1:30" hidden="1" x14ac:dyDescent="0.2">
      <c r="B373" s="673" t="s">
        <v>2391</v>
      </c>
      <c r="C373" s="666" t="s">
        <v>2392</v>
      </c>
      <c r="D373" s="666" t="s">
        <v>670</v>
      </c>
      <c r="E373" s="684">
        <v>220161.34999999998</v>
      </c>
      <c r="F373" s="652">
        <f>SUMIFS(OBE!$H:$H,OBE!$C:$C,'Standalone TB'!$B373,OBE!$B:$B,"A21")</f>
        <v>0</v>
      </c>
      <c r="G373" s="652">
        <f>SUMIFS('Elimination - PL'!I:I,'Elimination - PL'!A:A,"EA21",'Elimination - PL'!D:D,'Standalone TB'!B373)</f>
        <v>0</v>
      </c>
      <c r="H373" s="652">
        <f t="shared" si="47"/>
        <v>220161.34999999998</v>
      </c>
      <c r="I373" s="652">
        <v>520232.8</v>
      </c>
      <c r="J373" s="684">
        <v>15897.810000000001</v>
      </c>
      <c r="K373" s="652">
        <f>SUMIFS(OBE!$H:$H,OBE!$C:$C,'Standalone TB'!$B373,OBE!$B:$B,"A22")</f>
        <v>0</v>
      </c>
      <c r="L373" s="652">
        <f>SUMIFS('Elimination - PL'!I:I,'Elimination - PL'!A:A,"EA22",'Elimination - PL'!D:D,'Standalone TB'!B373)</f>
        <v>0</v>
      </c>
      <c r="M373" s="652">
        <f t="shared" si="43"/>
        <v>15897.810000000001</v>
      </c>
      <c r="N373" s="652">
        <f t="shared" si="48"/>
        <v>365388.45633403619</v>
      </c>
      <c r="O373" s="652">
        <v>35431.409999999996</v>
      </c>
      <c r="P373" s="685">
        <v>798574.37742599985</v>
      </c>
      <c r="Q373" s="684">
        <v>0</v>
      </c>
      <c r="R373" s="652">
        <f>SUMIFS(OBE!$H:$H,OBE!$C:$C,'Standalone TB'!$B373,OBE!$B:$B,"A20")</f>
        <v>0</v>
      </c>
      <c r="S373" s="652">
        <f>SUMIFS('Elimination - PL'!I:I,'Elimination - PL'!A:A,"EA20",'Elimination - PL'!D:D,'Standalone TB'!B373)</f>
        <v>0</v>
      </c>
      <c r="T373" s="652">
        <f t="shared" si="44"/>
        <v>0</v>
      </c>
      <c r="U373" s="652">
        <f t="shared" si="49"/>
        <v>0</v>
      </c>
      <c r="V373" s="652">
        <v>0</v>
      </c>
      <c r="W373" s="685">
        <v>0</v>
      </c>
      <c r="X373" s="689">
        <f t="shared" si="45"/>
        <v>585549.80633403617</v>
      </c>
      <c r="Y373" s="689">
        <f t="shared" si="46"/>
        <v>1318807.1774259999</v>
      </c>
      <c r="Z373" s="652" t="s">
        <v>815</v>
      </c>
      <c r="AA373" s="666" t="s">
        <v>152</v>
      </c>
      <c r="AB373" s="666" t="s">
        <v>158</v>
      </c>
      <c r="AD373" s="665"/>
    </row>
    <row r="374" spans="1:30" hidden="1" x14ac:dyDescent="0.2">
      <c r="B374" s="673" t="s">
        <v>2393</v>
      </c>
      <c r="C374" s="666" t="s">
        <v>2394</v>
      </c>
      <c r="D374" s="666" t="s">
        <v>670</v>
      </c>
      <c r="E374" s="684">
        <v>3394798.88</v>
      </c>
      <c r="F374" s="652">
        <f>SUMIFS(OBE!$H:$H,OBE!$C:$C,'Standalone TB'!$B374,OBE!$B:$B,"A21")</f>
        <v>0</v>
      </c>
      <c r="G374" s="652">
        <f>SUMIFS('Elimination - PL'!I:I,'Elimination - PL'!A:A,"EA21",'Elimination - PL'!D:D,'Standalone TB'!B374)</f>
        <v>0</v>
      </c>
      <c r="H374" s="652">
        <f t="shared" si="47"/>
        <v>3394798.88</v>
      </c>
      <c r="I374" s="652">
        <v>2481537.12</v>
      </c>
      <c r="J374" s="684">
        <v>36889.14</v>
      </c>
      <c r="K374" s="652">
        <f>SUMIFS(OBE!$H:$H,OBE!$C:$C,'Standalone TB'!$B374,OBE!$B:$B,"A22")</f>
        <v>0</v>
      </c>
      <c r="L374" s="652">
        <f>SUMIFS('Elimination - PL'!I:I,'Elimination - PL'!A:A,"EA22",'Elimination - PL'!D:D,'Standalone TB'!B374)</f>
        <v>0</v>
      </c>
      <c r="M374" s="652">
        <f t="shared" si="43"/>
        <v>36889.14</v>
      </c>
      <c r="N374" s="652">
        <f t="shared" si="48"/>
        <v>847844.1948979228</v>
      </c>
      <c r="O374" s="652">
        <v>0</v>
      </c>
      <c r="P374" s="685">
        <v>0</v>
      </c>
      <c r="Q374" s="684">
        <v>0</v>
      </c>
      <c r="R374" s="652">
        <f>SUMIFS(OBE!$H:$H,OBE!$C:$C,'Standalone TB'!$B374,OBE!$B:$B,"A20")</f>
        <v>0</v>
      </c>
      <c r="S374" s="652">
        <f>SUMIFS('Elimination - PL'!I:I,'Elimination - PL'!A:A,"EA20",'Elimination - PL'!D:D,'Standalone TB'!B374)</f>
        <v>0</v>
      </c>
      <c r="T374" s="652">
        <f t="shared" si="44"/>
        <v>0</v>
      </c>
      <c r="U374" s="652">
        <f t="shared" si="49"/>
        <v>0</v>
      </c>
      <c r="V374" s="652">
        <v>0</v>
      </c>
      <c r="W374" s="685">
        <v>0</v>
      </c>
      <c r="X374" s="689">
        <f t="shared" si="45"/>
        <v>4242643.0748979226</v>
      </c>
      <c r="Y374" s="689">
        <f t="shared" si="46"/>
        <v>2481537.12</v>
      </c>
      <c r="Z374" s="652" t="s">
        <v>815</v>
      </c>
      <c r="AA374" s="666" t="s">
        <v>152</v>
      </c>
      <c r="AB374" s="666" t="s">
        <v>158</v>
      </c>
      <c r="AD374" s="665"/>
    </row>
    <row r="375" spans="1:30" hidden="1" x14ac:dyDescent="0.2">
      <c r="B375" s="673" t="s">
        <v>2395</v>
      </c>
      <c r="C375" s="666" t="s">
        <v>2396</v>
      </c>
      <c r="D375" s="666" t="s">
        <v>670</v>
      </c>
      <c r="E375" s="684">
        <v>1108850.7</v>
      </c>
      <c r="F375" s="652">
        <f>SUMIFS(OBE!$H:$H,OBE!$C:$C,'Standalone TB'!$B375,OBE!$B:$B,"A21")</f>
        <v>0</v>
      </c>
      <c r="G375" s="652">
        <f>SUMIFS('Elimination - PL'!I:I,'Elimination - PL'!A:A,"EA21",'Elimination - PL'!D:D,'Standalone TB'!B375)</f>
        <v>0</v>
      </c>
      <c r="H375" s="652">
        <f t="shared" si="47"/>
        <v>1108850.7</v>
      </c>
      <c r="I375" s="652">
        <v>0</v>
      </c>
      <c r="J375" s="684">
        <v>28</v>
      </c>
      <c r="K375" s="652">
        <f>SUMIFS(OBE!$H:$H,OBE!$C:$C,'Standalone TB'!$B375,OBE!$B:$B,"A22")</f>
        <v>0</v>
      </c>
      <c r="L375" s="652">
        <f>SUMIFS('Elimination - PL'!I:I,'Elimination - PL'!A:A,"EA22",'Elimination - PL'!D:D,'Standalone TB'!B375)</f>
        <v>0</v>
      </c>
      <c r="M375" s="652">
        <f t="shared" si="43"/>
        <v>28</v>
      </c>
      <c r="N375" s="652">
        <f t="shared" si="48"/>
        <v>643.54000817427129</v>
      </c>
      <c r="O375" s="652">
        <v>5580.77</v>
      </c>
      <c r="P375" s="685">
        <v>125782.74272200001</v>
      </c>
      <c r="Q375" s="684">
        <v>0</v>
      </c>
      <c r="R375" s="652">
        <f>SUMIFS(OBE!$H:$H,OBE!$C:$C,'Standalone TB'!$B375,OBE!$B:$B,"A20")</f>
        <v>0</v>
      </c>
      <c r="S375" s="652">
        <f>SUMIFS('Elimination - PL'!I:I,'Elimination - PL'!A:A,"EA20",'Elimination - PL'!D:D,'Standalone TB'!B375)</f>
        <v>0</v>
      </c>
      <c r="T375" s="652">
        <f t="shared" si="44"/>
        <v>0</v>
      </c>
      <c r="U375" s="652">
        <f t="shared" si="49"/>
        <v>0</v>
      </c>
      <c r="V375" s="652">
        <v>0</v>
      </c>
      <c r="W375" s="685">
        <v>0</v>
      </c>
      <c r="X375" s="689">
        <f t="shared" si="45"/>
        <v>1109494.2400081742</v>
      </c>
      <c r="Y375" s="689">
        <f t="shared" si="46"/>
        <v>125782.74272200001</v>
      </c>
      <c r="Z375" s="652" t="s">
        <v>815</v>
      </c>
      <c r="AA375" s="666" t="s">
        <v>152</v>
      </c>
      <c r="AB375" s="666" t="s">
        <v>158</v>
      </c>
      <c r="AD375" s="665"/>
    </row>
    <row r="376" spans="1:30" hidden="1" x14ac:dyDescent="0.2">
      <c r="B376" s="673" t="s">
        <v>2397</v>
      </c>
      <c r="C376" s="666" t="s">
        <v>2398</v>
      </c>
      <c r="D376" s="666" t="s">
        <v>670</v>
      </c>
      <c r="E376" s="684">
        <v>1344898.98</v>
      </c>
      <c r="F376" s="652">
        <f>SUMIFS(OBE!$H:$H,OBE!$C:$C,'Standalone TB'!$B376,OBE!$B:$B,"A21")</f>
        <v>0</v>
      </c>
      <c r="G376" s="652">
        <f>SUMIFS('Elimination - PL'!I:I,'Elimination - PL'!A:A,"EA21",'Elimination - PL'!D:D,'Standalone TB'!B376)</f>
        <v>0</v>
      </c>
      <c r="H376" s="652">
        <f t="shared" si="47"/>
        <v>1344898.98</v>
      </c>
      <c r="I376" s="652">
        <v>3746934.6399999997</v>
      </c>
      <c r="J376" s="684">
        <v>0</v>
      </c>
      <c r="K376" s="652">
        <f>SUMIFS(OBE!$H:$H,OBE!$C:$C,'Standalone TB'!$B376,OBE!$B:$B,"A22")</f>
        <v>0</v>
      </c>
      <c r="L376" s="652">
        <f>SUMIFS('Elimination - PL'!I:I,'Elimination - PL'!A:A,"EA22",'Elimination - PL'!D:D,'Standalone TB'!B376)</f>
        <v>0</v>
      </c>
      <c r="M376" s="652">
        <f t="shared" si="43"/>
        <v>0</v>
      </c>
      <c r="N376" s="652">
        <f t="shared" si="48"/>
        <v>0</v>
      </c>
      <c r="O376" s="652">
        <v>4850.6200000000008</v>
      </c>
      <c r="P376" s="685">
        <v>109326.18393200001</v>
      </c>
      <c r="Q376" s="684">
        <v>0</v>
      </c>
      <c r="R376" s="652">
        <f>SUMIFS(OBE!$H:$H,OBE!$C:$C,'Standalone TB'!$B376,OBE!$B:$B,"A20")</f>
        <v>0</v>
      </c>
      <c r="S376" s="652">
        <f>SUMIFS('Elimination - PL'!I:I,'Elimination - PL'!A:A,"EA20",'Elimination - PL'!D:D,'Standalone TB'!B376)</f>
        <v>0</v>
      </c>
      <c r="T376" s="652">
        <f t="shared" si="44"/>
        <v>0</v>
      </c>
      <c r="U376" s="652">
        <f t="shared" si="49"/>
        <v>0</v>
      </c>
      <c r="V376" s="652">
        <v>0</v>
      </c>
      <c r="W376" s="685">
        <v>0</v>
      </c>
      <c r="X376" s="689">
        <f t="shared" si="45"/>
        <v>1344898.98</v>
      </c>
      <c r="Y376" s="689">
        <f t="shared" si="46"/>
        <v>3856260.8239319995</v>
      </c>
      <c r="Z376" s="652" t="s">
        <v>815</v>
      </c>
      <c r="AA376" s="666" t="s">
        <v>152</v>
      </c>
      <c r="AB376" s="666" t="s">
        <v>158</v>
      </c>
      <c r="AD376" s="665"/>
    </row>
    <row r="377" spans="1:30" hidden="1" x14ac:dyDescent="0.2">
      <c r="B377" s="673" t="s">
        <v>2399</v>
      </c>
      <c r="C377" s="666" t="s">
        <v>2400</v>
      </c>
      <c r="D377" s="666" t="s">
        <v>670</v>
      </c>
      <c r="E377" s="684">
        <v>27953</v>
      </c>
      <c r="F377" s="652">
        <f>SUMIFS(OBE!$H:$H,OBE!$C:$C,'Standalone TB'!$B377,OBE!$B:$B,"A21")</f>
        <v>0</v>
      </c>
      <c r="G377" s="652">
        <f>SUMIFS('Elimination - PL'!I:I,'Elimination - PL'!A:A,"EA21",'Elimination - PL'!D:D,'Standalone TB'!B377)</f>
        <v>0</v>
      </c>
      <c r="H377" s="652">
        <f t="shared" si="47"/>
        <v>27953</v>
      </c>
      <c r="I377" s="652">
        <v>59166</v>
      </c>
      <c r="J377" s="684">
        <v>795.25</v>
      </c>
      <c r="K377" s="652">
        <f>SUMIFS(OBE!$H:$H,OBE!$C:$C,'Standalone TB'!$B377,OBE!$B:$B,"A22")</f>
        <v>0</v>
      </c>
      <c r="L377" s="652">
        <f>SUMIFS('Elimination - PL'!I:I,'Elimination - PL'!A:A,"EA22",'Elimination - PL'!D:D,'Standalone TB'!B377)</f>
        <v>0</v>
      </c>
      <c r="M377" s="652">
        <f t="shared" si="43"/>
        <v>795.25</v>
      </c>
      <c r="N377" s="652">
        <f t="shared" si="48"/>
        <v>18277.685410735332</v>
      </c>
      <c r="O377" s="652">
        <v>244.75</v>
      </c>
      <c r="P377" s="685">
        <v>5516.3223499999995</v>
      </c>
      <c r="Q377" s="684">
        <v>0</v>
      </c>
      <c r="R377" s="652">
        <f>SUMIFS(OBE!$H:$H,OBE!$C:$C,'Standalone TB'!$B377,OBE!$B:$B,"A20")</f>
        <v>0</v>
      </c>
      <c r="S377" s="652">
        <f>SUMIFS('Elimination - PL'!I:I,'Elimination - PL'!A:A,"EA20",'Elimination - PL'!D:D,'Standalone TB'!B377)</f>
        <v>0</v>
      </c>
      <c r="T377" s="652">
        <f t="shared" si="44"/>
        <v>0</v>
      </c>
      <c r="U377" s="652">
        <f t="shared" si="49"/>
        <v>0</v>
      </c>
      <c r="V377" s="652">
        <v>0</v>
      </c>
      <c r="W377" s="685">
        <v>0</v>
      </c>
      <c r="X377" s="689">
        <f t="shared" si="45"/>
        <v>46230.685410735328</v>
      </c>
      <c r="Y377" s="689">
        <f t="shared" si="46"/>
        <v>64682.322350000002</v>
      </c>
      <c r="Z377" s="652" t="s">
        <v>815</v>
      </c>
      <c r="AA377" s="666" t="s">
        <v>152</v>
      </c>
      <c r="AB377" s="666" t="s">
        <v>158</v>
      </c>
      <c r="AD377" s="665"/>
    </row>
    <row r="378" spans="1:30" hidden="1" x14ac:dyDescent="0.2">
      <c r="B378" s="673" t="s">
        <v>2401</v>
      </c>
      <c r="C378" s="666" t="s">
        <v>2402</v>
      </c>
      <c r="D378" s="666" t="s">
        <v>670</v>
      </c>
      <c r="E378" s="684">
        <v>0</v>
      </c>
      <c r="F378" s="652">
        <f>SUMIFS(OBE!$H:$H,OBE!$C:$C,'Standalone TB'!$B378,OBE!$B:$B,"A21")</f>
        <v>0</v>
      </c>
      <c r="G378" s="652">
        <f>SUMIFS('Elimination - PL'!I:I,'Elimination - PL'!A:A,"EA21",'Elimination - PL'!D:D,'Standalone TB'!B378)</f>
        <v>0</v>
      </c>
      <c r="H378" s="652">
        <f t="shared" si="47"/>
        <v>0</v>
      </c>
      <c r="I378" s="652">
        <v>0</v>
      </c>
      <c r="J378" s="684">
        <v>0</v>
      </c>
      <c r="K378" s="652">
        <f>SUMIFS(OBE!$H:$H,OBE!$C:$C,'Standalone TB'!$B378,OBE!$B:$B,"A22")</f>
        <v>0</v>
      </c>
      <c r="L378" s="652">
        <f>SUMIFS('Elimination - PL'!I:I,'Elimination - PL'!A:A,"EA22",'Elimination - PL'!D:D,'Standalone TB'!B378)</f>
        <v>0</v>
      </c>
      <c r="M378" s="652">
        <f t="shared" si="43"/>
        <v>0</v>
      </c>
      <c r="N378" s="652">
        <f t="shared" si="48"/>
        <v>0</v>
      </c>
      <c r="O378" s="652">
        <v>0</v>
      </c>
      <c r="P378" s="685">
        <v>0</v>
      </c>
      <c r="Q378" s="684">
        <v>0</v>
      </c>
      <c r="R378" s="652">
        <f>SUMIFS(OBE!$H:$H,OBE!$C:$C,'Standalone TB'!$B378,OBE!$B:$B,"A20")</f>
        <v>0</v>
      </c>
      <c r="S378" s="652">
        <f>SUMIFS('Elimination - PL'!I:I,'Elimination - PL'!A:A,"EA20",'Elimination - PL'!D:D,'Standalone TB'!B378)</f>
        <v>0</v>
      </c>
      <c r="T378" s="652">
        <f t="shared" si="44"/>
        <v>0</v>
      </c>
      <c r="U378" s="652">
        <f t="shared" si="49"/>
        <v>0</v>
      </c>
      <c r="V378" s="652">
        <v>0</v>
      </c>
      <c r="W378" s="685">
        <v>0</v>
      </c>
      <c r="X378" s="689">
        <f t="shared" si="45"/>
        <v>0</v>
      </c>
      <c r="Y378" s="689">
        <f t="shared" si="46"/>
        <v>0</v>
      </c>
      <c r="Z378" s="652" t="s">
        <v>815</v>
      </c>
      <c r="AA378" s="666" t="s">
        <v>152</v>
      </c>
      <c r="AB378" s="666" t="s">
        <v>158</v>
      </c>
      <c r="AD378" s="665"/>
    </row>
    <row r="379" spans="1:30" hidden="1" x14ac:dyDescent="0.2">
      <c r="A379" s="666">
        <f>1.5*70</f>
        <v>105</v>
      </c>
      <c r="B379" s="673" t="s">
        <v>2403</v>
      </c>
      <c r="C379" s="666" t="s">
        <v>2404</v>
      </c>
      <c r="D379" s="666" t="s">
        <v>670</v>
      </c>
      <c r="E379" s="684">
        <v>229467.27</v>
      </c>
      <c r="F379" s="652">
        <f>SUMIFS(OBE!$H:$H,OBE!$C:$C,'Standalone TB'!$B379,OBE!$B:$B,"A21")</f>
        <v>0</v>
      </c>
      <c r="G379" s="652">
        <f>SUMIFS('Elimination - PL'!I:I,'Elimination - PL'!A:A,"EA21",'Elimination - PL'!D:D,'Standalone TB'!B379)</f>
        <v>0</v>
      </c>
      <c r="H379" s="652">
        <f t="shared" si="47"/>
        <v>229467.27</v>
      </c>
      <c r="I379" s="652">
        <v>168983</v>
      </c>
      <c r="J379" s="684">
        <v>-8940.1999999999989</v>
      </c>
      <c r="K379" s="652">
        <f>SUMIFS(OBE!$H:$H,OBE!$C:$C,'Standalone TB'!$B379,OBE!$B:$B,"A22")</f>
        <v>0</v>
      </c>
      <c r="L379" s="652">
        <f>SUMIFS('Elimination - PL'!I:I,'Elimination - PL'!A:A,"EA22",'Elimination - PL'!D:D,'Standalone TB'!B379)</f>
        <v>0</v>
      </c>
      <c r="M379" s="652">
        <f t="shared" si="43"/>
        <v>-8940.1999999999989</v>
      </c>
      <c r="N379" s="652">
        <f t="shared" si="48"/>
        <v>-205477.72789570072</v>
      </c>
      <c r="O379" s="652">
        <v>27697.18</v>
      </c>
      <c r="P379" s="685">
        <v>624255.66114799993</v>
      </c>
      <c r="Q379" s="684">
        <v>0</v>
      </c>
      <c r="R379" s="652">
        <f>SUMIFS(OBE!$H:$H,OBE!$C:$C,'Standalone TB'!$B379,OBE!$B:$B,"A20")</f>
        <v>0</v>
      </c>
      <c r="S379" s="652">
        <f>SUMIFS('Elimination - PL'!I:I,'Elimination - PL'!A:A,"EA20",'Elimination - PL'!D:D,'Standalone TB'!B379)</f>
        <v>0</v>
      </c>
      <c r="T379" s="652">
        <f t="shared" si="44"/>
        <v>0</v>
      </c>
      <c r="U379" s="652">
        <f t="shared" si="49"/>
        <v>0</v>
      </c>
      <c r="V379" s="652">
        <v>0</v>
      </c>
      <c r="W379" s="685">
        <v>0</v>
      </c>
      <c r="X379" s="689">
        <f t="shared" si="45"/>
        <v>23989.542104299268</v>
      </c>
      <c r="Y379" s="689">
        <f t="shared" si="46"/>
        <v>793238.66114799993</v>
      </c>
      <c r="Z379" s="652" t="s">
        <v>815</v>
      </c>
      <c r="AA379" s="666" t="s">
        <v>152</v>
      </c>
      <c r="AB379" s="666" t="s">
        <v>158</v>
      </c>
      <c r="AD379" s="665"/>
    </row>
    <row r="380" spans="1:30" hidden="1" x14ac:dyDescent="0.2">
      <c r="B380" s="673" t="s">
        <v>2405</v>
      </c>
      <c r="C380" s="666" t="s">
        <v>2406</v>
      </c>
      <c r="D380" s="666" t="s">
        <v>670</v>
      </c>
      <c r="E380" s="684">
        <v>0</v>
      </c>
      <c r="F380" s="652">
        <f>SUMIFS(OBE!$H:$H,OBE!$C:$C,'Standalone TB'!$B380,OBE!$B:$B,"A21")</f>
        <v>0</v>
      </c>
      <c r="G380" s="652">
        <f>SUMIFS('Elimination - PL'!I:I,'Elimination - PL'!A:A,"EA21",'Elimination - PL'!D:D,'Standalone TB'!B380)</f>
        <v>0</v>
      </c>
      <c r="H380" s="652">
        <f t="shared" si="47"/>
        <v>0</v>
      </c>
      <c r="I380" s="652">
        <v>0</v>
      </c>
      <c r="J380" s="684">
        <v>27682.659999999996</v>
      </c>
      <c r="K380" s="652">
        <f>SUMIFS(OBE!$H:$H,OBE!$C:$C,'Standalone TB'!$B380,OBE!$B:$B,"A22")</f>
        <v>0</v>
      </c>
      <c r="L380" s="652">
        <f>SUMIFS('Elimination - PL'!I:I,'Elimination - PL'!A:A,"EA22",'Elimination - PL'!D:D,'Standalone TB'!B380)</f>
        <v>0</v>
      </c>
      <c r="M380" s="652">
        <f t="shared" si="43"/>
        <v>27682.659999999996</v>
      </c>
      <c r="N380" s="652">
        <f t="shared" si="48"/>
        <v>636246.40152448474</v>
      </c>
      <c r="O380" s="652">
        <v>934.77</v>
      </c>
      <c r="P380" s="685">
        <v>21068.407121999997</v>
      </c>
      <c r="Q380" s="684">
        <v>0</v>
      </c>
      <c r="R380" s="652">
        <f>SUMIFS(OBE!$H:$H,OBE!$C:$C,'Standalone TB'!$B380,OBE!$B:$B,"A20")</f>
        <v>0</v>
      </c>
      <c r="S380" s="652">
        <f>SUMIFS('Elimination - PL'!I:I,'Elimination - PL'!A:A,"EA20",'Elimination - PL'!D:D,'Standalone TB'!B380)</f>
        <v>0</v>
      </c>
      <c r="T380" s="652">
        <f t="shared" si="44"/>
        <v>0</v>
      </c>
      <c r="U380" s="652">
        <f t="shared" si="49"/>
        <v>0</v>
      </c>
      <c r="V380" s="652">
        <v>0</v>
      </c>
      <c r="W380" s="685">
        <v>0</v>
      </c>
      <c r="X380" s="689">
        <f t="shared" si="45"/>
        <v>636246.40152448474</v>
      </c>
      <c r="Y380" s="689">
        <f t="shared" si="46"/>
        <v>21068.407121999997</v>
      </c>
      <c r="Z380" s="652" t="s">
        <v>815</v>
      </c>
      <c r="AA380" s="666" t="s">
        <v>152</v>
      </c>
      <c r="AB380" s="666" t="s">
        <v>158</v>
      </c>
      <c r="AD380" s="665"/>
    </row>
    <row r="381" spans="1:30" hidden="1" x14ac:dyDescent="0.2">
      <c r="B381" s="673" t="s">
        <v>2407</v>
      </c>
      <c r="C381" s="666" t="s">
        <v>2408</v>
      </c>
      <c r="D381" s="666" t="s">
        <v>670</v>
      </c>
      <c r="E381" s="684">
        <v>0</v>
      </c>
      <c r="F381" s="652">
        <f>SUMIFS(OBE!$H:$H,OBE!$C:$C,'Standalone TB'!$B381,OBE!$B:$B,"A21")</f>
        <v>0</v>
      </c>
      <c r="G381" s="652">
        <f>SUMIFS('Elimination - PL'!I:I,'Elimination - PL'!A:A,"EA21",'Elimination - PL'!D:D,'Standalone TB'!B381)</f>
        <v>0</v>
      </c>
      <c r="H381" s="652">
        <f t="shared" si="47"/>
        <v>0</v>
      </c>
      <c r="I381" s="652">
        <v>0</v>
      </c>
      <c r="J381" s="684">
        <v>0</v>
      </c>
      <c r="K381" s="652">
        <f>SUMIFS(OBE!$H:$H,OBE!$C:$C,'Standalone TB'!$B381,OBE!$B:$B,"A22")</f>
        <v>0</v>
      </c>
      <c r="L381" s="652">
        <f>SUMIFS('Elimination - PL'!I:I,'Elimination - PL'!A:A,"EA22",'Elimination - PL'!D:D,'Standalone TB'!B381)</f>
        <v>0</v>
      </c>
      <c r="M381" s="652">
        <f t="shared" si="43"/>
        <v>0</v>
      </c>
      <c r="N381" s="652">
        <f t="shared" si="48"/>
        <v>0</v>
      </c>
      <c r="O381" s="652">
        <v>0</v>
      </c>
      <c r="P381" s="685">
        <v>0</v>
      </c>
      <c r="Q381" s="684">
        <v>0</v>
      </c>
      <c r="R381" s="652">
        <f>SUMIFS(OBE!$H:$H,OBE!$C:$C,'Standalone TB'!$B381,OBE!$B:$B,"A20")</f>
        <v>0</v>
      </c>
      <c r="S381" s="652">
        <f>SUMIFS('Elimination - PL'!I:I,'Elimination - PL'!A:A,"EA20",'Elimination - PL'!D:D,'Standalone TB'!B381)</f>
        <v>0</v>
      </c>
      <c r="T381" s="652">
        <f t="shared" si="44"/>
        <v>0</v>
      </c>
      <c r="U381" s="652">
        <f t="shared" si="49"/>
        <v>0</v>
      </c>
      <c r="V381" s="652">
        <v>0</v>
      </c>
      <c r="W381" s="685">
        <v>0</v>
      </c>
      <c r="X381" s="689">
        <f t="shared" si="45"/>
        <v>0</v>
      </c>
      <c r="Y381" s="689">
        <f t="shared" si="46"/>
        <v>0</v>
      </c>
      <c r="Z381" s="652" t="s">
        <v>815</v>
      </c>
      <c r="AA381" s="666" t="s">
        <v>152</v>
      </c>
      <c r="AB381" s="666" t="s">
        <v>158</v>
      </c>
      <c r="AD381" s="665"/>
    </row>
    <row r="382" spans="1:30" hidden="1" x14ac:dyDescent="0.2">
      <c r="B382" s="673" t="s">
        <v>2409</v>
      </c>
      <c r="C382" s="666" t="s">
        <v>2410</v>
      </c>
      <c r="D382" s="666" t="s">
        <v>670</v>
      </c>
      <c r="E382" s="684">
        <v>790393.25</v>
      </c>
      <c r="F382" s="652">
        <f>SUMIFS(OBE!$H:$H,OBE!$C:$C,'Standalone TB'!$B382,OBE!$B:$B,"A21")</f>
        <v>0</v>
      </c>
      <c r="G382" s="652">
        <f>SUMIFS('Elimination - PL'!I:I,'Elimination - PL'!A:A,"EA21",'Elimination - PL'!D:D,'Standalone TB'!B382)</f>
        <v>0</v>
      </c>
      <c r="H382" s="652">
        <f t="shared" si="47"/>
        <v>790393.25</v>
      </c>
      <c r="I382" s="652">
        <v>723383.68</v>
      </c>
      <c r="J382" s="684">
        <v>12832.44</v>
      </c>
      <c r="K382" s="652">
        <f>SUMIFS(OBE!$H:$H,OBE!$C:$C,'Standalone TB'!$B382,OBE!$B:$B,"A22")</f>
        <v>0</v>
      </c>
      <c r="L382" s="652">
        <f>SUMIFS('Elimination - PL'!I:I,'Elimination - PL'!A:A,"EA22",'Elimination - PL'!D:D,'Standalone TB'!B382)</f>
        <v>0</v>
      </c>
      <c r="M382" s="652">
        <f t="shared" si="43"/>
        <v>12832.44</v>
      </c>
      <c r="N382" s="652">
        <f t="shared" si="48"/>
        <v>294935.3050891374</v>
      </c>
      <c r="O382" s="652">
        <v>549.24</v>
      </c>
      <c r="P382" s="685">
        <v>12379.100664</v>
      </c>
      <c r="Q382" s="684">
        <v>0</v>
      </c>
      <c r="R382" s="652">
        <f>SUMIFS(OBE!$H:$H,OBE!$C:$C,'Standalone TB'!$B382,OBE!$B:$B,"A20")</f>
        <v>0</v>
      </c>
      <c r="S382" s="652">
        <f>SUMIFS('Elimination - PL'!I:I,'Elimination - PL'!A:A,"EA20",'Elimination - PL'!D:D,'Standalone TB'!B382)</f>
        <v>0</v>
      </c>
      <c r="T382" s="652">
        <f t="shared" si="44"/>
        <v>0</v>
      </c>
      <c r="U382" s="652">
        <f t="shared" si="49"/>
        <v>0</v>
      </c>
      <c r="V382" s="652">
        <v>0</v>
      </c>
      <c r="W382" s="685">
        <v>0</v>
      </c>
      <c r="X382" s="689">
        <f t="shared" si="45"/>
        <v>1085328.5550891375</v>
      </c>
      <c r="Y382" s="689">
        <f t="shared" si="46"/>
        <v>735762.78066400008</v>
      </c>
      <c r="Z382" s="652" t="s">
        <v>815</v>
      </c>
      <c r="AA382" s="666" t="s">
        <v>152</v>
      </c>
      <c r="AB382" s="666" t="s">
        <v>158</v>
      </c>
      <c r="AD382" s="665"/>
    </row>
    <row r="383" spans="1:30" hidden="1" x14ac:dyDescent="0.2">
      <c r="B383" s="673" t="s">
        <v>2411</v>
      </c>
      <c r="C383" s="666" t="s">
        <v>2412</v>
      </c>
      <c r="D383" s="666" t="s">
        <v>670</v>
      </c>
      <c r="E383" s="684">
        <v>0</v>
      </c>
      <c r="F383" s="652">
        <f>SUMIFS(OBE!$H:$H,OBE!$C:$C,'Standalone TB'!$B383,OBE!$B:$B,"A21")</f>
        <v>0</v>
      </c>
      <c r="G383" s="652">
        <f>SUMIFS('Elimination - PL'!I:I,'Elimination - PL'!A:A,"EA21",'Elimination - PL'!D:D,'Standalone TB'!B383)</f>
        <v>0</v>
      </c>
      <c r="H383" s="652">
        <f t="shared" si="47"/>
        <v>0</v>
      </c>
      <c r="I383" s="652">
        <v>0</v>
      </c>
      <c r="J383" s="684">
        <v>0</v>
      </c>
      <c r="K383" s="652">
        <f>SUMIFS(OBE!$H:$H,OBE!$C:$C,'Standalone TB'!$B383,OBE!$B:$B,"A22")</f>
        <v>0</v>
      </c>
      <c r="L383" s="652">
        <f>SUMIFS('Elimination - PL'!I:I,'Elimination - PL'!A:A,"EA22",'Elimination - PL'!D:D,'Standalone TB'!B383)</f>
        <v>0</v>
      </c>
      <c r="M383" s="652">
        <f t="shared" si="43"/>
        <v>0</v>
      </c>
      <c r="N383" s="652">
        <f t="shared" si="48"/>
        <v>0</v>
      </c>
      <c r="O383" s="652">
        <v>0</v>
      </c>
      <c r="P383" s="685">
        <v>0</v>
      </c>
      <c r="Q383" s="684">
        <v>0</v>
      </c>
      <c r="R383" s="652">
        <f>SUMIFS(OBE!$H:$H,OBE!$C:$C,'Standalone TB'!$B383,OBE!$B:$B,"A20")</f>
        <v>0</v>
      </c>
      <c r="S383" s="652">
        <f>SUMIFS('Elimination - PL'!I:I,'Elimination - PL'!A:A,"EA20",'Elimination - PL'!D:D,'Standalone TB'!B383)</f>
        <v>0</v>
      </c>
      <c r="T383" s="652">
        <f t="shared" si="44"/>
        <v>0</v>
      </c>
      <c r="U383" s="652">
        <f t="shared" si="49"/>
        <v>0</v>
      </c>
      <c r="V383" s="652">
        <v>0</v>
      </c>
      <c r="W383" s="685">
        <v>0</v>
      </c>
      <c r="X383" s="689">
        <f t="shared" si="45"/>
        <v>0</v>
      </c>
      <c r="Y383" s="689">
        <f t="shared" si="46"/>
        <v>0</v>
      </c>
      <c r="Z383" s="652" t="s">
        <v>815</v>
      </c>
      <c r="AA383" s="666" t="s">
        <v>152</v>
      </c>
      <c r="AB383" s="666" t="s">
        <v>158</v>
      </c>
      <c r="AD383" s="665"/>
    </row>
    <row r="384" spans="1:30" hidden="1" x14ac:dyDescent="0.2">
      <c r="B384" s="673" t="s">
        <v>2413</v>
      </c>
      <c r="C384" s="666" t="s">
        <v>2414</v>
      </c>
      <c r="D384" s="666" t="s">
        <v>670</v>
      </c>
      <c r="E384" s="684">
        <v>0</v>
      </c>
      <c r="F384" s="652">
        <f>SUMIFS(OBE!$H:$H,OBE!$C:$C,'Standalone TB'!$B384,OBE!$B:$B,"A21")</f>
        <v>0</v>
      </c>
      <c r="G384" s="652">
        <f>SUMIFS('Elimination - PL'!I:I,'Elimination - PL'!A:A,"EA21",'Elimination - PL'!D:D,'Standalone TB'!B384)</f>
        <v>0</v>
      </c>
      <c r="H384" s="652">
        <f t="shared" si="47"/>
        <v>0</v>
      </c>
      <c r="I384" s="652">
        <v>0</v>
      </c>
      <c r="J384" s="684">
        <v>0</v>
      </c>
      <c r="K384" s="652">
        <f>SUMIFS(OBE!$H:$H,OBE!$C:$C,'Standalone TB'!$B384,OBE!$B:$B,"A22")</f>
        <v>0</v>
      </c>
      <c r="L384" s="652">
        <f>SUMIFS('Elimination - PL'!I:I,'Elimination - PL'!A:A,"EA22",'Elimination - PL'!D:D,'Standalone TB'!B384)</f>
        <v>0</v>
      </c>
      <c r="M384" s="652">
        <f t="shared" si="43"/>
        <v>0</v>
      </c>
      <c r="N384" s="652">
        <f t="shared" si="48"/>
        <v>0</v>
      </c>
      <c r="O384" s="652">
        <v>0</v>
      </c>
      <c r="P384" s="685">
        <v>0</v>
      </c>
      <c r="Q384" s="684">
        <v>0</v>
      </c>
      <c r="R384" s="652">
        <f>SUMIFS(OBE!$H:$H,OBE!$C:$C,'Standalone TB'!$B384,OBE!$B:$B,"A20")</f>
        <v>0</v>
      </c>
      <c r="S384" s="652">
        <f>SUMIFS('Elimination - PL'!I:I,'Elimination - PL'!A:A,"EA20",'Elimination - PL'!D:D,'Standalone TB'!B384)</f>
        <v>0</v>
      </c>
      <c r="T384" s="652">
        <f t="shared" si="44"/>
        <v>0</v>
      </c>
      <c r="U384" s="652">
        <f t="shared" si="49"/>
        <v>0</v>
      </c>
      <c r="V384" s="652">
        <v>0</v>
      </c>
      <c r="W384" s="685">
        <v>0</v>
      </c>
      <c r="X384" s="689">
        <f t="shared" si="45"/>
        <v>0</v>
      </c>
      <c r="Y384" s="689">
        <f t="shared" si="46"/>
        <v>0</v>
      </c>
      <c r="Z384" s="652" t="s">
        <v>815</v>
      </c>
      <c r="AA384" s="666" t="s">
        <v>152</v>
      </c>
      <c r="AB384" s="666" t="s">
        <v>158</v>
      </c>
      <c r="AD384" s="665"/>
    </row>
    <row r="385" spans="2:30" hidden="1" x14ac:dyDescent="0.2">
      <c r="B385" s="673" t="s">
        <v>2415</v>
      </c>
      <c r="C385" s="666" t="s">
        <v>2416</v>
      </c>
      <c r="D385" s="666" t="s">
        <v>670</v>
      </c>
      <c r="E385" s="684">
        <v>0</v>
      </c>
      <c r="F385" s="652">
        <f>SUMIFS(OBE!$H:$H,OBE!$C:$C,'Standalone TB'!$B385,OBE!$B:$B,"A21")</f>
        <v>0</v>
      </c>
      <c r="G385" s="652">
        <f>SUMIFS('Elimination - PL'!I:I,'Elimination - PL'!A:A,"EA21",'Elimination - PL'!D:D,'Standalone TB'!B385)</f>
        <v>0</v>
      </c>
      <c r="H385" s="652">
        <f t="shared" si="47"/>
        <v>0</v>
      </c>
      <c r="I385" s="652">
        <v>0</v>
      </c>
      <c r="J385" s="684">
        <v>0</v>
      </c>
      <c r="K385" s="652">
        <f>SUMIFS(OBE!$H:$H,OBE!$C:$C,'Standalone TB'!$B385,OBE!$B:$B,"A22")</f>
        <v>0</v>
      </c>
      <c r="L385" s="652">
        <f>SUMIFS('Elimination - PL'!I:I,'Elimination - PL'!A:A,"EA22",'Elimination - PL'!D:D,'Standalone TB'!B385)</f>
        <v>0</v>
      </c>
      <c r="M385" s="652">
        <f t="shared" si="43"/>
        <v>0</v>
      </c>
      <c r="N385" s="652">
        <f t="shared" si="48"/>
        <v>0</v>
      </c>
      <c r="O385" s="652">
        <v>0</v>
      </c>
      <c r="P385" s="685">
        <v>0</v>
      </c>
      <c r="Q385" s="684">
        <v>0</v>
      </c>
      <c r="R385" s="652">
        <f>SUMIFS(OBE!$H:$H,OBE!$C:$C,'Standalone TB'!$B385,OBE!$B:$B,"A20")</f>
        <v>0</v>
      </c>
      <c r="S385" s="652">
        <f>SUMIFS('Elimination - PL'!I:I,'Elimination - PL'!A:A,"EA20",'Elimination - PL'!D:D,'Standalone TB'!B385)</f>
        <v>0</v>
      </c>
      <c r="T385" s="652">
        <f t="shared" si="44"/>
        <v>0</v>
      </c>
      <c r="U385" s="652">
        <f t="shared" si="49"/>
        <v>0</v>
      </c>
      <c r="V385" s="652">
        <v>0</v>
      </c>
      <c r="W385" s="685">
        <v>0</v>
      </c>
      <c r="X385" s="689">
        <f t="shared" si="45"/>
        <v>0</v>
      </c>
      <c r="Y385" s="689">
        <f t="shared" si="46"/>
        <v>0</v>
      </c>
      <c r="Z385" s="652" t="s">
        <v>815</v>
      </c>
      <c r="AA385" s="666" t="s">
        <v>152</v>
      </c>
      <c r="AB385" s="666" t="s">
        <v>158</v>
      </c>
      <c r="AD385" s="665"/>
    </row>
    <row r="386" spans="2:30" hidden="1" x14ac:dyDescent="0.2">
      <c r="B386" s="673" t="s">
        <v>2417</v>
      </c>
      <c r="C386" s="666" t="s">
        <v>2418</v>
      </c>
      <c r="D386" s="666" t="s">
        <v>670</v>
      </c>
      <c r="E386" s="684">
        <v>0</v>
      </c>
      <c r="F386" s="652">
        <f>SUMIFS(OBE!$H:$H,OBE!$C:$C,'Standalone TB'!$B386,OBE!$B:$B,"A21")</f>
        <v>0</v>
      </c>
      <c r="G386" s="652">
        <f>SUMIFS('Elimination - PL'!I:I,'Elimination - PL'!A:A,"EA21",'Elimination - PL'!D:D,'Standalone TB'!B386)</f>
        <v>0</v>
      </c>
      <c r="H386" s="652">
        <f t="shared" si="47"/>
        <v>0</v>
      </c>
      <c r="I386" s="652">
        <v>0</v>
      </c>
      <c r="J386" s="684">
        <v>0</v>
      </c>
      <c r="K386" s="652">
        <f>SUMIFS(OBE!$H:$H,OBE!$C:$C,'Standalone TB'!$B386,OBE!$B:$B,"A22")</f>
        <v>0</v>
      </c>
      <c r="L386" s="652">
        <f>SUMIFS('Elimination - PL'!I:I,'Elimination - PL'!A:A,"EA22",'Elimination - PL'!D:D,'Standalone TB'!B386)</f>
        <v>0</v>
      </c>
      <c r="M386" s="652">
        <f t="shared" si="43"/>
        <v>0</v>
      </c>
      <c r="N386" s="652">
        <f t="shared" si="48"/>
        <v>0</v>
      </c>
      <c r="O386" s="652">
        <v>0</v>
      </c>
      <c r="P386" s="685">
        <v>0</v>
      </c>
      <c r="Q386" s="684">
        <v>0</v>
      </c>
      <c r="R386" s="652">
        <f>SUMIFS(OBE!$H:$H,OBE!$C:$C,'Standalone TB'!$B386,OBE!$B:$B,"A20")</f>
        <v>0</v>
      </c>
      <c r="S386" s="652">
        <f>SUMIFS('Elimination - PL'!I:I,'Elimination - PL'!A:A,"EA20",'Elimination - PL'!D:D,'Standalone TB'!B386)</f>
        <v>0</v>
      </c>
      <c r="T386" s="652">
        <f t="shared" si="44"/>
        <v>0</v>
      </c>
      <c r="U386" s="652">
        <f t="shared" si="49"/>
        <v>0</v>
      </c>
      <c r="V386" s="652">
        <v>0</v>
      </c>
      <c r="W386" s="685">
        <v>0</v>
      </c>
      <c r="X386" s="689">
        <f t="shared" si="45"/>
        <v>0</v>
      </c>
      <c r="Y386" s="689">
        <f t="shared" si="46"/>
        <v>0</v>
      </c>
      <c r="Z386" s="652" t="s">
        <v>815</v>
      </c>
      <c r="AA386" s="666" t="s">
        <v>152</v>
      </c>
      <c r="AB386" s="666" t="s">
        <v>158</v>
      </c>
      <c r="AD386" s="665"/>
    </row>
    <row r="387" spans="2:30" hidden="1" x14ac:dyDescent="0.2">
      <c r="B387" s="673" t="s">
        <v>2419</v>
      </c>
      <c r="C387" s="666" t="s">
        <v>2420</v>
      </c>
      <c r="D387" s="666" t="s">
        <v>670</v>
      </c>
      <c r="E387" s="684">
        <v>0</v>
      </c>
      <c r="F387" s="652">
        <f>SUMIFS(OBE!$H:$H,OBE!$C:$C,'Standalone TB'!$B387,OBE!$B:$B,"A21")</f>
        <v>0</v>
      </c>
      <c r="G387" s="652">
        <f>SUMIFS('Elimination - PL'!I:I,'Elimination - PL'!A:A,"EA21",'Elimination - PL'!D:D,'Standalone TB'!B387)</f>
        <v>0</v>
      </c>
      <c r="H387" s="652">
        <f t="shared" si="47"/>
        <v>0</v>
      </c>
      <c r="I387" s="652">
        <v>0</v>
      </c>
      <c r="J387" s="684">
        <v>0</v>
      </c>
      <c r="K387" s="652">
        <f>SUMIFS(OBE!$H:$H,OBE!$C:$C,'Standalone TB'!$B387,OBE!$B:$B,"A22")</f>
        <v>0</v>
      </c>
      <c r="L387" s="652">
        <f>SUMIFS('Elimination - PL'!I:I,'Elimination - PL'!A:A,"EA22",'Elimination - PL'!D:D,'Standalone TB'!B387)</f>
        <v>0</v>
      </c>
      <c r="M387" s="652">
        <f t="shared" si="43"/>
        <v>0</v>
      </c>
      <c r="N387" s="652">
        <f t="shared" si="48"/>
        <v>0</v>
      </c>
      <c r="O387" s="652">
        <v>0</v>
      </c>
      <c r="P387" s="685">
        <v>0</v>
      </c>
      <c r="Q387" s="684">
        <v>0</v>
      </c>
      <c r="R387" s="652">
        <f>SUMIFS(OBE!$H:$H,OBE!$C:$C,'Standalone TB'!$B387,OBE!$B:$B,"A20")</f>
        <v>0</v>
      </c>
      <c r="S387" s="652">
        <f>SUMIFS('Elimination - PL'!I:I,'Elimination - PL'!A:A,"EA20",'Elimination - PL'!D:D,'Standalone TB'!B387)</f>
        <v>0</v>
      </c>
      <c r="T387" s="652">
        <f t="shared" si="44"/>
        <v>0</v>
      </c>
      <c r="U387" s="652">
        <f t="shared" si="49"/>
        <v>0</v>
      </c>
      <c r="V387" s="652">
        <v>0</v>
      </c>
      <c r="W387" s="685">
        <v>0</v>
      </c>
      <c r="X387" s="689">
        <f t="shared" si="45"/>
        <v>0</v>
      </c>
      <c r="Y387" s="689">
        <f t="shared" si="46"/>
        <v>0</v>
      </c>
      <c r="Z387" s="652" t="s">
        <v>815</v>
      </c>
      <c r="AA387" s="666" t="s">
        <v>152</v>
      </c>
      <c r="AB387" s="666" t="s">
        <v>158</v>
      </c>
      <c r="AD387" s="665"/>
    </row>
    <row r="388" spans="2:30" hidden="1" x14ac:dyDescent="0.2">
      <c r="B388" s="673" t="s">
        <v>2421</v>
      </c>
      <c r="C388" s="666" t="s">
        <v>2422</v>
      </c>
      <c r="D388" s="666" t="s">
        <v>670</v>
      </c>
      <c r="E388" s="684">
        <v>0</v>
      </c>
      <c r="F388" s="652">
        <f>SUMIFS(OBE!$H:$H,OBE!$C:$C,'Standalone TB'!$B388,OBE!$B:$B,"A21")</f>
        <v>0</v>
      </c>
      <c r="G388" s="652">
        <f>SUMIFS('Elimination - PL'!I:I,'Elimination - PL'!A:A,"EA21",'Elimination - PL'!D:D,'Standalone TB'!B388)</f>
        <v>0</v>
      </c>
      <c r="H388" s="652">
        <f t="shared" si="47"/>
        <v>0</v>
      </c>
      <c r="I388" s="652">
        <v>0</v>
      </c>
      <c r="J388" s="684">
        <v>0</v>
      </c>
      <c r="K388" s="652">
        <f>SUMIFS(OBE!$H:$H,OBE!$C:$C,'Standalone TB'!$B388,OBE!$B:$B,"A22")</f>
        <v>0</v>
      </c>
      <c r="L388" s="652">
        <f>SUMIFS('Elimination - PL'!I:I,'Elimination - PL'!A:A,"EA22",'Elimination - PL'!D:D,'Standalone TB'!B388)</f>
        <v>0</v>
      </c>
      <c r="M388" s="652">
        <f t="shared" si="43"/>
        <v>0</v>
      </c>
      <c r="N388" s="652">
        <f t="shared" si="48"/>
        <v>0</v>
      </c>
      <c r="O388" s="652">
        <v>0</v>
      </c>
      <c r="P388" s="685">
        <v>0</v>
      </c>
      <c r="Q388" s="684">
        <v>0</v>
      </c>
      <c r="R388" s="652">
        <f>SUMIFS(OBE!$H:$H,OBE!$C:$C,'Standalone TB'!$B388,OBE!$B:$B,"A20")</f>
        <v>0</v>
      </c>
      <c r="S388" s="652">
        <f>SUMIFS('Elimination - PL'!I:I,'Elimination - PL'!A:A,"EA20",'Elimination - PL'!D:D,'Standalone TB'!B388)</f>
        <v>0</v>
      </c>
      <c r="T388" s="652">
        <f t="shared" si="44"/>
        <v>0</v>
      </c>
      <c r="U388" s="652">
        <f t="shared" si="49"/>
        <v>0</v>
      </c>
      <c r="V388" s="652">
        <v>0</v>
      </c>
      <c r="W388" s="685">
        <v>0</v>
      </c>
      <c r="X388" s="689">
        <f t="shared" si="45"/>
        <v>0</v>
      </c>
      <c r="Y388" s="689">
        <f t="shared" si="46"/>
        <v>0</v>
      </c>
      <c r="Z388" s="652" t="s">
        <v>815</v>
      </c>
      <c r="AA388" s="666" t="s">
        <v>152</v>
      </c>
      <c r="AB388" s="666" t="s">
        <v>158</v>
      </c>
      <c r="AD388" s="665"/>
    </row>
    <row r="389" spans="2:30" hidden="1" x14ac:dyDescent="0.2">
      <c r="B389" s="673" t="s">
        <v>1641</v>
      </c>
      <c r="C389" s="666" t="s">
        <v>2423</v>
      </c>
      <c r="D389" s="666" t="s">
        <v>670</v>
      </c>
      <c r="E389" s="684">
        <v>195978</v>
      </c>
      <c r="F389" s="652">
        <f>SUMIFS(OBE!$H:$H,OBE!$C:$C,'Standalone TB'!$B389,OBE!$B:$B,"A21")</f>
        <v>10306</v>
      </c>
      <c r="G389" s="652">
        <f>SUMIFS('Elimination - PL'!I:I,'Elimination - PL'!A:A,"EA21",'Elimination - PL'!D:D,'Standalone TB'!B389)</f>
        <v>0</v>
      </c>
      <c r="H389" s="652">
        <f t="shared" si="47"/>
        <v>206284</v>
      </c>
      <c r="I389" s="652">
        <v>159941</v>
      </c>
      <c r="J389" s="684">
        <v>0</v>
      </c>
      <c r="K389" s="652">
        <f>SUMIFS(OBE!$H:$H,OBE!$C:$C,'Standalone TB'!$B389,OBE!$B:$B,"A22")</f>
        <v>0</v>
      </c>
      <c r="L389" s="652">
        <f>SUMIFS('Elimination - PL'!I:I,'Elimination - PL'!A:A,"EA22",'Elimination - PL'!D:D,'Standalone TB'!B389)</f>
        <v>0</v>
      </c>
      <c r="M389" s="652">
        <f t="shared" si="43"/>
        <v>0</v>
      </c>
      <c r="N389" s="652">
        <f t="shared" si="48"/>
        <v>0</v>
      </c>
      <c r="O389" s="652">
        <v>0</v>
      </c>
      <c r="P389" s="685">
        <v>0</v>
      </c>
      <c r="Q389" s="684">
        <v>0</v>
      </c>
      <c r="R389" s="652">
        <f>SUMIFS(OBE!$H:$H,OBE!$C:$C,'Standalone TB'!$B389,OBE!$B:$B,"A20")</f>
        <v>0</v>
      </c>
      <c r="S389" s="652">
        <f>SUMIFS('Elimination - PL'!I:I,'Elimination - PL'!A:A,"EA20",'Elimination - PL'!D:D,'Standalone TB'!B389)</f>
        <v>0</v>
      </c>
      <c r="T389" s="652">
        <f t="shared" si="44"/>
        <v>0</v>
      </c>
      <c r="U389" s="652">
        <f t="shared" si="49"/>
        <v>0</v>
      </c>
      <c r="V389" s="652">
        <v>0</v>
      </c>
      <c r="W389" s="685">
        <v>0</v>
      </c>
      <c r="X389" s="689">
        <f t="shared" si="45"/>
        <v>206284</v>
      </c>
      <c r="Y389" s="689">
        <f t="shared" si="46"/>
        <v>159941</v>
      </c>
      <c r="Z389" s="652" t="s">
        <v>815</v>
      </c>
      <c r="AA389" s="666" t="s">
        <v>152</v>
      </c>
      <c r="AB389" s="666" t="s">
        <v>158</v>
      </c>
      <c r="AD389" s="665"/>
    </row>
    <row r="390" spans="2:30" hidden="1" x14ac:dyDescent="0.2">
      <c r="B390" s="673" t="s">
        <v>2424</v>
      </c>
      <c r="C390" s="666" t="s">
        <v>2425</v>
      </c>
      <c r="D390" s="666" t="s">
        <v>670</v>
      </c>
      <c r="E390" s="684">
        <v>0</v>
      </c>
      <c r="F390" s="652">
        <f>SUMIFS(OBE!$H:$H,OBE!$C:$C,'Standalone TB'!$B390,OBE!$B:$B,"A21")</f>
        <v>0</v>
      </c>
      <c r="G390" s="652">
        <f>SUMIFS('Elimination - PL'!I:I,'Elimination - PL'!A:A,"EA21",'Elimination - PL'!D:D,'Standalone TB'!B390)</f>
        <v>0</v>
      </c>
      <c r="H390" s="652">
        <f t="shared" si="47"/>
        <v>0</v>
      </c>
      <c r="I390" s="652">
        <v>12303</v>
      </c>
      <c r="J390" s="684">
        <v>0</v>
      </c>
      <c r="K390" s="652">
        <f>SUMIFS(OBE!$H:$H,OBE!$C:$C,'Standalone TB'!$B390,OBE!$B:$B,"A22")</f>
        <v>0</v>
      </c>
      <c r="L390" s="652">
        <f>SUMIFS('Elimination - PL'!I:I,'Elimination - PL'!A:A,"EA22",'Elimination - PL'!D:D,'Standalone TB'!B390)</f>
        <v>0</v>
      </c>
      <c r="M390" s="652">
        <f t="shared" si="43"/>
        <v>0</v>
      </c>
      <c r="N390" s="652">
        <f t="shared" si="48"/>
        <v>0</v>
      </c>
      <c r="O390" s="652">
        <v>0</v>
      </c>
      <c r="P390" s="685">
        <v>0</v>
      </c>
      <c r="Q390" s="684">
        <v>0</v>
      </c>
      <c r="R390" s="652">
        <f>SUMIFS(OBE!$H:$H,OBE!$C:$C,'Standalone TB'!$B390,OBE!$B:$B,"A20")</f>
        <v>0</v>
      </c>
      <c r="S390" s="652">
        <f>SUMIFS('Elimination - PL'!I:I,'Elimination - PL'!A:A,"EA20",'Elimination - PL'!D:D,'Standalone TB'!B390)</f>
        <v>0</v>
      </c>
      <c r="T390" s="652">
        <f t="shared" si="44"/>
        <v>0</v>
      </c>
      <c r="U390" s="652">
        <f t="shared" si="49"/>
        <v>0</v>
      </c>
      <c r="V390" s="652">
        <v>0</v>
      </c>
      <c r="W390" s="685">
        <v>0</v>
      </c>
      <c r="X390" s="689">
        <f t="shared" si="45"/>
        <v>0</v>
      </c>
      <c r="Y390" s="689">
        <f t="shared" si="46"/>
        <v>12303</v>
      </c>
      <c r="Z390" s="652" t="s">
        <v>815</v>
      </c>
      <c r="AA390" s="666" t="s">
        <v>152</v>
      </c>
      <c r="AB390" s="666" t="s">
        <v>158</v>
      </c>
      <c r="AD390" s="665"/>
    </row>
    <row r="391" spans="2:30" hidden="1" x14ac:dyDescent="0.2">
      <c r="B391" s="673" t="s">
        <v>2426</v>
      </c>
      <c r="C391" s="666" t="s">
        <v>2427</v>
      </c>
      <c r="D391" s="666" t="s">
        <v>670</v>
      </c>
      <c r="E391" s="684">
        <v>12948</v>
      </c>
      <c r="F391" s="652">
        <f>SUMIFS(OBE!$H:$H,OBE!$C:$C,'Standalone TB'!$B391,OBE!$B:$B,"A21")</f>
        <v>0</v>
      </c>
      <c r="G391" s="652">
        <f>SUMIFS('Elimination - PL'!I:I,'Elimination - PL'!A:A,"EA21",'Elimination - PL'!D:D,'Standalone TB'!B391)</f>
        <v>0</v>
      </c>
      <c r="H391" s="652">
        <f t="shared" si="47"/>
        <v>12948</v>
      </c>
      <c r="I391" s="652">
        <v>24497</v>
      </c>
      <c r="J391" s="684">
        <v>0</v>
      </c>
      <c r="K391" s="652">
        <f>SUMIFS(OBE!$H:$H,OBE!$C:$C,'Standalone TB'!$B391,OBE!$B:$B,"A22")</f>
        <v>0</v>
      </c>
      <c r="L391" s="652">
        <f>SUMIFS('Elimination - PL'!I:I,'Elimination - PL'!A:A,"EA22",'Elimination - PL'!D:D,'Standalone TB'!B391)</f>
        <v>0</v>
      </c>
      <c r="M391" s="652">
        <f t="shared" si="43"/>
        <v>0</v>
      </c>
      <c r="N391" s="652">
        <f t="shared" si="48"/>
        <v>0</v>
      </c>
      <c r="O391" s="652">
        <v>0</v>
      </c>
      <c r="P391" s="685">
        <v>0</v>
      </c>
      <c r="Q391" s="684">
        <v>0</v>
      </c>
      <c r="R391" s="652">
        <f>SUMIFS(OBE!$H:$H,OBE!$C:$C,'Standalone TB'!$B391,OBE!$B:$B,"A20")</f>
        <v>0</v>
      </c>
      <c r="S391" s="652">
        <f>SUMIFS('Elimination - PL'!I:I,'Elimination - PL'!A:A,"EA20",'Elimination - PL'!D:D,'Standalone TB'!B391)</f>
        <v>0</v>
      </c>
      <c r="T391" s="652">
        <f t="shared" si="44"/>
        <v>0</v>
      </c>
      <c r="U391" s="652">
        <f t="shared" si="49"/>
        <v>0</v>
      </c>
      <c r="V391" s="652">
        <v>0</v>
      </c>
      <c r="W391" s="685">
        <v>0</v>
      </c>
      <c r="X391" s="689">
        <f t="shared" si="45"/>
        <v>12948</v>
      </c>
      <c r="Y391" s="689">
        <f t="shared" si="46"/>
        <v>24497</v>
      </c>
      <c r="Z391" s="652" t="s">
        <v>815</v>
      </c>
      <c r="AA391" s="666" t="s">
        <v>152</v>
      </c>
      <c r="AB391" s="666" t="s">
        <v>158</v>
      </c>
      <c r="AD391" s="665"/>
    </row>
    <row r="392" spans="2:30" hidden="1" x14ac:dyDescent="0.2">
      <c r="B392" s="673" t="s">
        <v>2428</v>
      </c>
      <c r="C392" s="666" t="s">
        <v>2429</v>
      </c>
      <c r="D392" s="666" t="s">
        <v>670</v>
      </c>
      <c r="E392" s="684">
        <v>-1600</v>
      </c>
      <c r="F392" s="652">
        <f>SUMIFS(OBE!$H:$H,OBE!$C:$C,'Standalone TB'!$B392,OBE!$B:$B,"A21")</f>
        <v>0</v>
      </c>
      <c r="G392" s="652">
        <f>SUMIFS('Elimination - PL'!I:I,'Elimination - PL'!A:A,"EA21",'Elimination - PL'!D:D,'Standalone TB'!B392)</f>
        <v>0</v>
      </c>
      <c r="H392" s="652">
        <f t="shared" si="47"/>
        <v>-1600</v>
      </c>
      <c r="I392" s="652">
        <v>2377.29</v>
      </c>
      <c r="J392" s="684">
        <v>0</v>
      </c>
      <c r="K392" s="652">
        <f>SUMIFS(OBE!$H:$H,OBE!$C:$C,'Standalone TB'!$B392,OBE!$B:$B,"A22")</f>
        <v>0</v>
      </c>
      <c r="L392" s="652">
        <f>SUMIFS('Elimination - PL'!I:I,'Elimination - PL'!A:A,"EA22",'Elimination - PL'!D:D,'Standalone TB'!B392)</f>
        <v>0</v>
      </c>
      <c r="M392" s="652">
        <f t="shared" ref="M392:M455" si="50">SUM(J392:L392)</f>
        <v>0</v>
      </c>
      <c r="N392" s="652">
        <f t="shared" si="48"/>
        <v>0</v>
      </c>
      <c r="O392" s="652">
        <v>0</v>
      </c>
      <c r="P392" s="685">
        <v>0</v>
      </c>
      <c r="Q392" s="684">
        <v>0</v>
      </c>
      <c r="R392" s="652">
        <f>SUMIFS(OBE!$H:$H,OBE!$C:$C,'Standalone TB'!$B392,OBE!$B:$B,"A20")</f>
        <v>0</v>
      </c>
      <c r="S392" s="652">
        <f>SUMIFS('Elimination - PL'!I:I,'Elimination - PL'!A:A,"EA20",'Elimination - PL'!D:D,'Standalone TB'!B392)</f>
        <v>0</v>
      </c>
      <c r="T392" s="652">
        <f t="shared" ref="T392:T455" si="51">SUM(Q392:S392)</f>
        <v>0</v>
      </c>
      <c r="U392" s="652">
        <f t="shared" si="49"/>
        <v>0</v>
      </c>
      <c r="V392" s="652">
        <v>0</v>
      </c>
      <c r="W392" s="685">
        <v>0</v>
      </c>
      <c r="X392" s="689">
        <f t="shared" ref="X392:X455" si="52">H392+N392+U392</f>
        <v>-1600</v>
      </c>
      <c r="Y392" s="689">
        <f t="shared" ref="Y392:Y455" si="53">I392+P392+W392</f>
        <v>2377.29</v>
      </c>
      <c r="Z392" s="652" t="s">
        <v>815</v>
      </c>
      <c r="AA392" s="666" t="s">
        <v>152</v>
      </c>
      <c r="AB392" s="666" t="s">
        <v>158</v>
      </c>
      <c r="AD392" s="665"/>
    </row>
    <row r="393" spans="2:30" hidden="1" x14ac:dyDescent="0.2">
      <c r="B393" s="673" t="s">
        <v>2430</v>
      </c>
      <c r="C393" s="666" t="s">
        <v>2431</v>
      </c>
      <c r="D393" s="666" t="s">
        <v>670</v>
      </c>
      <c r="E393" s="684">
        <v>0</v>
      </c>
      <c r="F393" s="652">
        <f>SUMIFS(OBE!$H:$H,OBE!$C:$C,'Standalone TB'!$B393,OBE!$B:$B,"A21")</f>
        <v>0</v>
      </c>
      <c r="G393" s="652">
        <f>SUMIFS('Elimination - PL'!I:I,'Elimination - PL'!A:A,"EA21",'Elimination - PL'!D:D,'Standalone TB'!B393)</f>
        <v>0</v>
      </c>
      <c r="H393" s="652">
        <f t="shared" si="47"/>
        <v>0</v>
      </c>
      <c r="I393" s="652">
        <v>0</v>
      </c>
      <c r="J393" s="684">
        <v>0</v>
      </c>
      <c r="K393" s="652">
        <f>SUMIFS(OBE!$H:$H,OBE!$C:$C,'Standalone TB'!$B393,OBE!$B:$B,"A22")</f>
        <v>0</v>
      </c>
      <c r="L393" s="652">
        <f>SUMIFS('Elimination - PL'!I:I,'Elimination - PL'!A:A,"EA22",'Elimination - PL'!D:D,'Standalone TB'!B393)</f>
        <v>0</v>
      </c>
      <c r="M393" s="652">
        <f t="shared" si="50"/>
        <v>0</v>
      </c>
      <c r="N393" s="652">
        <f t="shared" si="48"/>
        <v>0</v>
      </c>
      <c r="O393" s="652">
        <v>0</v>
      </c>
      <c r="P393" s="685">
        <v>0</v>
      </c>
      <c r="Q393" s="684">
        <v>0</v>
      </c>
      <c r="R393" s="652">
        <f>SUMIFS(OBE!$H:$H,OBE!$C:$C,'Standalone TB'!$B393,OBE!$B:$B,"A20")</f>
        <v>0</v>
      </c>
      <c r="S393" s="652">
        <f>SUMIFS('Elimination - PL'!I:I,'Elimination - PL'!A:A,"EA20",'Elimination - PL'!D:D,'Standalone TB'!B393)</f>
        <v>0</v>
      </c>
      <c r="T393" s="652">
        <f t="shared" si="51"/>
        <v>0</v>
      </c>
      <c r="U393" s="652">
        <f t="shared" si="49"/>
        <v>0</v>
      </c>
      <c r="V393" s="652">
        <v>0</v>
      </c>
      <c r="W393" s="685">
        <v>0</v>
      </c>
      <c r="X393" s="689">
        <f t="shared" si="52"/>
        <v>0</v>
      </c>
      <c r="Y393" s="689">
        <f t="shared" si="53"/>
        <v>0</v>
      </c>
      <c r="Z393" s="652" t="s">
        <v>815</v>
      </c>
      <c r="AA393" s="666" t="s">
        <v>152</v>
      </c>
      <c r="AB393" s="666" t="s">
        <v>158</v>
      </c>
      <c r="AD393" s="665"/>
    </row>
    <row r="394" spans="2:30" hidden="1" x14ac:dyDescent="0.2">
      <c r="B394" s="673" t="s">
        <v>2432</v>
      </c>
      <c r="C394" s="666" t="s">
        <v>2433</v>
      </c>
      <c r="D394" s="666" t="s">
        <v>670</v>
      </c>
      <c r="E394" s="684">
        <v>0</v>
      </c>
      <c r="F394" s="652">
        <f>SUMIFS(OBE!$H:$H,OBE!$C:$C,'Standalone TB'!$B394,OBE!$B:$B,"A21")</f>
        <v>0</v>
      </c>
      <c r="G394" s="652">
        <f>SUMIFS('Elimination - PL'!I:I,'Elimination - PL'!A:A,"EA21",'Elimination - PL'!D:D,'Standalone TB'!B394)</f>
        <v>0</v>
      </c>
      <c r="H394" s="652">
        <f t="shared" si="47"/>
        <v>0</v>
      </c>
      <c r="I394" s="652">
        <v>0</v>
      </c>
      <c r="J394" s="684">
        <v>0</v>
      </c>
      <c r="K394" s="652">
        <f>SUMIFS(OBE!$H:$H,OBE!$C:$C,'Standalone TB'!$B394,OBE!$B:$B,"A22")</f>
        <v>0</v>
      </c>
      <c r="L394" s="652">
        <f>SUMIFS('Elimination - PL'!I:I,'Elimination - PL'!A:A,"EA22",'Elimination - PL'!D:D,'Standalone TB'!B394)</f>
        <v>0</v>
      </c>
      <c r="M394" s="652">
        <f t="shared" si="50"/>
        <v>0</v>
      </c>
      <c r="N394" s="652">
        <f t="shared" si="48"/>
        <v>0</v>
      </c>
      <c r="O394" s="652">
        <v>0</v>
      </c>
      <c r="P394" s="685">
        <v>0</v>
      </c>
      <c r="Q394" s="684">
        <v>0</v>
      </c>
      <c r="R394" s="652">
        <f>SUMIFS(OBE!$H:$H,OBE!$C:$C,'Standalone TB'!$B394,OBE!$B:$B,"A20")</f>
        <v>0</v>
      </c>
      <c r="S394" s="652">
        <f>SUMIFS('Elimination - PL'!I:I,'Elimination - PL'!A:A,"EA20",'Elimination - PL'!D:D,'Standalone TB'!B394)</f>
        <v>0</v>
      </c>
      <c r="T394" s="652">
        <f t="shared" si="51"/>
        <v>0</v>
      </c>
      <c r="U394" s="652">
        <f t="shared" si="49"/>
        <v>0</v>
      </c>
      <c r="V394" s="652">
        <v>0</v>
      </c>
      <c r="W394" s="685">
        <v>0</v>
      </c>
      <c r="X394" s="689">
        <f t="shared" si="52"/>
        <v>0</v>
      </c>
      <c r="Y394" s="689">
        <f t="shared" si="53"/>
        <v>0</v>
      </c>
      <c r="Z394" s="652" t="s">
        <v>815</v>
      </c>
      <c r="AA394" s="666" t="s">
        <v>152</v>
      </c>
      <c r="AB394" s="666" t="s">
        <v>158</v>
      </c>
      <c r="AD394" s="665"/>
    </row>
    <row r="395" spans="2:30" hidden="1" x14ac:dyDescent="0.2">
      <c r="B395" s="673" t="s">
        <v>1640</v>
      </c>
      <c r="C395" s="666" t="s">
        <v>2434</v>
      </c>
      <c r="D395" s="666" t="s">
        <v>670</v>
      </c>
      <c r="E395" s="684">
        <v>879120</v>
      </c>
      <c r="F395" s="652">
        <f>SUMIFS(OBE!$H:$H,OBE!$C:$C,'Standalone TB'!$B395,OBE!$B:$B,"A21")</f>
        <v>20613</v>
      </c>
      <c r="G395" s="652">
        <f>SUMIFS('Elimination - PL'!I:I,'Elimination - PL'!A:A,"EA21",'Elimination - PL'!D:D,'Standalone TB'!B395)</f>
        <v>0</v>
      </c>
      <c r="H395" s="652">
        <f t="shared" si="47"/>
        <v>899733</v>
      </c>
      <c r="I395" s="652">
        <v>790472</v>
      </c>
      <c r="J395" s="684">
        <v>0</v>
      </c>
      <c r="K395" s="652">
        <f>SUMIFS(OBE!$H:$H,OBE!$C:$C,'Standalone TB'!$B395,OBE!$B:$B,"A22")</f>
        <v>0</v>
      </c>
      <c r="L395" s="652">
        <f>SUMIFS('Elimination - PL'!I:I,'Elimination - PL'!A:A,"EA22",'Elimination - PL'!D:D,'Standalone TB'!B395)</f>
        <v>0</v>
      </c>
      <c r="M395" s="652">
        <f t="shared" si="50"/>
        <v>0</v>
      </c>
      <c r="N395" s="652">
        <f t="shared" si="48"/>
        <v>0</v>
      </c>
      <c r="O395" s="652">
        <v>0</v>
      </c>
      <c r="P395" s="685">
        <v>0</v>
      </c>
      <c r="Q395" s="684">
        <v>0</v>
      </c>
      <c r="R395" s="652">
        <f>SUMIFS(OBE!$H:$H,OBE!$C:$C,'Standalone TB'!$B395,OBE!$B:$B,"A20")</f>
        <v>0</v>
      </c>
      <c r="S395" s="652">
        <f>SUMIFS('Elimination - PL'!I:I,'Elimination - PL'!A:A,"EA20",'Elimination - PL'!D:D,'Standalone TB'!B395)</f>
        <v>0</v>
      </c>
      <c r="T395" s="652">
        <f t="shared" si="51"/>
        <v>0</v>
      </c>
      <c r="U395" s="652">
        <f t="shared" si="49"/>
        <v>0</v>
      </c>
      <c r="V395" s="652">
        <v>0</v>
      </c>
      <c r="W395" s="685">
        <v>0</v>
      </c>
      <c r="X395" s="689">
        <f t="shared" si="52"/>
        <v>899733</v>
      </c>
      <c r="Y395" s="689">
        <f t="shared" si="53"/>
        <v>790472</v>
      </c>
      <c r="Z395" s="652" t="s">
        <v>815</v>
      </c>
      <c r="AA395" s="666" t="s">
        <v>152</v>
      </c>
      <c r="AB395" s="666" t="s">
        <v>158</v>
      </c>
      <c r="AD395" s="665"/>
    </row>
    <row r="396" spans="2:30" hidden="1" x14ac:dyDescent="0.2">
      <c r="B396" s="673" t="s">
        <v>2435</v>
      </c>
      <c r="C396" s="666" t="s">
        <v>2436</v>
      </c>
      <c r="D396" s="666" t="s">
        <v>670</v>
      </c>
      <c r="E396" s="684">
        <v>0</v>
      </c>
      <c r="F396" s="652">
        <f>SUMIFS(OBE!$H:$H,OBE!$C:$C,'Standalone TB'!$B396,OBE!$B:$B,"A21")</f>
        <v>0</v>
      </c>
      <c r="G396" s="652">
        <f>SUMIFS('Elimination - PL'!I:I,'Elimination - PL'!A:A,"EA21",'Elimination - PL'!D:D,'Standalone TB'!B396)</f>
        <v>0</v>
      </c>
      <c r="H396" s="652">
        <f t="shared" si="47"/>
        <v>0</v>
      </c>
      <c r="I396" s="652">
        <v>0</v>
      </c>
      <c r="J396" s="684">
        <v>3501</v>
      </c>
      <c r="K396" s="652">
        <f>SUMIFS(OBE!$H:$H,OBE!$C:$C,'Standalone TB'!$B396,OBE!$B:$B,"A22")</f>
        <v>0</v>
      </c>
      <c r="L396" s="652">
        <f>SUMIFS('Elimination - PL'!I:I,'Elimination - PL'!A:A,"EA22",'Elimination - PL'!D:D,'Standalone TB'!B396)</f>
        <v>0</v>
      </c>
      <c r="M396" s="652">
        <f t="shared" si="50"/>
        <v>3501</v>
      </c>
      <c r="N396" s="652">
        <f t="shared" si="48"/>
        <v>80465.484593504429</v>
      </c>
      <c r="O396" s="652">
        <v>0</v>
      </c>
      <c r="P396" s="685">
        <v>0</v>
      </c>
      <c r="Q396" s="684">
        <v>0</v>
      </c>
      <c r="R396" s="652">
        <f>SUMIFS(OBE!$H:$H,OBE!$C:$C,'Standalone TB'!$B396,OBE!$B:$B,"A20")</f>
        <v>0</v>
      </c>
      <c r="S396" s="652">
        <f>SUMIFS('Elimination - PL'!I:I,'Elimination - PL'!A:A,"EA20",'Elimination - PL'!D:D,'Standalone TB'!B396)</f>
        <v>0</v>
      </c>
      <c r="T396" s="652">
        <f t="shared" si="51"/>
        <v>0</v>
      </c>
      <c r="U396" s="652">
        <f t="shared" si="49"/>
        <v>0</v>
      </c>
      <c r="V396" s="652">
        <v>0</v>
      </c>
      <c r="W396" s="685">
        <v>0</v>
      </c>
      <c r="X396" s="689">
        <f t="shared" si="52"/>
        <v>80465.484593504429</v>
      </c>
      <c r="Y396" s="689">
        <f t="shared" si="53"/>
        <v>0</v>
      </c>
      <c r="Z396" s="652" t="s">
        <v>815</v>
      </c>
      <c r="AA396" s="666" t="s">
        <v>152</v>
      </c>
      <c r="AB396" s="666" t="s">
        <v>158</v>
      </c>
      <c r="AD396" s="665"/>
    </row>
    <row r="397" spans="2:30" hidden="1" x14ac:dyDescent="0.2">
      <c r="B397" s="673" t="s">
        <v>2437</v>
      </c>
      <c r="C397" s="666" t="s">
        <v>2438</v>
      </c>
      <c r="D397" s="666" t="s">
        <v>670</v>
      </c>
      <c r="E397" s="684">
        <v>0</v>
      </c>
      <c r="F397" s="652">
        <f>SUMIFS(OBE!$H:$H,OBE!$C:$C,'Standalone TB'!$B397,OBE!$B:$B,"A21")</f>
        <v>0</v>
      </c>
      <c r="G397" s="652">
        <f>SUMIFS('Elimination - PL'!I:I,'Elimination - PL'!A:A,"EA21",'Elimination - PL'!D:D,'Standalone TB'!B397)</f>
        <v>0</v>
      </c>
      <c r="H397" s="652">
        <f t="shared" si="47"/>
        <v>0</v>
      </c>
      <c r="I397" s="652">
        <v>0</v>
      </c>
      <c r="J397" s="684">
        <v>79158.06</v>
      </c>
      <c r="K397" s="652">
        <f>SUMIFS(OBE!$H:$H,OBE!$C:$C,'Standalone TB'!$B397,OBE!$B:$B,"A22")</f>
        <v>0</v>
      </c>
      <c r="L397" s="652">
        <f>SUMIFS('Elimination - PL'!I:I,'Elimination - PL'!A:A,"EA22",'Elimination - PL'!D:D,'Standalone TB'!B397)</f>
        <v>0</v>
      </c>
      <c r="M397" s="652">
        <f t="shared" si="50"/>
        <v>79158.06</v>
      </c>
      <c r="N397" s="652">
        <f t="shared" si="48"/>
        <v>1819334.9492664093</v>
      </c>
      <c r="O397" s="652">
        <v>15917.95</v>
      </c>
      <c r="P397" s="685">
        <v>358768.30787000002</v>
      </c>
      <c r="Q397" s="684">
        <v>0</v>
      </c>
      <c r="R397" s="652">
        <f>SUMIFS(OBE!$H:$H,OBE!$C:$C,'Standalone TB'!$B397,OBE!$B:$B,"A20")</f>
        <v>0</v>
      </c>
      <c r="S397" s="652">
        <f>SUMIFS('Elimination - PL'!I:I,'Elimination - PL'!A:A,"EA20",'Elimination - PL'!D:D,'Standalone TB'!B397)</f>
        <v>0</v>
      </c>
      <c r="T397" s="652">
        <f t="shared" si="51"/>
        <v>0</v>
      </c>
      <c r="U397" s="652">
        <f t="shared" si="49"/>
        <v>0</v>
      </c>
      <c r="V397" s="652">
        <v>0</v>
      </c>
      <c r="W397" s="685">
        <v>0</v>
      </c>
      <c r="X397" s="689">
        <f t="shared" si="52"/>
        <v>1819334.9492664093</v>
      </c>
      <c r="Y397" s="689">
        <f t="shared" si="53"/>
        <v>358768.30787000002</v>
      </c>
      <c r="Z397" s="652" t="s">
        <v>815</v>
      </c>
      <c r="AA397" s="666" t="s">
        <v>152</v>
      </c>
      <c r="AB397" s="666" t="s">
        <v>158</v>
      </c>
      <c r="AD397" s="665"/>
    </row>
    <row r="398" spans="2:30" hidden="1" x14ac:dyDescent="0.2">
      <c r="B398" s="673" t="s">
        <v>2439</v>
      </c>
      <c r="C398" s="666" t="s">
        <v>2440</v>
      </c>
      <c r="D398" s="666" t="s">
        <v>670</v>
      </c>
      <c r="E398" s="684">
        <v>0</v>
      </c>
      <c r="F398" s="652">
        <f>SUMIFS(OBE!$H:$H,OBE!$C:$C,'Standalone TB'!$B398,OBE!$B:$B,"A21")</f>
        <v>0</v>
      </c>
      <c r="G398" s="652">
        <f>SUMIFS('Elimination - PL'!I:I,'Elimination - PL'!A:A,"EA21",'Elimination - PL'!D:D,'Standalone TB'!B398)</f>
        <v>0</v>
      </c>
      <c r="H398" s="652">
        <f t="shared" si="47"/>
        <v>0</v>
      </c>
      <c r="I398" s="652">
        <v>0</v>
      </c>
      <c r="J398" s="684">
        <v>470.06999999999971</v>
      </c>
      <c r="K398" s="652">
        <f>SUMIFS(OBE!$H:$H,OBE!$C:$C,'Standalone TB'!$B398,OBE!$B:$B,"A22")</f>
        <v>0</v>
      </c>
      <c r="L398" s="652">
        <f>SUMIFS('Elimination - PL'!I:I,'Elimination - PL'!A:A,"EA22",'Elimination - PL'!D:D,'Standalone TB'!B398)</f>
        <v>0</v>
      </c>
      <c r="M398" s="652">
        <f t="shared" si="50"/>
        <v>470.06999999999971</v>
      </c>
      <c r="N398" s="652">
        <f t="shared" si="48"/>
        <v>10803.887558659984</v>
      </c>
      <c r="O398" s="652">
        <v>26888.390000000003</v>
      </c>
      <c r="P398" s="685">
        <v>606026.66685400007</v>
      </c>
      <c r="Q398" s="684">
        <v>0</v>
      </c>
      <c r="R398" s="652">
        <f>SUMIFS(OBE!$H:$H,OBE!$C:$C,'Standalone TB'!$B398,OBE!$B:$B,"A20")</f>
        <v>0</v>
      </c>
      <c r="S398" s="652">
        <f>SUMIFS('Elimination - PL'!I:I,'Elimination - PL'!A:A,"EA20",'Elimination - PL'!D:D,'Standalone TB'!B398)</f>
        <v>0</v>
      </c>
      <c r="T398" s="652">
        <f t="shared" si="51"/>
        <v>0</v>
      </c>
      <c r="U398" s="652">
        <f t="shared" si="49"/>
        <v>0</v>
      </c>
      <c r="V398" s="652">
        <v>0</v>
      </c>
      <c r="W398" s="685">
        <v>0</v>
      </c>
      <c r="X398" s="689">
        <f t="shared" si="52"/>
        <v>10803.887558659984</v>
      </c>
      <c r="Y398" s="689">
        <f t="shared" si="53"/>
        <v>606026.66685400007</v>
      </c>
      <c r="Z398" s="652" t="s">
        <v>815</v>
      </c>
      <c r="AA398" s="666" t="s">
        <v>152</v>
      </c>
      <c r="AB398" s="666" t="s">
        <v>158</v>
      </c>
      <c r="AD398" s="665"/>
    </row>
    <row r="399" spans="2:30" hidden="1" x14ac:dyDescent="0.2">
      <c r="B399" s="673" t="s">
        <v>2441</v>
      </c>
      <c r="C399" s="666" t="s">
        <v>2442</v>
      </c>
      <c r="D399" s="666" t="s">
        <v>670</v>
      </c>
      <c r="E399" s="684">
        <v>0</v>
      </c>
      <c r="F399" s="652">
        <f>SUMIFS(OBE!$H:$H,OBE!$C:$C,'Standalone TB'!$B399,OBE!$B:$B,"A21")</f>
        <v>0</v>
      </c>
      <c r="G399" s="652">
        <f>SUMIFS('Elimination - PL'!I:I,'Elimination - PL'!A:A,"EA21",'Elimination - PL'!D:D,'Standalone TB'!B399)</f>
        <v>0</v>
      </c>
      <c r="H399" s="652">
        <f t="shared" si="47"/>
        <v>0</v>
      </c>
      <c r="I399" s="652">
        <v>0</v>
      </c>
      <c r="J399" s="684">
        <v>0</v>
      </c>
      <c r="K399" s="652">
        <f>SUMIFS(OBE!$H:$H,OBE!$C:$C,'Standalone TB'!$B399,OBE!$B:$B,"A22")</f>
        <v>0</v>
      </c>
      <c r="L399" s="652">
        <f>SUMIFS('Elimination - PL'!I:I,'Elimination - PL'!A:A,"EA22",'Elimination - PL'!D:D,'Standalone TB'!B399)</f>
        <v>0</v>
      </c>
      <c r="M399" s="652">
        <f t="shared" si="50"/>
        <v>0</v>
      </c>
      <c r="N399" s="652">
        <f t="shared" si="48"/>
        <v>0</v>
      </c>
      <c r="O399" s="652">
        <v>15715.64</v>
      </c>
      <c r="P399" s="685">
        <v>354208.52370399999</v>
      </c>
      <c r="Q399" s="684">
        <v>0</v>
      </c>
      <c r="R399" s="652">
        <f>SUMIFS(OBE!$H:$H,OBE!$C:$C,'Standalone TB'!$B399,OBE!$B:$B,"A20")</f>
        <v>0</v>
      </c>
      <c r="S399" s="652">
        <f>SUMIFS('Elimination - PL'!I:I,'Elimination - PL'!A:A,"EA20",'Elimination - PL'!D:D,'Standalone TB'!B399)</f>
        <v>0</v>
      </c>
      <c r="T399" s="652">
        <f t="shared" si="51"/>
        <v>0</v>
      </c>
      <c r="U399" s="652">
        <f t="shared" si="49"/>
        <v>0</v>
      </c>
      <c r="V399" s="652">
        <v>0</v>
      </c>
      <c r="W399" s="685">
        <v>0</v>
      </c>
      <c r="X399" s="689">
        <f t="shared" si="52"/>
        <v>0</v>
      </c>
      <c r="Y399" s="689">
        <f t="shared" si="53"/>
        <v>354208.52370399999</v>
      </c>
      <c r="Z399" s="652" t="s">
        <v>815</v>
      </c>
      <c r="AA399" s="666" t="s">
        <v>152</v>
      </c>
      <c r="AB399" s="666" t="s">
        <v>158</v>
      </c>
      <c r="AD399" s="665"/>
    </row>
    <row r="400" spans="2:30" hidden="1" x14ac:dyDescent="0.2">
      <c r="B400" s="673" t="s">
        <v>2443</v>
      </c>
      <c r="C400" s="666" t="s">
        <v>2408</v>
      </c>
      <c r="D400" s="666" t="s">
        <v>670</v>
      </c>
      <c r="E400" s="684">
        <v>0</v>
      </c>
      <c r="F400" s="652">
        <f>SUMIFS(OBE!$H:$H,OBE!$C:$C,'Standalone TB'!$B400,OBE!$B:$B,"A21")</f>
        <v>0</v>
      </c>
      <c r="G400" s="652">
        <f>SUMIFS('Elimination - PL'!I:I,'Elimination - PL'!A:A,"EA21",'Elimination - PL'!D:D,'Standalone TB'!B400)</f>
        <v>0</v>
      </c>
      <c r="H400" s="652">
        <f t="shared" si="47"/>
        <v>0</v>
      </c>
      <c r="I400" s="652">
        <v>4925</v>
      </c>
      <c r="J400" s="684">
        <v>0</v>
      </c>
      <c r="K400" s="652">
        <f>SUMIFS(OBE!$H:$H,OBE!$C:$C,'Standalone TB'!$B400,OBE!$B:$B,"A22")</f>
        <v>0</v>
      </c>
      <c r="L400" s="652">
        <f>SUMIFS('Elimination - PL'!I:I,'Elimination - PL'!A:A,"EA22",'Elimination - PL'!D:D,'Standalone TB'!B400)</f>
        <v>0</v>
      </c>
      <c r="M400" s="652">
        <f t="shared" si="50"/>
        <v>0</v>
      </c>
      <c r="N400" s="652">
        <f t="shared" si="48"/>
        <v>0</v>
      </c>
      <c r="O400" s="652">
        <v>0</v>
      </c>
      <c r="P400" s="685">
        <v>0</v>
      </c>
      <c r="Q400" s="684">
        <v>0</v>
      </c>
      <c r="R400" s="652">
        <f>SUMIFS(OBE!$H:$H,OBE!$C:$C,'Standalone TB'!$B400,OBE!$B:$B,"A20")</f>
        <v>0</v>
      </c>
      <c r="S400" s="652">
        <f>SUMIFS('Elimination - PL'!I:I,'Elimination - PL'!A:A,"EA20",'Elimination - PL'!D:D,'Standalone TB'!B400)</f>
        <v>0</v>
      </c>
      <c r="T400" s="652">
        <f t="shared" si="51"/>
        <v>0</v>
      </c>
      <c r="U400" s="652">
        <f t="shared" si="49"/>
        <v>0</v>
      </c>
      <c r="V400" s="652">
        <v>0</v>
      </c>
      <c r="W400" s="685">
        <v>0</v>
      </c>
      <c r="X400" s="689">
        <f t="shared" si="52"/>
        <v>0</v>
      </c>
      <c r="Y400" s="689">
        <f t="shared" si="53"/>
        <v>4925</v>
      </c>
      <c r="Z400" s="652" t="s">
        <v>815</v>
      </c>
      <c r="AA400" s="666" t="s">
        <v>152</v>
      </c>
      <c r="AB400" s="666" t="s">
        <v>158</v>
      </c>
      <c r="AD400" s="665"/>
    </row>
    <row r="401" spans="2:30" hidden="1" x14ac:dyDescent="0.2">
      <c r="B401" s="673" t="s">
        <v>2444</v>
      </c>
      <c r="C401" s="666" t="s">
        <v>2445</v>
      </c>
      <c r="D401" s="666" t="s">
        <v>670</v>
      </c>
      <c r="E401" s="684">
        <v>0</v>
      </c>
      <c r="F401" s="652">
        <f>SUMIFS(OBE!$H:$H,OBE!$C:$C,'Standalone TB'!$B401,OBE!$B:$B,"A21")</f>
        <v>0</v>
      </c>
      <c r="G401" s="652">
        <f>SUMIFS('Elimination - PL'!I:I,'Elimination - PL'!A:A,"EA21",'Elimination - PL'!D:D,'Standalone TB'!B401)</f>
        <v>0</v>
      </c>
      <c r="H401" s="652">
        <f t="shared" si="47"/>
        <v>0</v>
      </c>
      <c r="I401" s="652">
        <v>153000</v>
      </c>
      <c r="J401" s="684">
        <v>0</v>
      </c>
      <c r="K401" s="652">
        <f>SUMIFS(OBE!$H:$H,OBE!$C:$C,'Standalone TB'!$B401,OBE!$B:$B,"A22")</f>
        <v>0</v>
      </c>
      <c r="L401" s="652">
        <f>SUMIFS('Elimination - PL'!I:I,'Elimination - PL'!A:A,"EA22",'Elimination - PL'!D:D,'Standalone TB'!B401)</f>
        <v>0</v>
      </c>
      <c r="M401" s="652">
        <f t="shared" si="50"/>
        <v>0</v>
      </c>
      <c r="N401" s="652">
        <f t="shared" si="48"/>
        <v>0</v>
      </c>
      <c r="O401" s="652">
        <v>0</v>
      </c>
      <c r="P401" s="685">
        <v>0</v>
      </c>
      <c r="Q401" s="684">
        <v>0</v>
      </c>
      <c r="R401" s="652">
        <f>SUMIFS(OBE!$H:$H,OBE!$C:$C,'Standalone TB'!$B401,OBE!$B:$B,"A20")</f>
        <v>0</v>
      </c>
      <c r="S401" s="652">
        <f>SUMIFS('Elimination - PL'!I:I,'Elimination - PL'!A:A,"EA20",'Elimination - PL'!D:D,'Standalone TB'!B401)</f>
        <v>0</v>
      </c>
      <c r="T401" s="652">
        <f t="shared" si="51"/>
        <v>0</v>
      </c>
      <c r="U401" s="652">
        <f t="shared" si="49"/>
        <v>0</v>
      </c>
      <c r="V401" s="652">
        <v>0</v>
      </c>
      <c r="W401" s="685">
        <v>0</v>
      </c>
      <c r="X401" s="689">
        <f t="shared" si="52"/>
        <v>0</v>
      </c>
      <c r="Y401" s="689">
        <f t="shared" si="53"/>
        <v>153000</v>
      </c>
      <c r="Z401" s="652" t="s">
        <v>818</v>
      </c>
      <c r="AA401" s="666" t="s">
        <v>152</v>
      </c>
      <c r="AB401" s="666" t="s">
        <v>2314</v>
      </c>
      <c r="AD401" s="665"/>
    </row>
    <row r="402" spans="2:30" hidden="1" x14ac:dyDescent="0.2">
      <c r="B402" s="673" t="s">
        <v>2446</v>
      </c>
      <c r="C402" s="666" t="s">
        <v>2447</v>
      </c>
      <c r="D402" s="666" t="s">
        <v>670</v>
      </c>
      <c r="E402" s="684">
        <v>0</v>
      </c>
      <c r="F402" s="652">
        <f>SUMIFS(OBE!$H:$H,OBE!$C:$C,'Standalone TB'!$B402,OBE!$B:$B,"A21")</f>
        <v>0</v>
      </c>
      <c r="G402" s="652">
        <f>SUMIFS('Elimination - PL'!I:I,'Elimination - PL'!A:A,"EA21",'Elimination - PL'!D:D,'Standalone TB'!B402)</f>
        <v>0</v>
      </c>
      <c r="H402" s="652">
        <f t="shared" si="47"/>
        <v>0</v>
      </c>
      <c r="I402" s="652">
        <v>0</v>
      </c>
      <c r="J402" s="684">
        <v>0</v>
      </c>
      <c r="K402" s="652">
        <f>SUMIFS(OBE!$H:$H,OBE!$C:$C,'Standalone TB'!$B402,OBE!$B:$B,"A22")</f>
        <v>0</v>
      </c>
      <c r="L402" s="652">
        <f>SUMIFS('Elimination - PL'!I:I,'Elimination - PL'!A:A,"EA22",'Elimination - PL'!D:D,'Standalone TB'!B402)</f>
        <v>0</v>
      </c>
      <c r="M402" s="652">
        <f t="shared" si="50"/>
        <v>0</v>
      </c>
      <c r="N402" s="652">
        <f t="shared" si="48"/>
        <v>0</v>
      </c>
      <c r="O402" s="652">
        <v>0</v>
      </c>
      <c r="P402" s="685">
        <v>0</v>
      </c>
      <c r="Q402" s="684">
        <v>0</v>
      </c>
      <c r="R402" s="652">
        <f>SUMIFS(OBE!$H:$H,OBE!$C:$C,'Standalone TB'!$B402,OBE!$B:$B,"A20")</f>
        <v>0</v>
      </c>
      <c r="S402" s="652">
        <f>SUMIFS('Elimination - PL'!I:I,'Elimination - PL'!A:A,"EA20",'Elimination - PL'!D:D,'Standalone TB'!B402)</f>
        <v>0</v>
      </c>
      <c r="T402" s="652">
        <f t="shared" si="51"/>
        <v>0</v>
      </c>
      <c r="U402" s="652">
        <f t="shared" si="49"/>
        <v>0</v>
      </c>
      <c r="V402" s="652">
        <v>0</v>
      </c>
      <c r="W402" s="685">
        <v>0</v>
      </c>
      <c r="X402" s="689">
        <f t="shared" si="52"/>
        <v>0</v>
      </c>
      <c r="Y402" s="689">
        <f t="shared" si="53"/>
        <v>0</v>
      </c>
      <c r="Z402" s="652" t="s">
        <v>818</v>
      </c>
      <c r="AA402" s="666" t="s">
        <v>152</v>
      </c>
      <c r="AB402" s="666" t="s">
        <v>2314</v>
      </c>
      <c r="AD402" s="665"/>
    </row>
    <row r="403" spans="2:30" hidden="1" x14ac:dyDescent="0.2">
      <c r="B403" s="673" t="s">
        <v>2448</v>
      </c>
      <c r="C403" s="666" t="s">
        <v>2449</v>
      </c>
      <c r="D403" s="666" t="s">
        <v>670</v>
      </c>
      <c r="E403" s="684">
        <v>21532</v>
      </c>
      <c r="F403" s="652">
        <f>SUMIFS(OBE!$H:$H,OBE!$C:$C,'Standalone TB'!$B403,OBE!$B:$B,"A21")</f>
        <v>0</v>
      </c>
      <c r="G403" s="652">
        <f>SUMIFS('Elimination - PL'!I:I,'Elimination - PL'!A:A,"EA21",'Elimination - PL'!D:D,'Standalone TB'!B403)</f>
        <v>0</v>
      </c>
      <c r="H403" s="652">
        <f t="shared" si="47"/>
        <v>21532</v>
      </c>
      <c r="I403" s="652">
        <v>79924</v>
      </c>
      <c r="J403" s="684">
        <v>0</v>
      </c>
      <c r="K403" s="652">
        <f>SUMIFS(OBE!$H:$H,OBE!$C:$C,'Standalone TB'!$B403,OBE!$B:$B,"A22")</f>
        <v>0</v>
      </c>
      <c r="L403" s="652">
        <f>SUMIFS('Elimination - PL'!I:I,'Elimination - PL'!A:A,"EA22",'Elimination - PL'!D:D,'Standalone TB'!B403)</f>
        <v>0</v>
      </c>
      <c r="M403" s="652">
        <f t="shared" si="50"/>
        <v>0</v>
      </c>
      <c r="N403" s="652">
        <f t="shared" si="48"/>
        <v>0</v>
      </c>
      <c r="O403" s="652">
        <v>0</v>
      </c>
      <c r="P403" s="685">
        <v>0</v>
      </c>
      <c r="Q403" s="684">
        <v>0</v>
      </c>
      <c r="R403" s="652">
        <f>SUMIFS(OBE!$H:$H,OBE!$C:$C,'Standalone TB'!$B403,OBE!$B:$B,"A20")</f>
        <v>0</v>
      </c>
      <c r="S403" s="652">
        <f>SUMIFS('Elimination - PL'!I:I,'Elimination - PL'!A:A,"EA20",'Elimination - PL'!D:D,'Standalone TB'!B403)</f>
        <v>0</v>
      </c>
      <c r="T403" s="652">
        <f t="shared" si="51"/>
        <v>0</v>
      </c>
      <c r="U403" s="652">
        <f t="shared" si="49"/>
        <v>0</v>
      </c>
      <c r="V403" s="652">
        <v>2141.8700000000003</v>
      </c>
      <c r="W403" s="685">
        <v>177334.41315400004</v>
      </c>
      <c r="X403" s="689">
        <f t="shared" si="52"/>
        <v>21532</v>
      </c>
      <c r="Y403" s="689">
        <f t="shared" si="53"/>
        <v>257258.41315400004</v>
      </c>
      <c r="Z403" s="652" t="s">
        <v>818</v>
      </c>
      <c r="AA403" s="666" t="s">
        <v>152</v>
      </c>
      <c r="AB403" s="666" t="s">
        <v>2314</v>
      </c>
      <c r="AD403" s="665"/>
    </row>
    <row r="404" spans="2:30" hidden="1" x14ac:dyDescent="0.2">
      <c r="B404" s="673" t="s">
        <v>2450</v>
      </c>
      <c r="C404" s="666" t="s">
        <v>2451</v>
      </c>
      <c r="D404" s="666" t="s">
        <v>670</v>
      </c>
      <c r="E404" s="684">
        <v>2808455</v>
      </c>
      <c r="F404" s="652">
        <f>SUMIFS(OBE!$H:$H,OBE!$C:$C,'Standalone TB'!$B404,OBE!$B:$B,"A21")</f>
        <v>0</v>
      </c>
      <c r="G404" s="652">
        <f>SUMIFS('Elimination - PL'!I:I,'Elimination - PL'!A:A,"EA21",'Elimination - PL'!D:D,'Standalone TB'!B404)</f>
        <v>0</v>
      </c>
      <c r="H404" s="652">
        <f t="shared" si="47"/>
        <v>2808455</v>
      </c>
      <c r="I404" s="652">
        <v>4415254.4899999993</v>
      </c>
      <c r="J404" s="684">
        <v>2846.88</v>
      </c>
      <c r="K404" s="652">
        <f>SUMIFS(OBE!$H:$H,OBE!$C:$C,'Standalone TB'!$B404,OBE!$B:$B,"A22")</f>
        <v>0</v>
      </c>
      <c r="L404" s="652">
        <f>SUMIFS('Elimination - PL'!I:I,'Elimination - PL'!A:A,"EA22",'Elimination - PL'!D:D,'Standalone TB'!B404)</f>
        <v>0</v>
      </c>
      <c r="M404" s="652">
        <f t="shared" si="50"/>
        <v>2846.88</v>
      </c>
      <c r="N404" s="652">
        <f t="shared" si="48"/>
        <v>65431.47065968463</v>
      </c>
      <c r="O404" s="652">
        <v>14652.309999999998</v>
      </c>
      <c r="P404" s="685">
        <v>330242.55416599993</v>
      </c>
      <c r="Q404" s="684">
        <v>0</v>
      </c>
      <c r="R404" s="652">
        <f>SUMIFS(OBE!$H:$H,OBE!$C:$C,'Standalone TB'!$B404,OBE!$B:$B,"A20")</f>
        <v>0</v>
      </c>
      <c r="S404" s="652">
        <f>SUMIFS('Elimination - PL'!I:I,'Elimination - PL'!A:A,"EA20",'Elimination - PL'!D:D,'Standalone TB'!B404)</f>
        <v>0</v>
      </c>
      <c r="T404" s="652">
        <f t="shared" si="51"/>
        <v>0</v>
      </c>
      <c r="U404" s="652">
        <f t="shared" si="49"/>
        <v>0</v>
      </c>
      <c r="V404" s="652">
        <v>0</v>
      </c>
      <c r="W404" s="685">
        <v>0</v>
      </c>
      <c r="X404" s="689">
        <f t="shared" si="52"/>
        <v>2873886.4706596849</v>
      </c>
      <c r="Y404" s="689">
        <f t="shared" si="53"/>
        <v>4745497.0441659996</v>
      </c>
      <c r="Z404" s="652" t="s">
        <v>818</v>
      </c>
      <c r="AA404" s="666" t="s">
        <v>152</v>
      </c>
      <c r="AB404" s="666" t="s">
        <v>2314</v>
      </c>
      <c r="AD404" s="665"/>
    </row>
    <row r="405" spans="2:30" hidden="1" x14ac:dyDescent="0.2">
      <c r="B405" s="673" t="s">
        <v>1635</v>
      </c>
      <c r="C405" s="666" t="s">
        <v>2452</v>
      </c>
      <c r="D405" s="666" t="s">
        <v>670</v>
      </c>
      <c r="E405" s="684">
        <v>1983151</v>
      </c>
      <c r="F405" s="652">
        <f>SUMIFS(OBE!$H:$H,OBE!$C:$C,'Standalone TB'!$B405,OBE!$B:$B,"A21")</f>
        <v>28629</v>
      </c>
      <c r="G405" s="652">
        <f>SUMIFS('Elimination - PL'!I:I,'Elimination - PL'!A:A,"EA21",'Elimination - PL'!D:D,'Standalone TB'!B405)</f>
        <v>0</v>
      </c>
      <c r="H405" s="652">
        <f t="shared" si="47"/>
        <v>2011780</v>
      </c>
      <c r="I405" s="652">
        <v>2080393</v>
      </c>
      <c r="J405" s="684">
        <v>107.87</v>
      </c>
      <c r="K405" s="652">
        <f>SUMIFS(OBE!$H:$H,OBE!$C:$C,'Standalone TB'!$B405,OBE!$B:$B,"A22")</f>
        <v>0</v>
      </c>
      <c r="L405" s="652">
        <f>SUMIFS('Elimination - PL'!I:I,'Elimination - PL'!A:A,"EA22",'Elimination - PL'!D:D,'Standalone TB'!B405)</f>
        <v>0</v>
      </c>
      <c r="M405" s="652">
        <f t="shared" si="50"/>
        <v>107.87</v>
      </c>
      <c r="N405" s="652">
        <f t="shared" si="48"/>
        <v>2479.2378814913804</v>
      </c>
      <c r="O405" s="652">
        <v>0</v>
      </c>
      <c r="P405" s="685">
        <v>0</v>
      </c>
      <c r="Q405" s="684">
        <v>0</v>
      </c>
      <c r="R405" s="652">
        <f>SUMIFS(OBE!$H:$H,OBE!$C:$C,'Standalone TB'!$B405,OBE!$B:$B,"A20")</f>
        <v>0</v>
      </c>
      <c r="S405" s="652">
        <f>SUMIFS('Elimination - PL'!I:I,'Elimination - PL'!A:A,"EA20",'Elimination - PL'!D:D,'Standalone TB'!B405)</f>
        <v>0</v>
      </c>
      <c r="T405" s="652">
        <f t="shared" si="51"/>
        <v>0</v>
      </c>
      <c r="U405" s="652">
        <f t="shared" si="49"/>
        <v>0</v>
      </c>
      <c r="V405" s="652">
        <v>0</v>
      </c>
      <c r="W405" s="685">
        <v>0</v>
      </c>
      <c r="X405" s="689">
        <f t="shared" si="52"/>
        <v>2014259.2378814914</v>
      </c>
      <c r="Y405" s="689">
        <f t="shared" si="53"/>
        <v>2080393</v>
      </c>
      <c r="Z405" s="652" t="s">
        <v>818</v>
      </c>
      <c r="AA405" s="666" t="s">
        <v>152</v>
      </c>
      <c r="AB405" s="666" t="s">
        <v>2314</v>
      </c>
      <c r="AD405" s="665"/>
    </row>
    <row r="406" spans="2:30" hidden="1" x14ac:dyDescent="0.2">
      <c r="B406" s="673" t="s">
        <v>1672</v>
      </c>
      <c r="C406" s="666" t="s">
        <v>2453</v>
      </c>
      <c r="D406" s="666" t="s">
        <v>670</v>
      </c>
      <c r="E406" s="684">
        <v>1617575.15</v>
      </c>
      <c r="F406" s="652">
        <f>SUMIFS(OBE!$H:$H,OBE!$C:$C,'Standalone TB'!$B406,OBE!$B:$B,"A21")</f>
        <v>0</v>
      </c>
      <c r="G406" s="652">
        <f>SUMIFS('Elimination - PL'!I:I,'Elimination - PL'!A:A,"EA21",'Elimination - PL'!D:D,'Standalone TB'!B406)</f>
        <v>0</v>
      </c>
      <c r="H406" s="652">
        <f t="shared" si="47"/>
        <v>1617575.15</v>
      </c>
      <c r="I406" s="652">
        <v>366525.07</v>
      </c>
      <c r="J406" s="684">
        <v>0</v>
      </c>
      <c r="K406" s="652">
        <f>SUMIFS(OBE!$H:$H,OBE!$C:$C,'Standalone TB'!$B406,OBE!$B:$B,"A22")</f>
        <v>0</v>
      </c>
      <c r="L406" s="652">
        <f>SUMIFS('Elimination - PL'!I:I,'Elimination - PL'!A:A,"EA22",'Elimination - PL'!D:D,'Standalone TB'!B406)</f>
        <v>0</v>
      </c>
      <c r="M406" s="652">
        <f t="shared" si="50"/>
        <v>0</v>
      </c>
      <c r="N406" s="652">
        <f t="shared" si="48"/>
        <v>0</v>
      </c>
      <c r="O406" s="652">
        <v>27</v>
      </c>
      <c r="P406" s="685">
        <v>608.54219999999998</v>
      </c>
      <c r="Q406" s="684">
        <v>16239.720000000001</v>
      </c>
      <c r="R406" s="652">
        <f>SUMIFS(OBE!$H:$H,OBE!$C:$C,'Standalone TB'!$B406,OBE!$B:$B,"A20")</f>
        <v>-10411.450000000001</v>
      </c>
      <c r="S406" s="652">
        <f>SUMIFS('Elimination - PL'!I:I,'Elimination - PL'!A:A,"EA20",'Elimination - PL'!D:D,'Standalone TB'!B406)</f>
        <v>0</v>
      </c>
      <c r="T406" s="652">
        <f t="shared" si="51"/>
        <v>5828.27</v>
      </c>
      <c r="U406" s="652">
        <f t="shared" si="49"/>
        <v>492032.80368560704</v>
      </c>
      <c r="V406" s="652">
        <v>16218.13</v>
      </c>
      <c r="W406" s="685">
        <v>1342767.0988459999</v>
      </c>
      <c r="X406" s="689">
        <f t="shared" si="52"/>
        <v>2109607.9536856068</v>
      </c>
      <c r="Y406" s="689">
        <f t="shared" si="53"/>
        <v>1709900.711046</v>
      </c>
      <c r="Z406" s="652" t="s">
        <v>818</v>
      </c>
      <c r="AA406" s="666" t="s">
        <v>152</v>
      </c>
      <c r="AB406" s="666" t="s">
        <v>2314</v>
      </c>
      <c r="AD406" s="665"/>
    </row>
    <row r="407" spans="2:30" hidden="1" x14ac:dyDescent="0.2">
      <c r="B407" s="673" t="s">
        <v>2454</v>
      </c>
      <c r="C407" s="666" t="s">
        <v>2455</v>
      </c>
      <c r="D407" s="666" t="s">
        <v>670</v>
      </c>
      <c r="E407" s="684">
        <v>1057780.99</v>
      </c>
      <c r="F407" s="652">
        <f>SUMIFS(OBE!$H:$H,OBE!$C:$C,'Standalone TB'!$B407,OBE!$B:$B,"A21")</f>
        <v>0</v>
      </c>
      <c r="G407" s="652">
        <f>SUMIFS('Elimination - PL'!I:I,'Elimination - PL'!A:A,"EA21",'Elimination - PL'!D:D,'Standalone TB'!B407)</f>
        <v>0</v>
      </c>
      <c r="H407" s="652">
        <f t="shared" si="47"/>
        <v>1057780.99</v>
      </c>
      <c r="I407" s="652">
        <v>1009156.26</v>
      </c>
      <c r="J407" s="684">
        <v>4964</v>
      </c>
      <c r="K407" s="652">
        <f>SUMIFS(OBE!$H:$H,OBE!$C:$C,'Standalone TB'!$B407,OBE!$B:$B,"A22")</f>
        <v>0</v>
      </c>
      <c r="L407" s="652">
        <f>SUMIFS('Elimination - PL'!I:I,'Elimination - PL'!A:A,"EA22",'Elimination - PL'!D:D,'Standalone TB'!B407)</f>
        <v>0</v>
      </c>
      <c r="M407" s="652">
        <f t="shared" si="50"/>
        <v>4964</v>
      </c>
      <c r="N407" s="652">
        <f t="shared" si="48"/>
        <v>114090.45002061011</v>
      </c>
      <c r="O407" s="652">
        <v>0</v>
      </c>
      <c r="P407" s="685">
        <v>0</v>
      </c>
      <c r="Q407" s="684">
        <v>0</v>
      </c>
      <c r="R407" s="652">
        <f>SUMIFS(OBE!$H:$H,OBE!$C:$C,'Standalone TB'!$B407,OBE!$B:$B,"A20")</f>
        <v>0</v>
      </c>
      <c r="S407" s="652">
        <f>SUMIFS('Elimination - PL'!I:I,'Elimination - PL'!A:A,"EA20",'Elimination - PL'!D:D,'Standalone TB'!B407)</f>
        <v>0</v>
      </c>
      <c r="T407" s="652">
        <f t="shared" si="51"/>
        <v>0</v>
      </c>
      <c r="U407" s="652">
        <f t="shared" si="49"/>
        <v>0</v>
      </c>
      <c r="V407" s="652">
        <v>0</v>
      </c>
      <c r="W407" s="685">
        <v>0</v>
      </c>
      <c r="X407" s="689">
        <f t="shared" si="52"/>
        <v>1171871.4400206101</v>
      </c>
      <c r="Y407" s="689">
        <f t="shared" si="53"/>
        <v>1009156.26</v>
      </c>
      <c r="Z407" s="652" t="s">
        <v>818</v>
      </c>
      <c r="AA407" s="666" t="s">
        <v>152</v>
      </c>
      <c r="AB407" s="666" t="s">
        <v>2314</v>
      </c>
      <c r="AC407" s="652">
        <f>SUM(W401:W407)</f>
        <v>1520101.5119999999</v>
      </c>
      <c r="AD407" s="665"/>
    </row>
    <row r="408" spans="2:30" hidden="1" x14ac:dyDescent="0.2">
      <c r="B408" s="673" t="s">
        <v>2456</v>
      </c>
      <c r="C408" s="666" t="s">
        <v>2457</v>
      </c>
      <c r="D408" s="666" t="s">
        <v>670</v>
      </c>
      <c r="E408" s="684">
        <v>0</v>
      </c>
      <c r="F408" s="652">
        <f>SUMIFS(OBE!$H:$H,OBE!$C:$C,'Standalone TB'!$B408,OBE!$B:$B,"A21")</f>
        <v>0</v>
      </c>
      <c r="G408" s="652">
        <f>SUMIFS('Elimination - PL'!I:I,'Elimination - PL'!A:A,"EA21",'Elimination - PL'!D:D,'Standalone TB'!B408)</f>
        <v>0</v>
      </c>
      <c r="H408" s="652">
        <f t="shared" si="47"/>
        <v>0</v>
      </c>
      <c r="I408" s="652">
        <v>0</v>
      </c>
      <c r="J408" s="684">
        <v>0</v>
      </c>
      <c r="K408" s="652">
        <f>SUMIFS(OBE!$H:$H,OBE!$C:$C,'Standalone TB'!$B408,OBE!$B:$B,"A22")</f>
        <v>0</v>
      </c>
      <c r="L408" s="652">
        <f>SUMIFS('Elimination - PL'!I:I,'Elimination - PL'!A:A,"EA22",'Elimination - PL'!D:D,'Standalone TB'!B408)</f>
        <v>0</v>
      </c>
      <c r="M408" s="652">
        <f t="shared" si="50"/>
        <v>0</v>
      </c>
      <c r="N408" s="652">
        <f t="shared" si="48"/>
        <v>0</v>
      </c>
      <c r="O408" s="652">
        <v>0</v>
      </c>
      <c r="P408" s="685">
        <v>0</v>
      </c>
      <c r="Q408" s="684">
        <v>0</v>
      </c>
      <c r="R408" s="652">
        <f>SUMIFS(OBE!$H:$H,OBE!$C:$C,'Standalone TB'!$B408,OBE!$B:$B,"A20")</f>
        <v>0</v>
      </c>
      <c r="S408" s="652">
        <f>SUMIFS('Elimination - PL'!I:I,'Elimination - PL'!A:A,"EA20",'Elimination - PL'!D:D,'Standalone TB'!B408)</f>
        <v>0</v>
      </c>
      <c r="T408" s="652">
        <f t="shared" si="51"/>
        <v>0</v>
      </c>
      <c r="U408" s="652">
        <f t="shared" si="49"/>
        <v>0</v>
      </c>
      <c r="V408" s="652">
        <v>0</v>
      </c>
      <c r="W408" s="685">
        <v>0</v>
      </c>
      <c r="X408" s="689">
        <f t="shared" si="52"/>
        <v>0</v>
      </c>
      <c r="Y408" s="689">
        <f t="shared" si="53"/>
        <v>0</v>
      </c>
      <c r="Z408" s="652"/>
      <c r="AA408" s="666" t="s">
        <v>152</v>
      </c>
      <c r="AB408" s="666" t="s">
        <v>2314</v>
      </c>
      <c r="AD408" s="665"/>
    </row>
    <row r="409" spans="2:30" hidden="1" x14ac:dyDescent="0.2">
      <c r="B409" s="673" t="s">
        <v>2458</v>
      </c>
      <c r="C409" s="666" t="s">
        <v>2459</v>
      </c>
      <c r="D409" s="666" t="s">
        <v>670</v>
      </c>
      <c r="E409" s="684">
        <v>70326</v>
      </c>
      <c r="F409" s="652">
        <f>SUMIFS(OBE!$H:$H,OBE!$C:$C,'Standalone TB'!$B409,OBE!$B:$B,"A21")</f>
        <v>0</v>
      </c>
      <c r="G409" s="652">
        <f>SUMIFS('Elimination - PL'!I:I,'Elimination - PL'!A:A,"EA21",'Elimination - PL'!D:D,'Standalone TB'!B409)</f>
        <v>0</v>
      </c>
      <c r="H409" s="652">
        <f t="shared" si="47"/>
        <v>70326</v>
      </c>
      <c r="I409" s="652">
        <v>164554</v>
      </c>
      <c r="J409" s="684">
        <v>0</v>
      </c>
      <c r="K409" s="652">
        <f>SUMIFS(OBE!$H:$H,OBE!$C:$C,'Standalone TB'!$B409,OBE!$B:$B,"A22")</f>
        <v>0</v>
      </c>
      <c r="L409" s="652">
        <f>SUMIFS('Elimination - PL'!I:I,'Elimination - PL'!A:A,"EA22",'Elimination - PL'!D:D,'Standalone TB'!B409)</f>
        <v>0</v>
      </c>
      <c r="M409" s="652">
        <f t="shared" si="50"/>
        <v>0</v>
      </c>
      <c r="N409" s="652">
        <f t="shared" si="48"/>
        <v>0</v>
      </c>
      <c r="O409" s="652">
        <v>0</v>
      </c>
      <c r="P409" s="685">
        <v>0</v>
      </c>
      <c r="Q409" s="684">
        <v>0</v>
      </c>
      <c r="R409" s="652">
        <f>SUMIFS(OBE!$H:$H,OBE!$C:$C,'Standalone TB'!$B409,OBE!$B:$B,"A20")</f>
        <v>0</v>
      </c>
      <c r="S409" s="652">
        <f>SUMIFS('Elimination - PL'!I:I,'Elimination - PL'!A:A,"EA20",'Elimination - PL'!D:D,'Standalone TB'!B409)</f>
        <v>0</v>
      </c>
      <c r="T409" s="652">
        <f t="shared" si="51"/>
        <v>0</v>
      </c>
      <c r="U409" s="652">
        <f t="shared" si="49"/>
        <v>0</v>
      </c>
      <c r="V409" s="652">
        <v>3736.43</v>
      </c>
      <c r="W409" s="685">
        <v>309354.73270599998</v>
      </c>
      <c r="X409" s="689">
        <f t="shared" si="52"/>
        <v>70326</v>
      </c>
      <c r="Y409" s="689">
        <f t="shared" si="53"/>
        <v>473908.73270599998</v>
      </c>
      <c r="Z409" s="652" t="s">
        <v>825</v>
      </c>
      <c r="AA409" s="666" t="s">
        <v>152</v>
      </c>
      <c r="AB409" s="666" t="s">
        <v>2314</v>
      </c>
      <c r="AD409" s="665"/>
    </row>
    <row r="410" spans="2:30" hidden="1" x14ac:dyDescent="0.2">
      <c r="B410" s="673" t="s">
        <v>2460</v>
      </c>
      <c r="C410" s="666" t="s">
        <v>2461</v>
      </c>
      <c r="D410" s="666" t="s">
        <v>670</v>
      </c>
      <c r="E410" s="684">
        <v>0</v>
      </c>
      <c r="F410" s="652">
        <f>SUMIFS(OBE!$H:$H,OBE!$C:$C,'Standalone TB'!$B410,OBE!$B:$B,"A21")</f>
        <v>0</v>
      </c>
      <c r="G410" s="652">
        <f>SUMIFS('Elimination - PL'!I:I,'Elimination - PL'!A:A,"EA21",'Elimination - PL'!D:D,'Standalone TB'!B410)</f>
        <v>0</v>
      </c>
      <c r="H410" s="652">
        <f t="shared" si="47"/>
        <v>0</v>
      </c>
      <c r="I410" s="652">
        <v>0</v>
      </c>
      <c r="J410" s="684">
        <v>0</v>
      </c>
      <c r="K410" s="652">
        <f>SUMIFS(OBE!$H:$H,OBE!$C:$C,'Standalone TB'!$B410,OBE!$B:$B,"A22")</f>
        <v>0</v>
      </c>
      <c r="L410" s="652">
        <f>SUMIFS('Elimination - PL'!I:I,'Elimination - PL'!A:A,"EA22",'Elimination - PL'!D:D,'Standalone TB'!B410)</f>
        <v>0</v>
      </c>
      <c r="M410" s="652">
        <f t="shared" si="50"/>
        <v>0</v>
      </c>
      <c r="N410" s="652">
        <f t="shared" si="48"/>
        <v>0</v>
      </c>
      <c r="O410" s="652">
        <v>0</v>
      </c>
      <c r="P410" s="685">
        <v>0</v>
      </c>
      <c r="Q410" s="684">
        <v>0</v>
      </c>
      <c r="R410" s="652">
        <f>SUMIFS(OBE!$H:$H,OBE!$C:$C,'Standalone TB'!$B410,OBE!$B:$B,"A20")</f>
        <v>0</v>
      </c>
      <c r="S410" s="652">
        <f>SUMIFS('Elimination - PL'!I:I,'Elimination - PL'!A:A,"EA20",'Elimination - PL'!D:D,'Standalone TB'!B410)</f>
        <v>0</v>
      </c>
      <c r="T410" s="652">
        <f t="shared" si="51"/>
        <v>0</v>
      </c>
      <c r="U410" s="652">
        <f t="shared" si="49"/>
        <v>0</v>
      </c>
      <c r="V410" s="652">
        <v>0</v>
      </c>
      <c r="W410" s="685">
        <v>0</v>
      </c>
      <c r="X410" s="689">
        <f t="shared" si="52"/>
        <v>0</v>
      </c>
      <c r="Y410" s="689">
        <f t="shared" si="53"/>
        <v>0</v>
      </c>
      <c r="Z410" s="652" t="s">
        <v>825</v>
      </c>
      <c r="AA410" s="666" t="s">
        <v>152</v>
      </c>
      <c r="AB410" s="666" t="s">
        <v>2314</v>
      </c>
      <c r="AD410" s="665"/>
    </row>
    <row r="411" spans="2:30" hidden="1" x14ac:dyDescent="0.2">
      <c r="B411" s="673" t="s">
        <v>1591</v>
      </c>
      <c r="C411" s="666" t="s">
        <v>2462</v>
      </c>
      <c r="D411" s="666" t="s">
        <v>670</v>
      </c>
      <c r="E411" s="684">
        <v>0</v>
      </c>
      <c r="F411" s="652">
        <f>SUMIFS(OBE!$H:$H,OBE!$C:$C,'Standalone TB'!$B411,OBE!$B:$B,"A21")</f>
        <v>645219.38000000012</v>
      </c>
      <c r="G411" s="652">
        <f>SUMIFS('Elimination - PL'!I:I,'Elimination - PL'!A:A,"EA21",'Elimination - PL'!D:D,'Standalone TB'!B411)</f>
        <v>0</v>
      </c>
      <c r="H411" s="652">
        <f t="shared" si="47"/>
        <v>645219.38000000012</v>
      </c>
      <c r="I411" s="652">
        <v>0</v>
      </c>
      <c r="J411" s="684">
        <v>0</v>
      </c>
      <c r="K411" s="652">
        <f>SUMIFS(OBE!$H:$H,OBE!$C:$C,'Standalone TB'!$B411,OBE!$B:$B,"A22")</f>
        <v>0</v>
      </c>
      <c r="L411" s="652">
        <f>SUMIFS('Elimination - PL'!I:I,'Elimination - PL'!A:A,"EA22",'Elimination - PL'!D:D,'Standalone TB'!B411)</f>
        <v>0</v>
      </c>
      <c r="M411" s="652">
        <f t="shared" si="50"/>
        <v>0</v>
      </c>
      <c r="N411" s="652">
        <f t="shared" si="48"/>
        <v>0</v>
      </c>
      <c r="O411" s="652">
        <v>0</v>
      </c>
      <c r="P411" s="685">
        <v>0</v>
      </c>
      <c r="Q411" s="684">
        <v>0</v>
      </c>
      <c r="R411" s="652">
        <f>SUMIFS(OBE!$H:$H,OBE!$C:$C,'Standalone TB'!$B411,OBE!$B:$B,"A20")</f>
        <v>0</v>
      </c>
      <c r="S411" s="652">
        <f>SUMIFS('Elimination - PL'!I:I,'Elimination - PL'!A:A,"EA20",'Elimination - PL'!D:D,'Standalone TB'!B411)</f>
        <v>0</v>
      </c>
      <c r="T411" s="652">
        <f t="shared" si="51"/>
        <v>0</v>
      </c>
      <c r="U411" s="652">
        <f t="shared" si="49"/>
        <v>0</v>
      </c>
      <c r="V411" s="652">
        <v>0</v>
      </c>
      <c r="W411" s="685">
        <v>0</v>
      </c>
      <c r="X411" s="689">
        <f t="shared" si="52"/>
        <v>645219.38000000012</v>
      </c>
      <c r="Y411" s="689">
        <f t="shared" si="53"/>
        <v>0</v>
      </c>
      <c r="Z411" s="652" t="s">
        <v>825</v>
      </c>
      <c r="AA411" s="666" t="s">
        <v>152</v>
      </c>
      <c r="AB411" s="666" t="s">
        <v>2314</v>
      </c>
      <c r="AD411" s="665"/>
    </row>
    <row r="412" spans="2:30" hidden="1" x14ac:dyDescent="0.2">
      <c r="B412" s="673" t="s">
        <v>2463</v>
      </c>
      <c r="C412" s="666" t="s">
        <v>2464</v>
      </c>
      <c r="D412" s="666" t="s">
        <v>670</v>
      </c>
      <c r="E412" s="684">
        <v>123830.47</v>
      </c>
      <c r="F412" s="652">
        <f>SUMIFS(OBE!$H:$H,OBE!$C:$C,'Standalone TB'!$B412,OBE!$B:$B,"A21")</f>
        <v>0</v>
      </c>
      <c r="G412" s="652">
        <f>SUMIFS('Elimination - PL'!I:I,'Elimination - PL'!A:A,"EA21",'Elimination - PL'!D:D,'Standalone TB'!B412)</f>
        <v>0</v>
      </c>
      <c r="H412" s="652">
        <f t="shared" si="47"/>
        <v>123830.47</v>
      </c>
      <c r="J412" s="684">
        <v>0</v>
      </c>
      <c r="K412" s="652">
        <f>SUMIFS(OBE!$H:$H,OBE!$C:$C,'Standalone TB'!$B412,OBE!$B:$B,"A22")</f>
        <v>0</v>
      </c>
      <c r="L412" s="652">
        <f>SUMIFS('Elimination - PL'!I:I,'Elimination - PL'!A:A,"EA22",'Elimination - PL'!D:D,'Standalone TB'!B412)</f>
        <v>0</v>
      </c>
      <c r="M412" s="652">
        <f t="shared" si="50"/>
        <v>0</v>
      </c>
      <c r="N412" s="652">
        <f t="shared" si="48"/>
        <v>0</v>
      </c>
      <c r="P412" s="685"/>
      <c r="Q412" s="684">
        <v>0</v>
      </c>
      <c r="R412" s="652">
        <f>SUMIFS(OBE!$H:$H,OBE!$C:$C,'Standalone TB'!$B412,OBE!$B:$B,"A20")</f>
        <v>0</v>
      </c>
      <c r="S412" s="652">
        <f>SUMIFS('Elimination - PL'!I:I,'Elimination - PL'!A:A,"EA20",'Elimination - PL'!D:D,'Standalone TB'!B412)</f>
        <v>0</v>
      </c>
      <c r="T412" s="652">
        <f t="shared" si="51"/>
        <v>0</v>
      </c>
      <c r="U412" s="652">
        <f t="shared" si="49"/>
        <v>0</v>
      </c>
      <c r="W412" s="685"/>
      <c r="X412" s="689">
        <f t="shared" si="52"/>
        <v>123830.47</v>
      </c>
      <c r="Y412" s="689">
        <f t="shared" si="53"/>
        <v>0</v>
      </c>
      <c r="Z412" s="652" t="s">
        <v>834</v>
      </c>
      <c r="AA412" s="666" t="s">
        <v>152</v>
      </c>
      <c r="AB412" s="666" t="s">
        <v>2314</v>
      </c>
      <c r="AD412" s="665"/>
    </row>
    <row r="413" spans="2:30" hidden="1" x14ac:dyDescent="0.2">
      <c r="B413" s="673" t="s">
        <v>2465</v>
      </c>
      <c r="C413" s="666" t="s">
        <v>2466</v>
      </c>
      <c r="D413" s="666" t="s">
        <v>670</v>
      </c>
      <c r="E413" s="684">
        <v>366263.47</v>
      </c>
      <c r="F413" s="652">
        <f>SUMIFS(OBE!$H:$H,OBE!$C:$C,'Standalone TB'!$B413,OBE!$B:$B,"A21")</f>
        <v>0</v>
      </c>
      <c r="G413" s="652">
        <f>SUMIFS('Elimination - PL'!I:I,'Elimination - PL'!A:A,"EA21",'Elimination - PL'!D:D,'Standalone TB'!B413)</f>
        <v>0</v>
      </c>
      <c r="H413" s="652">
        <f t="shared" si="47"/>
        <v>366263.47</v>
      </c>
      <c r="I413" s="652">
        <v>857889.53</v>
      </c>
      <c r="J413" s="684">
        <v>0</v>
      </c>
      <c r="K413" s="652">
        <f>SUMIFS(OBE!$H:$H,OBE!$C:$C,'Standalone TB'!$B413,OBE!$B:$B,"A22")</f>
        <v>0</v>
      </c>
      <c r="L413" s="652">
        <f>SUMIFS('Elimination - PL'!I:I,'Elimination - PL'!A:A,"EA22",'Elimination - PL'!D:D,'Standalone TB'!B413)</f>
        <v>0</v>
      </c>
      <c r="M413" s="652">
        <f t="shared" si="50"/>
        <v>0</v>
      </c>
      <c r="N413" s="652">
        <f t="shared" si="48"/>
        <v>0</v>
      </c>
      <c r="O413" s="652">
        <v>0</v>
      </c>
      <c r="P413" s="685">
        <v>0</v>
      </c>
      <c r="Q413" s="684">
        <v>0</v>
      </c>
      <c r="R413" s="652">
        <f>SUMIFS(OBE!$H:$H,OBE!$C:$C,'Standalone TB'!$B413,OBE!$B:$B,"A20")</f>
        <v>0</v>
      </c>
      <c r="S413" s="652">
        <f>SUMIFS('Elimination - PL'!I:I,'Elimination - PL'!A:A,"EA20",'Elimination - PL'!D:D,'Standalone TB'!B413)</f>
        <v>0</v>
      </c>
      <c r="T413" s="652">
        <f t="shared" si="51"/>
        <v>0</v>
      </c>
      <c r="U413" s="652">
        <f t="shared" si="49"/>
        <v>0</v>
      </c>
      <c r="V413" s="652">
        <v>0</v>
      </c>
      <c r="W413" s="685">
        <v>0</v>
      </c>
      <c r="X413" s="689">
        <f t="shared" si="52"/>
        <v>366263.47</v>
      </c>
      <c r="Y413" s="689">
        <f t="shared" si="53"/>
        <v>857889.53</v>
      </c>
      <c r="Z413" s="652" t="s">
        <v>825</v>
      </c>
      <c r="AA413" s="666" t="s">
        <v>152</v>
      </c>
      <c r="AB413" s="666" t="s">
        <v>2314</v>
      </c>
      <c r="AD413" s="665"/>
    </row>
    <row r="414" spans="2:30" hidden="1" x14ac:dyDescent="0.2">
      <c r="B414" s="673" t="s">
        <v>1617</v>
      </c>
      <c r="C414" s="666" t="s">
        <v>2467</v>
      </c>
      <c r="D414" s="666" t="s">
        <v>670</v>
      </c>
      <c r="E414" s="684">
        <v>0</v>
      </c>
      <c r="F414" s="652">
        <f>SUMIFS(OBE!$H:$H,OBE!$C:$C,'Standalone TB'!$B414,OBE!$B:$B,"A21")</f>
        <v>6782824</v>
      </c>
      <c r="G414" s="652">
        <f>SUMIFS('Elimination - PL'!I:I,'Elimination - PL'!A:A,"EA21",'Elimination - PL'!D:D,'Standalone TB'!B414)</f>
        <v>0</v>
      </c>
      <c r="H414" s="652">
        <f t="shared" si="47"/>
        <v>6782824</v>
      </c>
      <c r="I414" s="652">
        <v>0</v>
      </c>
      <c r="J414" s="684">
        <v>0</v>
      </c>
      <c r="K414" s="652">
        <f>SUMIFS(OBE!$H:$H,OBE!$C:$C,'Standalone TB'!$B414,OBE!$B:$B,"A22")</f>
        <v>0</v>
      </c>
      <c r="L414" s="652">
        <f>SUMIFS('Elimination - PL'!I:I,'Elimination - PL'!A:A,"EA22",'Elimination - PL'!D:D,'Standalone TB'!B414)</f>
        <v>0</v>
      </c>
      <c r="M414" s="652">
        <f t="shared" si="50"/>
        <v>0</v>
      </c>
      <c r="N414" s="652">
        <f t="shared" si="48"/>
        <v>0</v>
      </c>
      <c r="O414" s="652">
        <v>0</v>
      </c>
      <c r="P414" s="685">
        <v>0</v>
      </c>
      <c r="Q414" s="684">
        <v>0</v>
      </c>
      <c r="R414" s="652">
        <f>SUMIFS(OBE!$H:$H,OBE!$C:$C,'Standalone TB'!$B414,OBE!$B:$B,"A20")</f>
        <v>0</v>
      </c>
      <c r="S414" s="652">
        <f>SUMIFS('Elimination - PL'!I:I,'Elimination - PL'!A:A,"EA20",'Elimination - PL'!D:D,'Standalone TB'!B414)</f>
        <v>0</v>
      </c>
      <c r="T414" s="652">
        <f t="shared" si="51"/>
        <v>0</v>
      </c>
      <c r="U414" s="652">
        <f t="shared" si="49"/>
        <v>0</v>
      </c>
      <c r="V414" s="652">
        <v>0</v>
      </c>
      <c r="W414" s="685">
        <v>0</v>
      </c>
      <c r="X414" s="689">
        <f t="shared" si="52"/>
        <v>6782824</v>
      </c>
      <c r="Y414" s="689">
        <f t="shared" si="53"/>
        <v>0</v>
      </c>
      <c r="Z414" s="652" t="s">
        <v>825</v>
      </c>
      <c r="AA414" s="666" t="s">
        <v>152</v>
      </c>
      <c r="AB414" s="666" t="s">
        <v>2314</v>
      </c>
      <c r="AD414" s="665"/>
    </row>
    <row r="415" spans="2:30" hidden="1" x14ac:dyDescent="0.2">
      <c r="B415" s="673" t="s">
        <v>2468</v>
      </c>
      <c r="C415" s="666" t="s">
        <v>2469</v>
      </c>
      <c r="D415" s="666" t="s">
        <v>670</v>
      </c>
      <c r="E415" s="684">
        <v>0</v>
      </c>
      <c r="F415" s="652">
        <f>SUMIFS(OBE!$H:$H,OBE!$C:$C,'Standalone TB'!$B415,OBE!$B:$B,"A21")</f>
        <v>0</v>
      </c>
      <c r="G415" s="652">
        <f>SUMIFS('Elimination - PL'!I:I,'Elimination - PL'!A:A,"EA21",'Elimination - PL'!D:D,'Standalone TB'!B415)</f>
        <v>0</v>
      </c>
      <c r="H415" s="652">
        <f t="shared" si="47"/>
        <v>0</v>
      </c>
      <c r="I415" s="652">
        <v>0</v>
      </c>
      <c r="J415" s="684">
        <v>0</v>
      </c>
      <c r="K415" s="652">
        <f>SUMIFS(OBE!$H:$H,OBE!$C:$C,'Standalone TB'!$B415,OBE!$B:$B,"A22")</f>
        <v>0</v>
      </c>
      <c r="L415" s="652">
        <f>SUMIFS('Elimination - PL'!I:I,'Elimination - PL'!A:A,"EA22",'Elimination - PL'!D:D,'Standalone TB'!B415)</f>
        <v>0</v>
      </c>
      <c r="M415" s="652">
        <f t="shared" si="50"/>
        <v>0</v>
      </c>
      <c r="N415" s="652">
        <f t="shared" si="48"/>
        <v>0</v>
      </c>
      <c r="O415" s="652">
        <v>0</v>
      </c>
      <c r="P415" s="685">
        <v>0</v>
      </c>
      <c r="Q415" s="684">
        <v>0</v>
      </c>
      <c r="R415" s="652">
        <f>SUMIFS(OBE!$H:$H,OBE!$C:$C,'Standalone TB'!$B415,OBE!$B:$B,"A20")</f>
        <v>0</v>
      </c>
      <c r="S415" s="652">
        <f>SUMIFS('Elimination - PL'!I:I,'Elimination - PL'!A:A,"EA20",'Elimination - PL'!D:D,'Standalone TB'!B415)</f>
        <v>0</v>
      </c>
      <c r="T415" s="652">
        <f t="shared" si="51"/>
        <v>0</v>
      </c>
      <c r="U415" s="652">
        <f t="shared" si="49"/>
        <v>0</v>
      </c>
      <c r="V415" s="652">
        <v>0</v>
      </c>
      <c r="W415" s="685">
        <v>0</v>
      </c>
      <c r="X415" s="689">
        <f t="shared" si="52"/>
        <v>0</v>
      </c>
      <c r="Y415" s="689">
        <f t="shared" si="53"/>
        <v>0</v>
      </c>
      <c r="Z415" s="652" t="s">
        <v>825</v>
      </c>
      <c r="AA415" s="666" t="s">
        <v>152</v>
      </c>
      <c r="AB415" s="666" t="s">
        <v>2314</v>
      </c>
      <c r="AD415" s="665"/>
    </row>
    <row r="416" spans="2:30" ht="12.5" hidden="1" x14ac:dyDescent="0.25">
      <c r="B416" s="673" t="s">
        <v>1669</v>
      </c>
      <c r="C416" s="675" t="s">
        <v>2470</v>
      </c>
      <c r="D416" s="666" t="s">
        <v>670</v>
      </c>
      <c r="E416" s="684">
        <v>2090600.12</v>
      </c>
      <c r="F416" s="652">
        <f>SUMIFS(OBE!$H:$H,OBE!$C:$C,'Standalone TB'!$B416,OBE!$B:$B,"A21")</f>
        <v>0</v>
      </c>
      <c r="G416" s="652">
        <f>SUMIFS('Elimination - PL'!I:I,'Elimination - PL'!A:A,"EA21",'Elimination - PL'!D:D,'Standalone TB'!B416)</f>
        <v>0</v>
      </c>
      <c r="H416" s="652">
        <f t="shared" si="47"/>
        <v>2090600.12</v>
      </c>
      <c r="I416" s="652">
        <v>1791579.05</v>
      </c>
      <c r="J416" s="684">
        <v>0</v>
      </c>
      <c r="K416" s="652">
        <f>SUMIFS(OBE!$H:$H,OBE!$C:$C,'Standalone TB'!$B416,OBE!$B:$B,"A22")</f>
        <v>0</v>
      </c>
      <c r="L416" s="652">
        <f>SUMIFS('Elimination - PL'!I:I,'Elimination - PL'!A:A,"EA22",'Elimination - PL'!D:D,'Standalone TB'!B416)</f>
        <v>0</v>
      </c>
      <c r="M416" s="652">
        <f t="shared" si="50"/>
        <v>0</v>
      </c>
      <c r="N416" s="652">
        <f t="shared" si="48"/>
        <v>0</v>
      </c>
      <c r="O416" s="652">
        <v>0</v>
      </c>
      <c r="P416" s="685">
        <v>0</v>
      </c>
      <c r="Q416" s="684">
        <v>7285</v>
      </c>
      <c r="R416" s="652">
        <f>SUMIFS(OBE!$H:$H,OBE!$C:$C,'Standalone TB'!$B416,OBE!$B:$B,"A20")</f>
        <v>-4887.42</v>
      </c>
      <c r="S416" s="652">
        <f>SUMIFS('Elimination - PL'!I:I,'Elimination - PL'!A:A,"EA20",'Elimination - PL'!D:D,'Standalone TB'!B416)</f>
        <v>0</v>
      </c>
      <c r="T416" s="652">
        <f t="shared" si="51"/>
        <v>2397.58</v>
      </c>
      <c r="U416" s="652">
        <f t="shared" si="49"/>
        <v>202407.92026802766</v>
      </c>
      <c r="V416" s="652">
        <v>8215</v>
      </c>
      <c r="W416" s="685">
        <v>680154.353</v>
      </c>
      <c r="X416" s="689">
        <f t="shared" si="52"/>
        <v>2293008.0402680277</v>
      </c>
      <c r="Y416" s="689">
        <f t="shared" si="53"/>
        <v>2471733.4029999999</v>
      </c>
      <c r="Z416" s="652" t="s">
        <v>825</v>
      </c>
      <c r="AA416" s="666" t="s">
        <v>152</v>
      </c>
      <c r="AB416" s="666" t="s">
        <v>2314</v>
      </c>
      <c r="AD416" s="665"/>
    </row>
    <row r="417" spans="2:30" hidden="1" x14ac:dyDescent="0.2">
      <c r="B417" s="673" t="s">
        <v>2471</v>
      </c>
      <c r="C417" s="666" t="s">
        <v>2472</v>
      </c>
      <c r="D417" s="666" t="s">
        <v>670</v>
      </c>
      <c r="E417" s="684">
        <v>0</v>
      </c>
      <c r="F417" s="652">
        <f>SUMIFS(OBE!$H:$H,OBE!$C:$C,'Standalone TB'!$B417,OBE!$B:$B,"A21")</f>
        <v>0</v>
      </c>
      <c r="G417" s="652">
        <f>SUMIFS('Elimination - PL'!I:I,'Elimination - PL'!A:A,"EA21",'Elimination - PL'!D:D,'Standalone TB'!B417)</f>
        <v>0</v>
      </c>
      <c r="H417" s="652">
        <f t="shared" si="47"/>
        <v>0</v>
      </c>
      <c r="I417" s="652">
        <v>0</v>
      </c>
      <c r="J417" s="684">
        <v>0</v>
      </c>
      <c r="K417" s="652">
        <f>SUMIFS(OBE!$H:$H,OBE!$C:$C,'Standalone TB'!$B417,OBE!$B:$B,"A22")</f>
        <v>0</v>
      </c>
      <c r="L417" s="652">
        <f>SUMIFS('Elimination - PL'!I:I,'Elimination - PL'!A:A,"EA22",'Elimination - PL'!D:D,'Standalone TB'!B417)</f>
        <v>0</v>
      </c>
      <c r="M417" s="652">
        <f t="shared" si="50"/>
        <v>0</v>
      </c>
      <c r="N417" s="652">
        <f t="shared" si="48"/>
        <v>0</v>
      </c>
      <c r="O417" s="652">
        <v>0</v>
      </c>
      <c r="P417" s="685">
        <v>0</v>
      </c>
      <c r="Q417" s="684">
        <v>0</v>
      </c>
      <c r="R417" s="652">
        <f>SUMIFS(OBE!$H:$H,OBE!$C:$C,'Standalone TB'!$B417,OBE!$B:$B,"A20")</f>
        <v>0</v>
      </c>
      <c r="S417" s="652">
        <f>SUMIFS('Elimination - PL'!I:I,'Elimination - PL'!A:A,"EA20",'Elimination - PL'!D:D,'Standalone TB'!B417)</f>
        <v>0</v>
      </c>
      <c r="T417" s="652">
        <f t="shared" si="51"/>
        <v>0</v>
      </c>
      <c r="U417" s="652">
        <f t="shared" si="49"/>
        <v>0</v>
      </c>
      <c r="V417" s="652">
        <v>0</v>
      </c>
      <c r="W417" s="685">
        <v>0</v>
      </c>
      <c r="X417" s="689">
        <f t="shared" si="52"/>
        <v>0</v>
      </c>
      <c r="Y417" s="689">
        <f t="shared" si="53"/>
        <v>0</v>
      </c>
      <c r="Z417" s="652" t="s">
        <v>825</v>
      </c>
      <c r="AA417" s="666" t="s">
        <v>152</v>
      </c>
      <c r="AB417" s="666" t="s">
        <v>2314</v>
      </c>
      <c r="AD417" s="665"/>
    </row>
    <row r="418" spans="2:30" hidden="1" x14ac:dyDescent="0.2">
      <c r="B418" s="673" t="s">
        <v>2473</v>
      </c>
      <c r="C418" s="666" t="s">
        <v>2474</v>
      </c>
      <c r="D418" s="666" t="s">
        <v>670</v>
      </c>
      <c r="E418" s="684">
        <v>0</v>
      </c>
      <c r="F418" s="652">
        <f>SUMIFS(OBE!$H:$H,OBE!$C:$C,'Standalone TB'!$B418,OBE!$B:$B,"A21")</f>
        <v>0</v>
      </c>
      <c r="G418" s="652">
        <f>SUMIFS('Elimination - PL'!I:I,'Elimination - PL'!A:A,"EA21",'Elimination - PL'!D:D,'Standalone TB'!B418)</f>
        <v>0</v>
      </c>
      <c r="H418" s="652">
        <f t="shared" si="47"/>
        <v>0</v>
      </c>
      <c r="I418" s="652">
        <v>0</v>
      </c>
      <c r="J418" s="684">
        <v>0</v>
      </c>
      <c r="K418" s="652">
        <f>SUMIFS(OBE!$H:$H,OBE!$C:$C,'Standalone TB'!$B418,OBE!$B:$B,"A22")</f>
        <v>0</v>
      </c>
      <c r="L418" s="652">
        <f>SUMIFS('Elimination - PL'!I:I,'Elimination - PL'!A:A,"EA22",'Elimination - PL'!D:D,'Standalone TB'!B418)</f>
        <v>0</v>
      </c>
      <c r="M418" s="652">
        <f t="shared" si="50"/>
        <v>0</v>
      </c>
      <c r="N418" s="652">
        <f t="shared" si="48"/>
        <v>0</v>
      </c>
      <c r="O418" s="652">
        <v>0</v>
      </c>
      <c r="P418" s="685">
        <v>0</v>
      </c>
      <c r="Q418" s="684">
        <v>0</v>
      </c>
      <c r="R418" s="652">
        <f>SUMIFS(OBE!$H:$H,OBE!$C:$C,'Standalone TB'!$B418,OBE!$B:$B,"A20")</f>
        <v>0</v>
      </c>
      <c r="S418" s="652">
        <f>SUMIFS('Elimination - PL'!I:I,'Elimination - PL'!A:A,"EA20",'Elimination - PL'!D:D,'Standalone TB'!B418)</f>
        <v>0</v>
      </c>
      <c r="T418" s="652">
        <f t="shared" si="51"/>
        <v>0</v>
      </c>
      <c r="U418" s="652">
        <f t="shared" si="49"/>
        <v>0</v>
      </c>
      <c r="V418" s="652">
        <v>0</v>
      </c>
      <c r="W418" s="685">
        <v>0</v>
      </c>
      <c r="X418" s="689">
        <f t="shared" si="52"/>
        <v>0</v>
      </c>
      <c r="Y418" s="689">
        <f t="shared" si="53"/>
        <v>0</v>
      </c>
      <c r="Z418" s="652" t="s">
        <v>825</v>
      </c>
      <c r="AA418" s="666" t="s">
        <v>152</v>
      </c>
      <c r="AB418" s="666" t="s">
        <v>2314</v>
      </c>
      <c r="AD418" s="665"/>
    </row>
    <row r="419" spans="2:30" hidden="1" x14ac:dyDescent="0.2">
      <c r="B419" s="673" t="s">
        <v>1671</v>
      </c>
      <c r="C419" s="666" t="s">
        <v>2475</v>
      </c>
      <c r="D419" s="666" t="s">
        <v>670</v>
      </c>
      <c r="E419" s="684">
        <v>0</v>
      </c>
      <c r="F419" s="652">
        <f>SUMIFS(OBE!$H:$H,OBE!$C:$C,'Standalone TB'!$B419,OBE!$B:$B,"A21")</f>
        <v>0</v>
      </c>
      <c r="G419" s="652">
        <f>SUMIFS('Elimination - PL'!I:I,'Elimination - PL'!A:A,"EA21",'Elimination - PL'!D:D,'Standalone TB'!B419)</f>
        <v>0</v>
      </c>
      <c r="H419" s="652">
        <f t="shared" si="47"/>
        <v>0</v>
      </c>
      <c r="I419" s="652">
        <v>0</v>
      </c>
      <c r="J419" s="684">
        <v>0</v>
      </c>
      <c r="K419" s="652">
        <f>SUMIFS(OBE!$H:$H,OBE!$C:$C,'Standalone TB'!$B419,OBE!$B:$B,"A22")</f>
        <v>0</v>
      </c>
      <c r="L419" s="652">
        <f>SUMIFS('Elimination - PL'!I:I,'Elimination - PL'!A:A,"EA22",'Elimination - PL'!D:D,'Standalone TB'!B419)</f>
        <v>0</v>
      </c>
      <c r="M419" s="652">
        <f t="shared" si="50"/>
        <v>0</v>
      </c>
      <c r="N419" s="652">
        <f t="shared" si="48"/>
        <v>0</v>
      </c>
      <c r="O419" s="652">
        <v>0</v>
      </c>
      <c r="P419" s="685">
        <v>0</v>
      </c>
      <c r="Q419" s="684">
        <v>10413.189999999999</v>
      </c>
      <c r="R419" s="652">
        <f>SUMIFS(OBE!$H:$H,OBE!$C:$C,'Standalone TB'!$B419,OBE!$B:$B,"A20")</f>
        <v>-10413.19</v>
      </c>
      <c r="S419" s="652">
        <f>SUMIFS('Elimination - PL'!I:I,'Elimination - PL'!A:A,"EA20",'Elimination - PL'!D:D,'Standalone TB'!B419)</f>
        <v>0</v>
      </c>
      <c r="T419" s="652">
        <f t="shared" si="51"/>
        <v>-1.8189894035458565E-12</v>
      </c>
      <c r="U419" s="652">
        <f t="shared" si="49"/>
        <v>-1.5356228453744898E-10</v>
      </c>
      <c r="V419" s="652">
        <v>0</v>
      </c>
      <c r="W419" s="685">
        <v>0</v>
      </c>
      <c r="X419" s="689">
        <f t="shared" si="52"/>
        <v>-1.5356228453744898E-10</v>
      </c>
      <c r="Y419" s="689">
        <f t="shared" si="53"/>
        <v>0</v>
      </c>
      <c r="Z419" s="652" t="s">
        <v>825</v>
      </c>
      <c r="AA419" s="666" t="s">
        <v>152</v>
      </c>
      <c r="AB419" s="666" t="s">
        <v>2314</v>
      </c>
      <c r="AD419" s="665"/>
    </row>
    <row r="420" spans="2:30" hidden="1" x14ac:dyDescent="0.2">
      <c r="B420" s="673" t="s">
        <v>2476</v>
      </c>
      <c r="C420" s="666" t="s">
        <v>2477</v>
      </c>
      <c r="D420" s="666" t="s">
        <v>670</v>
      </c>
      <c r="E420" s="684">
        <v>0</v>
      </c>
      <c r="F420" s="652">
        <f>SUMIFS(OBE!$H:$H,OBE!$C:$C,'Standalone TB'!$B420,OBE!$B:$B,"A21")</f>
        <v>0</v>
      </c>
      <c r="G420" s="652">
        <f>SUMIFS('Elimination - PL'!I:I,'Elimination - PL'!A:A,"EA21",'Elimination - PL'!D:D,'Standalone TB'!B420)</f>
        <v>0</v>
      </c>
      <c r="H420" s="652">
        <f t="shared" ref="H420:H483" si="54">SUM(E420:G420)</f>
        <v>0</v>
      </c>
      <c r="I420" s="652">
        <v>0</v>
      </c>
      <c r="J420" s="684">
        <v>0</v>
      </c>
      <c r="K420" s="652">
        <f>SUMIFS(OBE!$H:$H,OBE!$C:$C,'Standalone TB'!$B420,OBE!$B:$B,"A22")</f>
        <v>0</v>
      </c>
      <c r="L420" s="652">
        <f>SUMIFS('Elimination - PL'!I:I,'Elimination - PL'!A:A,"EA22",'Elimination - PL'!D:D,'Standalone TB'!B420)</f>
        <v>0</v>
      </c>
      <c r="M420" s="652">
        <f t="shared" si="50"/>
        <v>0</v>
      </c>
      <c r="N420" s="652">
        <f t="shared" si="48"/>
        <v>0</v>
      </c>
      <c r="O420" s="652">
        <v>0</v>
      </c>
      <c r="P420" s="685">
        <v>0</v>
      </c>
      <c r="Q420" s="684">
        <v>0</v>
      </c>
      <c r="R420" s="652">
        <f>SUMIFS(OBE!$H:$H,OBE!$C:$C,'Standalone TB'!$B420,OBE!$B:$B,"A20")</f>
        <v>0</v>
      </c>
      <c r="S420" s="652">
        <f>SUMIFS('Elimination - PL'!I:I,'Elimination - PL'!A:A,"EA20",'Elimination - PL'!D:D,'Standalone TB'!B420)</f>
        <v>0</v>
      </c>
      <c r="T420" s="652">
        <f t="shared" si="51"/>
        <v>0</v>
      </c>
      <c r="U420" s="652">
        <f t="shared" si="49"/>
        <v>0</v>
      </c>
      <c r="V420" s="652">
        <v>0</v>
      </c>
      <c r="W420" s="685">
        <v>0</v>
      </c>
      <c r="X420" s="689">
        <f t="shared" si="52"/>
        <v>0</v>
      </c>
      <c r="Y420" s="689">
        <f t="shared" si="53"/>
        <v>0</v>
      </c>
      <c r="Z420" s="652" t="s">
        <v>825</v>
      </c>
      <c r="AA420" s="666" t="s">
        <v>152</v>
      </c>
      <c r="AB420" s="666" t="s">
        <v>2314</v>
      </c>
      <c r="AD420" s="665"/>
    </row>
    <row r="421" spans="2:30" hidden="1" x14ac:dyDescent="0.2">
      <c r="B421" s="673" t="s">
        <v>2478</v>
      </c>
      <c r="C421" s="666" t="s">
        <v>2479</v>
      </c>
      <c r="D421" s="666" t="s">
        <v>670</v>
      </c>
      <c r="E421" s="684">
        <v>0</v>
      </c>
      <c r="F421" s="652">
        <f>SUMIFS(OBE!$H:$H,OBE!$C:$C,'Standalone TB'!$B421,OBE!$B:$B,"A21")</f>
        <v>0</v>
      </c>
      <c r="G421" s="652">
        <f>SUMIFS('Elimination - PL'!I:I,'Elimination - PL'!A:A,"EA21",'Elimination - PL'!D:D,'Standalone TB'!B421)</f>
        <v>0</v>
      </c>
      <c r="H421" s="652">
        <f t="shared" si="54"/>
        <v>0</v>
      </c>
      <c r="I421" s="652">
        <v>0</v>
      </c>
      <c r="J421" s="684">
        <v>0</v>
      </c>
      <c r="K421" s="652">
        <f>SUMIFS(OBE!$H:$H,OBE!$C:$C,'Standalone TB'!$B421,OBE!$B:$B,"A22")</f>
        <v>0</v>
      </c>
      <c r="L421" s="652">
        <f>SUMIFS('Elimination - PL'!I:I,'Elimination - PL'!A:A,"EA22",'Elimination - PL'!D:D,'Standalone TB'!B421)</f>
        <v>0</v>
      </c>
      <c r="M421" s="652">
        <f t="shared" si="50"/>
        <v>0</v>
      </c>
      <c r="N421" s="652">
        <f t="shared" si="48"/>
        <v>0</v>
      </c>
      <c r="O421" s="652">
        <v>0</v>
      </c>
      <c r="P421" s="685">
        <v>0</v>
      </c>
      <c r="Q421" s="684">
        <v>0</v>
      </c>
      <c r="R421" s="652">
        <f>SUMIFS(OBE!$H:$H,OBE!$C:$C,'Standalone TB'!$B421,OBE!$B:$B,"A20")</f>
        <v>0</v>
      </c>
      <c r="S421" s="652">
        <f>SUMIFS('Elimination - PL'!I:I,'Elimination - PL'!A:A,"EA20",'Elimination - PL'!D:D,'Standalone TB'!B421)</f>
        <v>0</v>
      </c>
      <c r="T421" s="652">
        <f t="shared" si="51"/>
        <v>0</v>
      </c>
      <c r="U421" s="652">
        <f t="shared" si="49"/>
        <v>0</v>
      </c>
      <c r="V421" s="652">
        <v>0</v>
      </c>
      <c r="W421" s="685">
        <v>0</v>
      </c>
      <c r="X421" s="689">
        <f t="shared" si="52"/>
        <v>0</v>
      </c>
      <c r="Y421" s="689">
        <f t="shared" si="53"/>
        <v>0</v>
      </c>
      <c r="Z421" s="652" t="s">
        <v>825</v>
      </c>
      <c r="AA421" s="666" t="s">
        <v>152</v>
      </c>
      <c r="AB421" s="666" t="s">
        <v>2314</v>
      </c>
      <c r="AD421" s="665"/>
    </row>
    <row r="422" spans="2:30" hidden="1" x14ac:dyDescent="0.2">
      <c r="B422" s="673" t="s">
        <v>1470</v>
      </c>
      <c r="C422" s="666" t="s">
        <v>2480</v>
      </c>
      <c r="D422" s="666" t="s">
        <v>670</v>
      </c>
      <c r="E422" s="684">
        <v>0</v>
      </c>
      <c r="F422" s="652">
        <f>SUMIFS(OBE!$H:$H,OBE!$C:$C,'Standalone TB'!$B422,OBE!$B:$B,"A21")</f>
        <v>0</v>
      </c>
      <c r="G422" s="652">
        <f>SUMIFS('Elimination - PL'!I:I,'Elimination - PL'!A:A,"EA21",'Elimination - PL'!D:D,'Standalone TB'!B422)</f>
        <v>0</v>
      </c>
      <c r="H422" s="652">
        <f t="shared" si="54"/>
        <v>0</v>
      </c>
      <c r="I422" s="652">
        <v>0</v>
      </c>
      <c r="J422" s="684">
        <v>120534</v>
      </c>
      <c r="K422" s="652">
        <f>SUMIFS(OBE!$H:$H,OBE!$C:$C,'Standalone TB'!$B422,OBE!$B:$B,"A22")</f>
        <v>0</v>
      </c>
      <c r="L422" s="652">
        <f>SUMIFS('Elimination - PL'!I:I,'Elimination - PL'!A:A,"EA22",'Elimination - PL'!D:D,'Standalone TB'!B422)</f>
        <v>-120534.00000000001</v>
      </c>
      <c r="M422" s="652">
        <f t="shared" si="50"/>
        <v>0</v>
      </c>
      <c r="N422" s="652">
        <f t="shared" si="48"/>
        <v>0</v>
      </c>
      <c r="O422" s="652">
        <v>2720</v>
      </c>
      <c r="P422" s="685">
        <v>61304.991999999998</v>
      </c>
      <c r="Q422" s="684">
        <v>0</v>
      </c>
      <c r="R422" s="652">
        <f>SUMIFS(OBE!$H:$H,OBE!$C:$C,'Standalone TB'!$B422,OBE!$B:$B,"A20")</f>
        <v>0</v>
      </c>
      <c r="S422" s="652">
        <f>SUMIFS('Elimination - PL'!I:I,'Elimination - PL'!A:A,"EA20",'Elimination - PL'!D:D,'Standalone TB'!B422)</f>
        <v>0</v>
      </c>
      <c r="T422" s="652">
        <f t="shared" si="51"/>
        <v>0</v>
      </c>
      <c r="U422" s="652">
        <f t="shared" si="49"/>
        <v>0</v>
      </c>
      <c r="V422" s="652">
        <v>173.82999999999993</v>
      </c>
      <c r="W422" s="685">
        <v>14392.115785999995</v>
      </c>
      <c r="X422" s="689">
        <f t="shared" si="52"/>
        <v>0</v>
      </c>
      <c r="Y422" s="689">
        <f t="shared" si="53"/>
        <v>75697.107785999993</v>
      </c>
      <c r="Z422" s="652" t="s">
        <v>813</v>
      </c>
      <c r="AA422" s="666" t="s">
        <v>152</v>
      </c>
      <c r="AB422" s="666" t="s">
        <v>158</v>
      </c>
      <c r="AD422" s="665"/>
    </row>
    <row r="423" spans="2:30" hidden="1" x14ac:dyDescent="0.2">
      <c r="B423" s="673" t="s">
        <v>2481</v>
      </c>
      <c r="C423" s="666" t="s">
        <v>2482</v>
      </c>
      <c r="D423" s="666" t="s">
        <v>670</v>
      </c>
      <c r="E423" s="684">
        <v>0</v>
      </c>
      <c r="F423" s="652">
        <f>SUMIFS(OBE!$H:$H,OBE!$C:$C,'Standalone TB'!$B423,OBE!$B:$B,"A21")</f>
        <v>0</v>
      </c>
      <c r="G423" s="652">
        <f>SUMIFS('Elimination - PL'!I:I,'Elimination - PL'!A:A,"EA21",'Elimination - PL'!D:D,'Standalone TB'!B423)</f>
        <v>0</v>
      </c>
      <c r="H423" s="652">
        <f t="shared" si="54"/>
        <v>0</v>
      </c>
      <c r="I423" s="652">
        <v>0</v>
      </c>
      <c r="J423" s="684">
        <v>0</v>
      </c>
      <c r="K423" s="652">
        <f>SUMIFS(OBE!$H:$H,OBE!$C:$C,'Standalone TB'!$B423,OBE!$B:$B,"A22")</f>
        <v>0</v>
      </c>
      <c r="L423" s="652">
        <f>SUMIFS('Elimination - PL'!I:I,'Elimination - PL'!A:A,"EA22",'Elimination - PL'!D:D,'Standalone TB'!B423)</f>
        <v>0</v>
      </c>
      <c r="M423" s="652">
        <f t="shared" si="50"/>
        <v>0</v>
      </c>
      <c r="N423" s="652">
        <f t="shared" si="48"/>
        <v>0</v>
      </c>
      <c r="O423" s="652">
        <v>0</v>
      </c>
      <c r="P423" s="685">
        <v>0</v>
      </c>
      <c r="Q423" s="684">
        <v>0</v>
      </c>
      <c r="R423" s="652">
        <f>SUMIFS(OBE!$H:$H,OBE!$C:$C,'Standalone TB'!$B423,OBE!$B:$B,"A20")</f>
        <v>0</v>
      </c>
      <c r="S423" s="652">
        <f>SUMIFS('Elimination - PL'!I:I,'Elimination - PL'!A:A,"EA20",'Elimination - PL'!D:D,'Standalone TB'!B423)</f>
        <v>0</v>
      </c>
      <c r="T423" s="652">
        <f t="shared" si="51"/>
        <v>0</v>
      </c>
      <c r="U423" s="652">
        <f t="shared" si="49"/>
        <v>0</v>
      </c>
      <c r="V423" s="652">
        <v>0</v>
      </c>
      <c r="W423" s="685">
        <v>0</v>
      </c>
      <c r="X423" s="689">
        <f t="shared" si="52"/>
        <v>0</v>
      </c>
      <c r="Y423" s="689">
        <f t="shared" si="53"/>
        <v>0</v>
      </c>
      <c r="Z423" s="652" t="s">
        <v>813</v>
      </c>
      <c r="AA423" s="666" t="s">
        <v>152</v>
      </c>
      <c r="AB423" s="666" t="s">
        <v>158</v>
      </c>
      <c r="AD423" s="665"/>
    </row>
    <row r="424" spans="2:30" hidden="1" x14ac:dyDescent="0.2">
      <c r="B424" s="673" t="s">
        <v>2483</v>
      </c>
      <c r="C424" s="666" t="s">
        <v>2484</v>
      </c>
      <c r="D424" s="666" t="s">
        <v>670</v>
      </c>
      <c r="E424" s="684">
        <v>0</v>
      </c>
      <c r="F424" s="652">
        <f>SUMIFS(OBE!$H:$H,OBE!$C:$C,'Standalone TB'!$B424,OBE!$B:$B,"A21")</f>
        <v>0</v>
      </c>
      <c r="G424" s="652">
        <f>SUMIFS('Elimination - PL'!I:I,'Elimination - PL'!A:A,"EA21",'Elimination - PL'!D:D,'Standalone TB'!B424)</f>
        <v>0</v>
      </c>
      <c r="H424" s="652">
        <f t="shared" si="54"/>
        <v>0</v>
      </c>
      <c r="I424" s="652">
        <v>0</v>
      </c>
      <c r="J424" s="684">
        <v>0</v>
      </c>
      <c r="K424" s="652">
        <f>SUMIFS(OBE!$H:$H,OBE!$C:$C,'Standalone TB'!$B424,OBE!$B:$B,"A22")</f>
        <v>0</v>
      </c>
      <c r="L424" s="652">
        <f>SUMIFS('Elimination - PL'!I:I,'Elimination - PL'!A:A,"EA22",'Elimination - PL'!D:D,'Standalone TB'!B424)</f>
        <v>0</v>
      </c>
      <c r="M424" s="652">
        <f t="shared" si="50"/>
        <v>0</v>
      </c>
      <c r="N424" s="652">
        <f t="shared" si="48"/>
        <v>0</v>
      </c>
      <c r="O424" s="652">
        <v>0</v>
      </c>
      <c r="P424" s="685">
        <v>0</v>
      </c>
      <c r="Q424" s="684">
        <v>0</v>
      </c>
      <c r="R424" s="652">
        <f>SUMIFS(OBE!$H:$H,OBE!$C:$C,'Standalone TB'!$B424,OBE!$B:$B,"A20")</f>
        <v>0</v>
      </c>
      <c r="S424" s="652">
        <f>SUMIFS('Elimination - PL'!I:I,'Elimination - PL'!A:A,"EA20",'Elimination - PL'!D:D,'Standalone TB'!B424)</f>
        <v>0</v>
      </c>
      <c r="T424" s="652">
        <f t="shared" si="51"/>
        <v>0</v>
      </c>
      <c r="U424" s="652">
        <f t="shared" si="49"/>
        <v>0</v>
      </c>
      <c r="V424" s="652">
        <v>0</v>
      </c>
      <c r="W424" s="685">
        <v>0</v>
      </c>
      <c r="X424" s="689">
        <f t="shared" si="52"/>
        <v>0</v>
      </c>
      <c r="Y424" s="689">
        <f t="shared" si="53"/>
        <v>0</v>
      </c>
      <c r="Z424" s="652" t="s">
        <v>813</v>
      </c>
      <c r="AA424" s="666" t="s">
        <v>152</v>
      </c>
      <c r="AB424" s="666" t="s">
        <v>158</v>
      </c>
      <c r="AD424" s="665"/>
    </row>
    <row r="425" spans="2:30" hidden="1" x14ac:dyDescent="0.2">
      <c r="B425" s="673" t="s">
        <v>2485</v>
      </c>
      <c r="C425" s="666" t="s">
        <v>2486</v>
      </c>
      <c r="D425" s="666" t="s">
        <v>670</v>
      </c>
      <c r="E425" s="684">
        <v>0</v>
      </c>
      <c r="F425" s="652">
        <f>SUMIFS(OBE!$H:$H,OBE!$C:$C,'Standalone TB'!$B425,OBE!$B:$B,"A21")</f>
        <v>0</v>
      </c>
      <c r="G425" s="652">
        <f>SUMIFS('Elimination - PL'!I:I,'Elimination - PL'!A:A,"EA21",'Elimination - PL'!D:D,'Standalone TB'!B425)</f>
        <v>0</v>
      </c>
      <c r="H425" s="652">
        <f t="shared" si="54"/>
        <v>0</v>
      </c>
      <c r="I425" s="652">
        <v>0</v>
      </c>
      <c r="J425" s="684">
        <v>0</v>
      </c>
      <c r="K425" s="652">
        <f>SUMIFS(OBE!$H:$H,OBE!$C:$C,'Standalone TB'!$B425,OBE!$B:$B,"A22")</f>
        <v>0</v>
      </c>
      <c r="L425" s="652">
        <f>SUMIFS('Elimination - PL'!I:I,'Elimination - PL'!A:A,"EA22",'Elimination - PL'!D:D,'Standalone TB'!B425)</f>
        <v>0</v>
      </c>
      <c r="M425" s="652">
        <f t="shared" si="50"/>
        <v>0</v>
      </c>
      <c r="N425" s="652">
        <f t="shared" si="48"/>
        <v>0</v>
      </c>
      <c r="O425" s="652">
        <v>0</v>
      </c>
      <c r="P425" s="685">
        <v>0</v>
      </c>
      <c r="Q425" s="684">
        <v>0</v>
      </c>
      <c r="R425" s="652">
        <f>SUMIFS(OBE!$H:$H,OBE!$C:$C,'Standalone TB'!$B425,OBE!$B:$B,"A20")</f>
        <v>0</v>
      </c>
      <c r="S425" s="652">
        <f>SUMIFS('Elimination - PL'!I:I,'Elimination - PL'!A:A,"EA20",'Elimination - PL'!D:D,'Standalone TB'!B425)</f>
        <v>0</v>
      </c>
      <c r="T425" s="652">
        <f t="shared" si="51"/>
        <v>0</v>
      </c>
      <c r="U425" s="652">
        <f t="shared" si="49"/>
        <v>0</v>
      </c>
      <c r="V425" s="652">
        <v>0</v>
      </c>
      <c r="W425" s="685">
        <v>0</v>
      </c>
      <c r="X425" s="689">
        <f t="shared" si="52"/>
        <v>0</v>
      </c>
      <c r="Y425" s="689">
        <f t="shared" si="53"/>
        <v>0</v>
      </c>
      <c r="Z425" s="652" t="s">
        <v>813</v>
      </c>
      <c r="AA425" s="666" t="s">
        <v>152</v>
      </c>
      <c r="AB425" s="666" t="s">
        <v>158</v>
      </c>
      <c r="AD425" s="665"/>
    </row>
    <row r="426" spans="2:30" hidden="1" x14ac:dyDescent="0.2">
      <c r="B426" s="673" t="s">
        <v>2487</v>
      </c>
      <c r="C426" s="666" t="s">
        <v>2488</v>
      </c>
      <c r="D426" s="666" t="s">
        <v>670</v>
      </c>
      <c r="E426" s="684">
        <v>0</v>
      </c>
      <c r="F426" s="652">
        <f>SUMIFS(OBE!$H:$H,OBE!$C:$C,'Standalone TB'!$B426,OBE!$B:$B,"A21")</f>
        <v>0</v>
      </c>
      <c r="G426" s="652">
        <f>SUMIFS('Elimination - PL'!I:I,'Elimination - PL'!A:A,"EA21",'Elimination - PL'!D:D,'Standalone TB'!B426)</f>
        <v>0</v>
      </c>
      <c r="H426" s="652">
        <f t="shared" si="54"/>
        <v>0</v>
      </c>
      <c r="I426" s="652">
        <v>0</v>
      </c>
      <c r="J426" s="684">
        <v>0</v>
      </c>
      <c r="K426" s="652">
        <f>SUMIFS(OBE!$H:$H,OBE!$C:$C,'Standalone TB'!$B426,OBE!$B:$B,"A22")</f>
        <v>0</v>
      </c>
      <c r="L426" s="652">
        <f>SUMIFS('Elimination - PL'!I:I,'Elimination - PL'!A:A,"EA22",'Elimination - PL'!D:D,'Standalone TB'!B426)</f>
        <v>0</v>
      </c>
      <c r="M426" s="652">
        <f t="shared" si="50"/>
        <v>0</v>
      </c>
      <c r="N426" s="652">
        <f t="shared" si="48"/>
        <v>0</v>
      </c>
      <c r="O426" s="652">
        <v>0</v>
      </c>
      <c r="P426" s="685">
        <v>0</v>
      </c>
      <c r="Q426" s="684">
        <v>0</v>
      </c>
      <c r="R426" s="652">
        <f>SUMIFS(OBE!$H:$H,OBE!$C:$C,'Standalone TB'!$B426,OBE!$B:$B,"A20")</f>
        <v>0</v>
      </c>
      <c r="S426" s="652">
        <f>SUMIFS('Elimination - PL'!I:I,'Elimination - PL'!A:A,"EA20",'Elimination - PL'!D:D,'Standalone TB'!B426)</f>
        <v>0</v>
      </c>
      <c r="T426" s="652">
        <f t="shared" si="51"/>
        <v>0</v>
      </c>
      <c r="U426" s="652">
        <f t="shared" si="49"/>
        <v>0</v>
      </c>
      <c r="V426" s="652">
        <v>0</v>
      </c>
      <c r="W426" s="685">
        <v>0</v>
      </c>
      <c r="X426" s="689">
        <f t="shared" si="52"/>
        <v>0</v>
      </c>
      <c r="Y426" s="689">
        <f t="shared" si="53"/>
        <v>0</v>
      </c>
      <c r="Z426" s="652" t="s">
        <v>813</v>
      </c>
      <c r="AA426" s="666" t="s">
        <v>152</v>
      </c>
      <c r="AB426" s="666" t="s">
        <v>158</v>
      </c>
      <c r="AD426" s="665"/>
    </row>
    <row r="427" spans="2:30" hidden="1" x14ac:dyDescent="0.2">
      <c r="B427" s="673" t="s">
        <v>2489</v>
      </c>
      <c r="C427" s="666" t="s">
        <v>2490</v>
      </c>
      <c r="D427" s="666" t="s">
        <v>670</v>
      </c>
      <c r="E427" s="684">
        <v>0</v>
      </c>
      <c r="F427" s="652">
        <f>SUMIFS(OBE!$H:$H,OBE!$C:$C,'Standalone TB'!$B427,OBE!$B:$B,"A21")</f>
        <v>0</v>
      </c>
      <c r="G427" s="652">
        <f>SUMIFS('Elimination - PL'!I:I,'Elimination - PL'!A:A,"EA21",'Elimination - PL'!D:D,'Standalone TB'!B427)</f>
        <v>0</v>
      </c>
      <c r="H427" s="652">
        <f t="shared" si="54"/>
        <v>0</v>
      </c>
      <c r="I427" s="652">
        <v>0</v>
      </c>
      <c r="J427" s="684">
        <v>0</v>
      </c>
      <c r="K427" s="652">
        <f>SUMIFS(OBE!$H:$H,OBE!$C:$C,'Standalone TB'!$B427,OBE!$B:$B,"A22")</f>
        <v>0</v>
      </c>
      <c r="L427" s="652">
        <f>SUMIFS('Elimination - PL'!I:I,'Elimination - PL'!A:A,"EA22",'Elimination - PL'!D:D,'Standalone TB'!B427)</f>
        <v>0</v>
      </c>
      <c r="M427" s="652">
        <f t="shared" si="50"/>
        <v>0</v>
      </c>
      <c r="N427" s="652">
        <f t="shared" si="48"/>
        <v>0</v>
      </c>
      <c r="O427" s="652">
        <v>0</v>
      </c>
      <c r="P427" s="685">
        <v>0</v>
      </c>
      <c r="Q427" s="684">
        <v>0</v>
      </c>
      <c r="R427" s="652">
        <f>SUMIFS(OBE!$H:$H,OBE!$C:$C,'Standalone TB'!$B427,OBE!$B:$B,"A20")</f>
        <v>0</v>
      </c>
      <c r="S427" s="652">
        <f>SUMIFS('Elimination - PL'!I:I,'Elimination - PL'!A:A,"EA20",'Elimination - PL'!D:D,'Standalone TB'!B427)</f>
        <v>0</v>
      </c>
      <c r="T427" s="652">
        <f t="shared" si="51"/>
        <v>0</v>
      </c>
      <c r="U427" s="652">
        <f t="shared" si="49"/>
        <v>0</v>
      </c>
      <c r="V427" s="652">
        <v>0</v>
      </c>
      <c r="W427" s="685">
        <v>0</v>
      </c>
      <c r="X427" s="689">
        <f t="shared" si="52"/>
        <v>0</v>
      </c>
      <c r="Y427" s="689">
        <f t="shared" si="53"/>
        <v>0</v>
      </c>
      <c r="Z427" s="652" t="s">
        <v>813</v>
      </c>
      <c r="AA427" s="666" t="s">
        <v>152</v>
      </c>
      <c r="AB427" s="666" t="s">
        <v>158</v>
      </c>
      <c r="AD427" s="665"/>
    </row>
    <row r="428" spans="2:30" hidden="1" x14ac:dyDescent="0.2">
      <c r="B428" s="673" t="s">
        <v>2491</v>
      </c>
      <c r="C428" s="666" t="s">
        <v>2492</v>
      </c>
      <c r="D428" s="666" t="s">
        <v>670</v>
      </c>
      <c r="E428" s="684">
        <v>0</v>
      </c>
      <c r="F428" s="652">
        <f>SUMIFS(OBE!$H:$H,OBE!$C:$C,'Standalone TB'!$B428,OBE!$B:$B,"A21")</f>
        <v>0</v>
      </c>
      <c r="G428" s="652">
        <f>SUMIFS('Elimination - PL'!I:I,'Elimination - PL'!A:A,"EA21",'Elimination - PL'!D:D,'Standalone TB'!B428)</f>
        <v>0</v>
      </c>
      <c r="H428" s="652">
        <f t="shared" si="54"/>
        <v>0</v>
      </c>
      <c r="I428" s="652">
        <v>0</v>
      </c>
      <c r="J428" s="684">
        <v>0</v>
      </c>
      <c r="K428" s="652">
        <f>SUMIFS(OBE!$H:$H,OBE!$C:$C,'Standalone TB'!$B428,OBE!$B:$B,"A22")</f>
        <v>0</v>
      </c>
      <c r="L428" s="652">
        <f>SUMIFS('Elimination - PL'!I:I,'Elimination - PL'!A:A,"EA22",'Elimination - PL'!D:D,'Standalone TB'!B428)</f>
        <v>0</v>
      </c>
      <c r="M428" s="652">
        <f t="shared" si="50"/>
        <v>0</v>
      </c>
      <c r="N428" s="652">
        <f t="shared" si="48"/>
        <v>0</v>
      </c>
      <c r="O428" s="652">
        <v>0</v>
      </c>
      <c r="P428" s="685">
        <v>0</v>
      </c>
      <c r="Q428" s="684">
        <v>0</v>
      </c>
      <c r="R428" s="652">
        <f>SUMIFS(OBE!$H:$H,OBE!$C:$C,'Standalone TB'!$B428,OBE!$B:$B,"A20")</f>
        <v>0</v>
      </c>
      <c r="S428" s="652">
        <f>SUMIFS('Elimination - PL'!I:I,'Elimination - PL'!A:A,"EA20",'Elimination - PL'!D:D,'Standalone TB'!B428)</f>
        <v>0</v>
      </c>
      <c r="T428" s="652">
        <f t="shared" si="51"/>
        <v>0</v>
      </c>
      <c r="U428" s="652">
        <f t="shared" si="49"/>
        <v>0</v>
      </c>
      <c r="V428" s="652">
        <v>0</v>
      </c>
      <c r="W428" s="685">
        <v>0</v>
      </c>
      <c r="X428" s="689">
        <f t="shared" si="52"/>
        <v>0</v>
      </c>
      <c r="Y428" s="689">
        <f t="shared" si="53"/>
        <v>0</v>
      </c>
      <c r="Z428" s="652" t="s">
        <v>813</v>
      </c>
      <c r="AA428" s="666" t="s">
        <v>152</v>
      </c>
      <c r="AB428" s="666" t="s">
        <v>158</v>
      </c>
      <c r="AD428" s="665"/>
    </row>
    <row r="429" spans="2:30" hidden="1" x14ac:dyDescent="0.2">
      <c r="B429" s="673" t="s">
        <v>2493</v>
      </c>
      <c r="C429" s="666" t="s">
        <v>2494</v>
      </c>
      <c r="D429" s="666" t="s">
        <v>670</v>
      </c>
      <c r="E429" s="684">
        <v>0</v>
      </c>
      <c r="F429" s="652">
        <f>SUMIFS(OBE!$H:$H,OBE!$C:$C,'Standalone TB'!$B429,OBE!$B:$B,"A21")</f>
        <v>0</v>
      </c>
      <c r="G429" s="652">
        <f>SUMIFS('Elimination - PL'!I:I,'Elimination - PL'!A:A,"EA21",'Elimination - PL'!D:D,'Standalone TB'!B429)</f>
        <v>0</v>
      </c>
      <c r="H429" s="652">
        <f t="shared" si="54"/>
        <v>0</v>
      </c>
      <c r="I429" s="652">
        <v>0</v>
      </c>
      <c r="J429" s="684">
        <v>0</v>
      </c>
      <c r="K429" s="652">
        <f>SUMIFS(OBE!$H:$H,OBE!$C:$C,'Standalone TB'!$B429,OBE!$B:$B,"A22")</f>
        <v>0</v>
      </c>
      <c r="L429" s="652">
        <f>SUMIFS('Elimination - PL'!I:I,'Elimination - PL'!A:A,"EA22",'Elimination - PL'!D:D,'Standalone TB'!B429)</f>
        <v>0</v>
      </c>
      <c r="M429" s="652">
        <f t="shared" si="50"/>
        <v>0</v>
      </c>
      <c r="N429" s="652">
        <f t="shared" si="48"/>
        <v>0</v>
      </c>
      <c r="O429" s="652">
        <v>0</v>
      </c>
      <c r="P429" s="685">
        <v>0</v>
      </c>
      <c r="Q429" s="684">
        <v>0</v>
      </c>
      <c r="R429" s="652">
        <f>SUMIFS(OBE!$H:$H,OBE!$C:$C,'Standalone TB'!$B429,OBE!$B:$B,"A20")</f>
        <v>0</v>
      </c>
      <c r="S429" s="652">
        <f>SUMIFS('Elimination - PL'!I:I,'Elimination - PL'!A:A,"EA20",'Elimination - PL'!D:D,'Standalone TB'!B429)</f>
        <v>0</v>
      </c>
      <c r="T429" s="652">
        <f t="shared" si="51"/>
        <v>0</v>
      </c>
      <c r="U429" s="652">
        <f t="shared" si="49"/>
        <v>0</v>
      </c>
      <c r="V429" s="652">
        <v>0</v>
      </c>
      <c r="W429" s="685">
        <v>0</v>
      </c>
      <c r="X429" s="689">
        <f t="shared" si="52"/>
        <v>0</v>
      </c>
      <c r="Y429" s="689">
        <f t="shared" si="53"/>
        <v>0</v>
      </c>
      <c r="Z429" s="652" t="s">
        <v>813</v>
      </c>
      <c r="AA429" s="666" t="s">
        <v>152</v>
      </c>
      <c r="AB429" s="666" t="s">
        <v>158</v>
      </c>
      <c r="AD429" s="665"/>
    </row>
    <row r="430" spans="2:30" hidden="1" x14ac:dyDescent="0.2">
      <c r="B430" s="673" t="s">
        <v>2495</v>
      </c>
      <c r="C430" s="666" t="s">
        <v>2496</v>
      </c>
      <c r="D430" s="666" t="s">
        <v>670</v>
      </c>
      <c r="E430" s="684">
        <v>0</v>
      </c>
      <c r="F430" s="652">
        <f>SUMIFS(OBE!$H:$H,OBE!$C:$C,'Standalone TB'!$B430,OBE!$B:$B,"A21")</f>
        <v>0</v>
      </c>
      <c r="G430" s="652">
        <f>SUMIFS('Elimination - PL'!I:I,'Elimination - PL'!A:A,"EA21",'Elimination - PL'!D:D,'Standalone TB'!B430)</f>
        <v>0</v>
      </c>
      <c r="H430" s="652">
        <f t="shared" si="54"/>
        <v>0</v>
      </c>
      <c r="I430" s="652">
        <v>0</v>
      </c>
      <c r="J430" s="684">
        <v>0</v>
      </c>
      <c r="K430" s="652">
        <f>SUMIFS(OBE!$H:$H,OBE!$C:$C,'Standalone TB'!$B430,OBE!$B:$B,"A22")</f>
        <v>0</v>
      </c>
      <c r="L430" s="652">
        <f>SUMIFS('Elimination - PL'!I:I,'Elimination - PL'!A:A,"EA22",'Elimination - PL'!D:D,'Standalone TB'!B430)</f>
        <v>0</v>
      </c>
      <c r="M430" s="652">
        <f t="shared" si="50"/>
        <v>0</v>
      </c>
      <c r="N430" s="652">
        <f t="shared" si="48"/>
        <v>0</v>
      </c>
      <c r="O430" s="652">
        <v>0</v>
      </c>
      <c r="P430" s="685">
        <v>0</v>
      </c>
      <c r="Q430" s="684">
        <v>0</v>
      </c>
      <c r="R430" s="652">
        <f>SUMIFS(OBE!$H:$H,OBE!$C:$C,'Standalone TB'!$B430,OBE!$B:$B,"A20")</f>
        <v>0</v>
      </c>
      <c r="S430" s="652">
        <f>SUMIFS('Elimination - PL'!I:I,'Elimination - PL'!A:A,"EA20",'Elimination - PL'!D:D,'Standalone TB'!B430)</f>
        <v>0</v>
      </c>
      <c r="T430" s="652">
        <f t="shared" si="51"/>
        <v>0</v>
      </c>
      <c r="U430" s="652">
        <f t="shared" si="49"/>
        <v>0</v>
      </c>
      <c r="V430" s="652">
        <v>0</v>
      </c>
      <c r="W430" s="685">
        <v>0</v>
      </c>
      <c r="X430" s="689">
        <f t="shared" si="52"/>
        <v>0</v>
      </c>
      <c r="Y430" s="689">
        <f t="shared" si="53"/>
        <v>0</v>
      </c>
      <c r="Z430" s="652" t="s">
        <v>813</v>
      </c>
      <c r="AA430" s="666" t="s">
        <v>152</v>
      </c>
      <c r="AB430" s="666" t="s">
        <v>158</v>
      </c>
      <c r="AD430" s="665"/>
    </row>
    <row r="431" spans="2:30" hidden="1" x14ac:dyDescent="0.2">
      <c r="B431" s="673" t="s">
        <v>2497</v>
      </c>
      <c r="C431" s="666" t="s">
        <v>2498</v>
      </c>
      <c r="D431" s="666" t="s">
        <v>670</v>
      </c>
      <c r="E431" s="684">
        <v>2376796</v>
      </c>
      <c r="F431" s="652">
        <f>SUMIFS(OBE!$H:$H,OBE!$C:$C,'Standalone TB'!$B431,OBE!$B:$B,"A21")</f>
        <v>0</v>
      </c>
      <c r="G431" s="652">
        <f>SUMIFS('Elimination - PL'!I:I,'Elimination - PL'!A:A,"EA21",'Elimination - PL'!D:D,'Standalone TB'!B431)</f>
        <v>0</v>
      </c>
      <c r="H431" s="652">
        <f t="shared" si="54"/>
        <v>2376796</v>
      </c>
      <c r="I431" s="652">
        <v>0</v>
      </c>
      <c r="J431" s="684">
        <v>0</v>
      </c>
      <c r="K431" s="652">
        <f>SUMIFS(OBE!$H:$H,OBE!$C:$C,'Standalone TB'!$B431,OBE!$B:$B,"A22")</f>
        <v>0</v>
      </c>
      <c r="L431" s="652">
        <f>SUMIFS('Elimination - PL'!I:I,'Elimination - PL'!A:A,"EA22",'Elimination - PL'!D:D,'Standalone TB'!B431)</f>
        <v>0</v>
      </c>
      <c r="M431" s="652">
        <f t="shared" si="50"/>
        <v>0</v>
      </c>
      <c r="N431" s="652">
        <f t="shared" ref="N431:N494" si="55">M431*$O$3</f>
        <v>0</v>
      </c>
      <c r="O431" s="652">
        <v>0</v>
      </c>
      <c r="P431" s="685">
        <v>0</v>
      </c>
      <c r="Q431" s="684">
        <v>0</v>
      </c>
      <c r="R431" s="652">
        <f>SUMIFS(OBE!$H:$H,OBE!$C:$C,'Standalone TB'!$B431,OBE!$B:$B,"A20")</f>
        <v>0</v>
      </c>
      <c r="S431" s="652">
        <f>SUMIFS('Elimination - PL'!I:I,'Elimination - PL'!A:A,"EA20",'Elimination - PL'!D:D,'Standalone TB'!B431)</f>
        <v>0</v>
      </c>
      <c r="T431" s="652">
        <f t="shared" si="51"/>
        <v>0</v>
      </c>
      <c r="U431" s="652">
        <f t="shared" ref="U431:U494" si="56">T431*$V$3</f>
        <v>0</v>
      </c>
      <c r="V431" s="652">
        <v>0</v>
      </c>
      <c r="W431" s="685">
        <v>0</v>
      </c>
      <c r="X431" s="689">
        <f t="shared" si="52"/>
        <v>2376796</v>
      </c>
      <c r="Y431" s="689">
        <f t="shared" si="53"/>
        <v>0</v>
      </c>
      <c r="Z431" s="652" t="s">
        <v>813</v>
      </c>
      <c r="AA431" s="666" t="s">
        <v>152</v>
      </c>
      <c r="AB431" s="666" t="s">
        <v>158</v>
      </c>
      <c r="AD431" s="665"/>
    </row>
    <row r="432" spans="2:30" hidden="1" x14ac:dyDescent="0.2">
      <c r="B432" s="673" t="s">
        <v>2499</v>
      </c>
      <c r="C432" s="666" t="s">
        <v>2500</v>
      </c>
      <c r="D432" s="666" t="s">
        <v>670</v>
      </c>
      <c r="E432" s="684">
        <v>0</v>
      </c>
      <c r="F432" s="652">
        <f>SUMIFS(OBE!$H:$H,OBE!$C:$C,'Standalone TB'!$B432,OBE!$B:$B,"A21")</f>
        <v>0</v>
      </c>
      <c r="G432" s="652">
        <f>SUMIFS('Elimination - PL'!I:I,'Elimination - PL'!A:A,"EA21",'Elimination - PL'!D:D,'Standalone TB'!B432)</f>
        <v>0</v>
      </c>
      <c r="H432" s="652">
        <f t="shared" si="54"/>
        <v>0</v>
      </c>
      <c r="I432" s="652">
        <v>0</v>
      </c>
      <c r="J432" s="684">
        <v>0</v>
      </c>
      <c r="K432" s="652">
        <f>SUMIFS(OBE!$H:$H,OBE!$C:$C,'Standalone TB'!$B432,OBE!$B:$B,"A22")</f>
        <v>0</v>
      </c>
      <c r="L432" s="652">
        <f>SUMIFS('Elimination - PL'!I:I,'Elimination - PL'!A:A,"EA22",'Elimination - PL'!D:D,'Standalone TB'!B432)</f>
        <v>0</v>
      </c>
      <c r="M432" s="652">
        <f t="shared" si="50"/>
        <v>0</v>
      </c>
      <c r="N432" s="652">
        <f t="shared" si="55"/>
        <v>0</v>
      </c>
      <c r="O432" s="652">
        <v>0</v>
      </c>
      <c r="P432" s="685">
        <v>0</v>
      </c>
      <c r="Q432" s="684">
        <v>220901</v>
      </c>
      <c r="R432" s="652">
        <f>SUMIFS(OBE!$H:$H,OBE!$C:$C,'Standalone TB'!$B432,OBE!$B:$B,"A20")</f>
        <v>-53058.04</v>
      </c>
      <c r="S432" s="652">
        <f>SUMIFS('Elimination - PL'!I:I,'Elimination - PL'!A:A,"EA20",'Elimination - PL'!D:D,'Standalone TB'!B432)</f>
        <v>0</v>
      </c>
      <c r="T432" s="652">
        <f t="shared" si="51"/>
        <v>167842.96</v>
      </c>
      <c r="U432" s="652">
        <f t="shared" si="56"/>
        <v>14169597.871699696</v>
      </c>
      <c r="V432" s="652">
        <v>-12750.150000000001</v>
      </c>
      <c r="W432" s="685">
        <v>-1055638.4691300001</v>
      </c>
      <c r="X432" s="689">
        <f t="shared" si="52"/>
        <v>14169597.871699696</v>
      </c>
      <c r="Y432" s="689">
        <f t="shared" si="53"/>
        <v>-1055638.4691300001</v>
      </c>
      <c r="Z432" s="652" t="s">
        <v>813</v>
      </c>
      <c r="AA432" s="666" t="s">
        <v>152</v>
      </c>
      <c r="AB432" s="666" t="s">
        <v>158</v>
      </c>
      <c r="AD432" s="665"/>
    </row>
    <row r="433" spans="2:30" hidden="1" x14ac:dyDescent="0.2">
      <c r="B433" s="678" t="s">
        <v>2501</v>
      </c>
      <c r="C433" s="666" t="s">
        <v>2502</v>
      </c>
      <c r="D433" s="666" t="s">
        <v>670</v>
      </c>
      <c r="E433" s="684">
        <v>617094.22</v>
      </c>
      <c r="F433" s="652">
        <f>SUMIFS(OBE!$H:$H,OBE!$C:$C,'Standalone TB'!$B433,OBE!$B:$B,"A21")</f>
        <v>0</v>
      </c>
      <c r="G433" s="652">
        <f>SUMIFS('Elimination - PL'!I:I,'Elimination - PL'!A:A,"EA21",'Elimination - PL'!D:D,'Standalone TB'!B433)</f>
        <v>0</v>
      </c>
      <c r="H433" s="652">
        <f t="shared" si="54"/>
        <v>617094.22</v>
      </c>
      <c r="I433" s="652">
        <v>331828</v>
      </c>
      <c r="J433" s="684">
        <v>0</v>
      </c>
      <c r="K433" s="652">
        <f>SUMIFS(OBE!$H:$H,OBE!$C:$C,'Standalone TB'!$B433,OBE!$B:$B,"A22")</f>
        <v>0</v>
      </c>
      <c r="L433" s="652">
        <f>SUMIFS('Elimination - PL'!I:I,'Elimination - PL'!A:A,"EA22",'Elimination - PL'!D:D,'Standalone TB'!B433)</f>
        <v>0</v>
      </c>
      <c r="M433" s="652">
        <f t="shared" si="50"/>
        <v>0</v>
      </c>
      <c r="N433" s="652">
        <f t="shared" si="55"/>
        <v>0</v>
      </c>
      <c r="O433" s="652">
        <v>0</v>
      </c>
      <c r="P433" s="685">
        <v>0</v>
      </c>
      <c r="Q433" s="684">
        <v>0</v>
      </c>
      <c r="R433" s="652">
        <f>SUMIFS(OBE!$H:$H,OBE!$C:$C,'Standalone TB'!$B433,OBE!$B:$B,"A20")</f>
        <v>0</v>
      </c>
      <c r="S433" s="652">
        <f>SUMIFS('Elimination - PL'!I:I,'Elimination - PL'!A:A,"EA20",'Elimination - PL'!D:D,'Standalone TB'!B433)</f>
        <v>0</v>
      </c>
      <c r="T433" s="652">
        <f t="shared" si="51"/>
        <v>0</v>
      </c>
      <c r="U433" s="652">
        <f t="shared" si="56"/>
        <v>0</v>
      </c>
      <c r="V433" s="652">
        <v>0</v>
      </c>
      <c r="W433" s="685">
        <v>0</v>
      </c>
      <c r="X433" s="689">
        <f t="shared" si="52"/>
        <v>617094.22</v>
      </c>
      <c r="Y433" s="689">
        <f t="shared" si="53"/>
        <v>331828</v>
      </c>
      <c r="Z433" s="652" t="s">
        <v>834</v>
      </c>
      <c r="AA433" s="666" t="s">
        <v>152</v>
      </c>
      <c r="AB433" s="666" t="s">
        <v>158</v>
      </c>
      <c r="AD433" s="665"/>
    </row>
    <row r="434" spans="2:30" hidden="1" x14ac:dyDescent="0.2">
      <c r="B434" s="673" t="s">
        <v>2503</v>
      </c>
      <c r="C434" s="666" t="s">
        <v>2504</v>
      </c>
      <c r="D434" s="666" t="s">
        <v>670</v>
      </c>
      <c r="E434" s="684">
        <v>0</v>
      </c>
      <c r="F434" s="652">
        <f>SUMIFS(OBE!$H:$H,OBE!$C:$C,'Standalone TB'!$B434,OBE!$B:$B,"A21")</f>
        <v>0</v>
      </c>
      <c r="G434" s="652">
        <f>SUMIFS('Elimination - PL'!I:I,'Elimination - PL'!A:A,"EA21",'Elimination - PL'!D:D,'Standalone TB'!B434)</f>
        <v>0</v>
      </c>
      <c r="H434" s="652">
        <f t="shared" si="54"/>
        <v>0</v>
      </c>
      <c r="I434" s="652">
        <v>0</v>
      </c>
      <c r="J434" s="684">
        <v>0</v>
      </c>
      <c r="K434" s="652">
        <f>SUMIFS(OBE!$H:$H,OBE!$C:$C,'Standalone TB'!$B434,OBE!$B:$B,"A22")</f>
        <v>0</v>
      </c>
      <c r="L434" s="652">
        <f>SUMIFS('Elimination - PL'!I:I,'Elimination - PL'!A:A,"EA22",'Elimination - PL'!D:D,'Standalone TB'!B434)</f>
        <v>0</v>
      </c>
      <c r="M434" s="652">
        <f t="shared" si="50"/>
        <v>0</v>
      </c>
      <c r="N434" s="652">
        <f t="shared" si="55"/>
        <v>0</v>
      </c>
      <c r="O434" s="652">
        <v>0</v>
      </c>
      <c r="P434" s="685">
        <v>0</v>
      </c>
      <c r="Q434" s="684">
        <v>0</v>
      </c>
      <c r="R434" s="652">
        <f>SUMIFS(OBE!$H:$H,OBE!$C:$C,'Standalone TB'!$B434,OBE!$B:$B,"A20")</f>
        <v>0</v>
      </c>
      <c r="S434" s="652">
        <f>SUMIFS('Elimination - PL'!I:I,'Elimination - PL'!A:A,"EA20",'Elimination - PL'!D:D,'Standalone TB'!B434)</f>
        <v>0</v>
      </c>
      <c r="T434" s="652">
        <f t="shared" si="51"/>
        <v>0</v>
      </c>
      <c r="U434" s="652">
        <f t="shared" si="56"/>
        <v>0</v>
      </c>
      <c r="V434" s="652">
        <v>0</v>
      </c>
      <c r="W434" s="685">
        <v>0</v>
      </c>
      <c r="X434" s="689">
        <f t="shared" si="52"/>
        <v>0</v>
      </c>
      <c r="Y434" s="689">
        <f t="shared" si="53"/>
        <v>0</v>
      </c>
      <c r="Z434" s="652" t="s">
        <v>813</v>
      </c>
      <c r="AA434" s="666" t="s">
        <v>152</v>
      </c>
      <c r="AB434" s="666" t="s">
        <v>158</v>
      </c>
      <c r="AD434" s="665"/>
    </row>
    <row r="435" spans="2:30" hidden="1" x14ac:dyDescent="0.2">
      <c r="B435" s="673" t="s">
        <v>2505</v>
      </c>
      <c r="C435" s="666" t="s">
        <v>2506</v>
      </c>
      <c r="D435" s="666" t="s">
        <v>670</v>
      </c>
      <c r="E435" s="684">
        <v>0</v>
      </c>
      <c r="F435" s="652">
        <f>SUMIFS(OBE!$H:$H,OBE!$C:$C,'Standalone TB'!$B435,OBE!$B:$B,"A21")</f>
        <v>0</v>
      </c>
      <c r="G435" s="652">
        <f>SUMIFS('Elimination - PL'!I:I,'Elimination - PL'!A:A,"EA21",'Elimination - PL'!D:D,'Standalone TB'!B435)</f>
        <v>0</v>
      </c>
      <c r="H435" s="652">
        <f t="shared" si="54"/>
        <v>0</v>
      </c>
      <c r="I435" s="652">
        <v>0</v>
      </c>
      <c r="J435" s="684">
        <v>0</v>
      </c>
      <c r="K435" s="652">
        <f>SUMIFS(OBE!$H:$H,OBE!$C:$C,'Standalone TB'!$B435,OBE!$B:$B,"A22")</f>
        <v>0</v>
      </c>
      <c r="L435" s="652">
        <f>SUMIFS('Elimination - PL'!I:I,'Elimination - PL'!A:A,"EA22",'Elimination - PL'!D:D,'Standalone TB'!B435)</f>
        <v>0</v>
      </c>
      <c r="M435" s="652">
        <f t="shared" si="50"/>
        <v>0</v>
      </c>
      <c r="N435" s="652">
        <f t="shared" si="55"/>
        <v>0</v>
      </c>
      <c r="O435" s="652">
        <v>0</v>
      </c>
      <c r="P435" s="685">
        <v>0</v>
      </c>
      <c r="Q435" s="684">
        <v>0</v>
      </c>
      <c r="R435" s="652">
        <f>SUMIFS(OBE!$H:$H,OBE!$C:$C,'Standalone TB'!$B435,OBE!$B:$B,"A20")</f>
        <v>0</v>
      </c>
      <c r="S435" s="652">
        <f>SUMIFS('Elimination - PL'!I:I,'Elimination - PL'!A:A,"EA20",'Elimination - PL'!D:D,'Standalone TB'!B435)</f>
        <v>0</v>
      </c>
      <c r="T435" s="652">
        <f t="shared" si="51"/>
        <v>0</v>
      </c>
      <c r="U435" s="652">
        <f t="shared" si="56"/>
        <v>0</v>
      </c>
      <c r="V435" s="652">
        <v>0</v>
      </c>
      <c r="W435" s="685">
        <v>0</v>
      </c>
      <c r="X435" s="689">
        <f t="shared" si="52"/>
        <v>0</v>
      </c>
      <c r="Y435" s="689">
        <f t="shared" si="53"/>
        <v>0</v>
      </c>
      <c r="Z435" s="652" t="s">
        <v>813</v>
      </c>
      <c r="AA435" s="666" t="s">
        <v>152</v>
      </c>
      <c r="AB435" s="666" t="s">
        <v>158</v>
      </c>
      <c r="AD435" s="665"/>
    </row>
    <row r="436" spans="2:30" hidden="1" x14ac:dyDescent="0.2">
      <c r="B436" s="673" t="s">
        <v>2507</v>
      </c>
      <c r="C436" s="666" t="s">
        <v>2508</v>
      </c>
      <c r="D436" s="666" t="s">
        <v>670</v>
      </c>
      <c r="E436" s="684">
        <v>101911.53</v>
      </c>
      <c r="F436" s="652">
        <f>SUMIFS(OBE!$H:$H,OBE!$C:$C,'Standalone TB'!$B436,OBE!$B:$B,"A21")</f>
        <v>0</v>
      </c>
      <c r="G436" s="652">
        <f>SUMIFS('Elimination - PL'!I:I,'Elimination - PL'!A:A,"EA21",'Elimination - PL'!D:D,'Standalone TB'!B436)</f>
        <v>0</v>
      </c>
      <c r="H436" s="652">
        <f t="shared" si="54"/>
        <v>101911.53</v>
      </c>
      <c r="I436" s="652">
        <v>291.85000000000002</v>
      </c>
      <c r="J436" s="684">
        <v>0.22999999999999998</v>
      </c>
      <c r="K436" s="652">
        <f>SUMIFS(OBE!$H:$H,OBE!$C:$C,'Standalone TB'!$B436,OBE!$B:$B,"A22")</f>
        <v>0</v>
      </c>
      <c r="L436" s="652">
        <f>SUMIFS('Elimination - PL'!I:I,'Elimination - PL'!A:A,"EA22",'Elimination - PL'!D:D,'Standalone TB'!B436)</f>
        <v>0</v>
      </c>
      <c r="M436" s="652">
        <f t="shared" si="50"/>
        <v>0.22999999999999998</v>
      </c>
      <c r="N436" s="652">
        <f t="shared" si="55"/>
        <v>5.2862214957172284</v>
      </c>
      <c r="O436" s="652">
        <v>-0.5</v>
      </c>
      <c r="P436" s="685">
        <v>-11.269299999999999</v>
      </c>
      <c r="Q436" s="684">
        <v>0</v>
      </c>
      <c r="R436" s="652">
        <f>SUMIFS(OBE!$H:$H,OBE!$C:$C,'Standalone TB'!$B436,OBE!$B:$B,"A20")</f>
        <v>0</v>
      </c>
      <c r="S436" s="652">
        <f>SUMIFS('Elimination - PL'!I:I,'Elimination - PL'!A:A,"EA20",'Elimination - PL'!D:D,'Standalone TB'!B436)</f>
        <v>0</v>
      </c>
      <c r="T436" s="652">
        <f t="shared" si="51"/>
        <v>0</v>
      </c>
      <c r="U436" s="652">
        <f t="shared" si="56"/>
        <v>0</v>
      </c>
      <c r="V436" s="652">
        <v>0</v>
      </c>
      <c r="W436" s="685">
        <v>0</v>
      </c>
      <c r="X436" s="689">
        <f t="shared" si="52"/>
        <v>101916.81622149571</v>
      </c>
      <c r="Y436" s="689">
        <f t="shared" si="53"/>
        <v>280.58070000000004</v>
      </c>
      <c r="Z436" s="652" t="s">
        <v>834</v>
      </c>
      <c r="AA436" s="666" t="s">
        <v>152</v>
      </c>
      <c r="AB436" s="666" t="s">
        <v>158</v>
      </c>
      <c r="AD436" s="665"/>
    </row>
    <row r="437" spans="2:30" hidden="1" x14ac:dyDescent="0.2">
      <c r="B437" s="673" t="s">
        <v>1675</v>
      </c>
      <c r="C437" s="666" t="s">
        <v>2509</v>
      </c>
      <c r="D437" s="666" t="s">
        <v>670</v>
      </c>
      <c r="E437" s="684">
        <v>836549.96</v>
      </c>
      <c r="F437" s="652">
        <f>SUMIFS(OBE!$H:$H,OBE!$C:$C,'Standalone TB'!$B437,OBE!$B:$B,"A21")</f>
        <v>0</v>
      </c>
      <c r="G437" s="652">
        <f>SUMIFS('Elimination - PL'!I:I,'Elimination - PL'!A:A,"EA21",'Elimination - PL'!D:D,'Standalone TB'!B437)</f>
        <v>0</v>
      </c>
      <c r="H437" s="652">
        <f t="shared" si="54"/>
        <v>836549.96</v>
      </c>
      <c r="I437" s="652">
        <v>1665477.9000000001</v>
      </c>
      <c r="J437" s="684">
        <v>5459.87</v>
      </c>
      <c r="K437" s="652">
        <f>SUMIFS(OBE!$H:$H,OBE!$C:$C,'Standalone TB'!$B437,OBE!$B:$B,"A22")</f>
        <v>0</v>
      </c>
      <c r="L437" s="652">
        <f>SUMIFS('Elimination - PL'!I:I,'Elimination - PL'!A:A,"EA22",'Elimination - PL'!D:D,'Standalone TB'!B437)</f>
        <v>0</v>
      </c>
      <c r="M437" s="652">
        <f t="shared" si="50"/>
        <v>5459.87</v>
      </c>
      <c r="N437" s="652">
        <f t="shared" si="55"/>
        <v>125487.31372965925</v>
      </c>
      <c r="O437" s="652">
        <v>130</v>
      </c>
      <c r="P437" s="685">
        <v>2930.018</v>
      </c>
      <c r="Q437" s="684">
        <v>486.41999999999996</v>
      </c>
      <c r="R437" s="652">
        <f>SUMIFS(OBE!$H:$H,OBE!$C:$C,'Standalone TB'!$B437,OBE!$B:$B,"A20")</f>
        <v>-1791.41</v>
      </c>
      <c r="S437" s="652">
        <f>SUMIFS('Elimination - PL'!I:I,'Elimination - PL'!A:A,"EA20",'Elimination - PL'!D:D,'Standalone TB'!B437)</f>
        <v>0</v>
      </c>
      <c r="T437" s="652">
        <f t="shared" si="51"/>
        <v>-1304.9900000000002</v>
      </c>
      <c r="U437" s="652">
        <f t="shared" si="56"/>
        <v>-110169.55090990644</v>
      </c>
      <c r="V437" s="652">
        <v>1207.74</v>
      </c>
      <c r="W437" s="685">
        <v>99993.867108000006</v>
      </c>
      <c r="X437" s="689">
        <f t="shared" si="52"/>
        <v>851867.72281975276</v>
      </c>
      <c r="Y437" s="689">
        <f t="shared" si="53"/>
        <v>1768401.785108</v>
      </c>
      <c r="Z437" s="652" t="s">
        <v>813</v>
      </c>
      <c r="AA437" s="666" t="s">
        <v>152</v>
      </c>
      <c r="AB437" s="666" t="s">
        <v>158</v>
      </c>
      <c r="AD437" s="665"/>
    </row>
    <row r="438" spans="2:30" hidden="1" x14ac:dyDescent="0.2">
      <c r="B438" s="673" t="s">
        <v>2510</v>
      </c>
      <c r="C438" s="666" t="s">
        <v>2511</v>
      </c>
      <c r="D438" s="666" t="s">
        <v>670</v>
      </c>
      <c r="E438" s="684">
        <v>0</v>
      </c>
      <c r="F438" s="652">
        <f>SUMIFS(OBE!$H:$H,OBE!$C:$C,'Standalone TB'!$B438,OBE!$B:$B,"A21")</f>
        <v>0</v>
      </c>
      <c r="G438" s="652">
        <f>SUMIFS('Elimination - PL'!I:I,'Elimination - PL'!A:A,"EA21",'Elimination - PL'!D:D,'Standalone TB'!B438)</f>
        <v>0</v>
      </c>
      <c r="H438" s="652">
        <f t="shared" si="54"/>
        <v>0</v>
      </c>
      <c r="I438" s="652">
        <v>0</v>
      </c>
      <c r="J438" s="684">
        <v>0</v>
      </c>
      <c r="K438" s="652">
        <f>SUMIFS(OBE!$H:$H,OBE!$C:$C,'Standalone TB'!$B438,OBE!$B:$B,"A22")</f>
        <v>0</v>
      </c>
      <c r="L438" s="652">
        <f>SUMIFS('Elimination - PL'!I:I,'Elimination - PL'!A:A,"EA22",'Elimination - PL'!D:D,'Standalone TB'!B438)</f>
        <v>0</v>
      </c>
      <c r="M438" s="652">
        <f t="shared" si="50"/>
        <v>0</v>
      </c>
      <c r="N438" s="652">
        <f t="shared" si="55"/>
        <v>0</v>
      </c>
      <c r="O438" s="652">
        <v>0</v>
      </c>
      <c r="P438" s="685">
        <v>0</v>
      </c>
      <c r="Q438" s="684">
        <v>0</v>
      </c>
      <c r="R438" s="652">
        <f>SUMIFS(OBE!$H:$H,OBE!$C:$C,'Standalone TB'!$B438,OBE!$B:$B,"A20")</f>
        <v>0</v>
      </c>
      <c r="S438" s="652">
        <f>SUMIFS('Elimination - PL'!I:I,'Elimination - PL'!A:A,"EA20",'Elimination - PL'!D:D,'Standalone TB'!B438)</f>
        <v>0</v>
      </c>
      <c r="T438" s="652">
        <f t="shared" si="51"/>
        <v>0</v>
      </c>
      <c r="U438" s="652">
        <f t="shared" si="56"/>
        <v>0</v>
      </c>
      <c r="V438" s="652">
        <v>0</v>
      </c>
      <c r="W438" s="685">
        <v>0</v>
      </c>
      <c r="X438" s="689">
        <f t="shared" si="52"/>
        <v>0</v>
      </c>
      <c r="Y438" s="689">
        <f t="shared" si="53"/>
        <v>0</v>
      </c>
      <c r="Z438" s="652"/>
      <c r="AA438" s="666" t="s">
        <v>152</v>
      </c>
      <c r="AB438" s="666" t="s">
        <v>2314</v>
      </c>
      <c r="AD438" s="665"/>
    </row>
    <row r="439" spans="2:30" hidden="1" x14ac:dyDescent="0.2">
      <c r="B439" s="673" t="s">
        <v>2512</v>
      </c>
      <c r="C439" s="666" t="s">
        <v>2513</v>
      </c>
      <c r="D439" s="666" t="s">
        <v>670</v>
      </c>
      <c r="E439" s="684">
        <v>0</v>
      </c>
      <c r="F439" s="652">
        <f>SUMIFS(OBE!$H:$H,OBE!$C:$C,'Standalone TB'!$B439,OBE!$B:$B,"A21")</f>
        <v>0</v>
      </c>
      <c r="G439" s="652">
        <f>SUMIFS('Elimination - PL'!I:I,'Elimination - PL'!A:A,"EA21",'Elimination - PL'!D:D,'Standalone TB'!B439)</f>
        <v>0</v>
      </c>
      <c r="H439" s="652">
        <f t="shared" si="54"/>
        <v>0</v>
      </c>
      <c r="I439" s="652">
        <v>0</v>
      </c>
      <c r="J439" s="684">
        <v>0</v>
      </c>
      <c r="K439" s="652">
        <f>SUMIFS(OBE!$H:$H,OBE!$C:$C,'Standalone TB'!$B439,OBE!$B:$B,"A22")</f>
        <v>0</v>
      </c>
      <c r="L439" s="652">
        <f>SUMIFS('Elimination - PL'!I:I,'Elimination - PL'!A:A,"EA22",'Elimination - PL'!D:D,'Standalone TB'!B439)</f>
        <v>0</v>
      </c>
      <c r="M439" s="652">
        <f t="shared" si="50"/>
        <v>0</v>
      </c>
      <c r="N439" s="652">
        <f t="shared" si="55"/>
        <v>0</v>
      </c>
      <c r="O439" s="652">
        <v>0</v>
      </c>
      <c r="P439" s="685">
        <v>0</v>
      </c>
      <c r="Q439" s="684">
        <v>0</v>
      </c>
      <c r="R439" s="652">
        <f>SUMIFS(OBE!$H:$H,OBE!$C:$C,'Standalone TB'!$B439,OBE!$B:$B,"A20")</f>
        <v>0</v>
      </c>
      <c r="S439" s="652">
        <f>SUMIFS('Elimination - PL'!I:I,'Elimination - PL'!A:A,"EA20",'Elimination - PL'!D:D,'Standalone TB'!B439)</f>
        <v>0</v>
      </c>
      <c r="T439" s="652">
        <f t="shared" si="51"/>
        <v>0</v>
      </c>
      <c r="U439" s="652">
        <f t="shared" si="56"/>
        <v>0</v>
      </c>
      <c r="V439" s="652">
        <v>0</v>
      </c>
      <c r="W439" s="685">
        <v>0</v>
      </c>
      <c r="X439" s="689">
        <f t="shared" si="52"/>
        <v>0</v>
      </c>
      <c r="Y439" s="689">
        <f t="shared" si="53"/>
        <v>0</v>
      </c>
      <c r="Z439" s="652"/>
      <c r="AA439" s="666" t="s">
        <v>152</v>
      </c>
      <c r="AB439" s="666" t="s">
        <v>2314</v>
      </c>
      <c r="AD439" s="665"/>
    </row>
    <row r="440" spans="2:30" hidden="1" x14ac:dyDescent="0.2">
      <c r="B440" s="673" t="s">
        <v>2514</v>
      </c>
      <c r="C440" s="666" t="s">
        <v>2515</v>
      </c>
      <c r="D440" s="666" t="s">
        <v>670</v>
      </c>
      <c r="E440" s="684">
        <v>0</v>
      </c>
      <c r="F440" s="652">
        <f>SUMIFS(OBE!$H:$H,OBE!$C:$C,'Standalone TB'!$B440,OBE!$B:$B,"A21")</f>
        <v>0</v>
      </c>
      <c r="G440" s="652">
        <f>SUMIFS('Elimination - PL'!I:I,'Elimination - PL'!A:A,"EA21",'Elimination - PL'!D:D,'Standalone TB'!B440)</f>
        <v>0</v>
      </c>
      <c r="H440" s="652">
        <f t="shared" si="54"/>
        <v>0</v>
      </c>
      <c r="I440" s="652">
        <v>0</v>
      </c>
      <c r="J440" s="684">
        <v>0</v>
      </c>
      <c r="K440" s="652">
        <f>SUMIFS(OBE!$H:$H,OBE!$C:$C,'Standalone TB'!$B440,OBE!$B:$B,"A22")</f>
        <v>0</v>
      </c>
      <c r="L440" s="652">
        <f>SUMIFS('Elimination - PL'!I:I,'Elimination - PL'!A:A,"EA22",'Elimination - PL'!D:D,'Standalone TB'!B440)</f>
        <v>0</v>
      </c>
      <c r="M440" s="652">
        <f t="shared" si="50"/>
        <v>0</v>
      </c>
      <c r="N440" s="652">
        <f t="shared" si="55"/>
        <v>0</v>
      </c>
      <c r="O440" s="652">
        <v>0</v>
      </c>
      <c r="P440" s="685">
        <v>0</v>
      </c>
      <c r="Q440" s="684">
        <v>0</v>
      </c>
      <c r="R440" s="652">
        <f>SUMIFS(OBE!$H:$H,OBE!$C:$C,'Standalone TB'!$B440,OBE!$B:$B,"A20")</f>
        <v>0</v>
      </c>
      <c r="S440" s="652">
        <f>SUMIFS('Elimination - PL'!I:I,'Elimination - PL'!A:A,"EA20",'Elimination - PL'!D:D,'Standalone TB'!B440)</f>
        <v>0</v>
      </c>
      <c r="T440" s="652">
        <f t="shared" si="51"/>
        <v>0</v>
      </c>
      <c r="U440" s="652">
        <f t="shared" si="56"/>
        <v>0</v>
      </c>
      <c r="V440" s="652">
        <v>0</v>
      </c>
      <c r="W440" s="685">
        <v>0</v>
      </c>
      <c r="X440" s="689">
        <f t="shared" si="52"/>
        <v>0</v>
      </c>
      <c r="Y440" s="689">
        <f t="shared" si="53"/>
        <v>0</v>
      </c>
      <c r="Z440" s="652"/>
      <c r="AA440" s="666" t="s">
        <v>152</v>
      </c>
      <c r="AB440" s="666" t="s">
        <v>2314</v>
      </c>
      <c r="AD440" s="665"/>
    </row>
    <row r="441" spans="2:30" hidden="1" x14ac:dyDescent="0.2">
      <c r="B441" s="673" t="s">
        <v>2516</v>
      </c>
      <c r="C441" s="666" t="s">
        <v>2517</v>
      </c>
      <c r="D441" s="666" t="s">
        <v>670</v>
      </c>
      <c r="E441" s="684">
        <v>0</v>
      </c>
      <c r="F441" s="652">
        <f>SUMIFS(OBE!$H:$H,OBE!$C:$C,'Standalone TB'!$B441,OBE!$B:$B,"A21")</f>
        <v>0</v>
      </c>
      <c r="G441" s="652">
        <f>SUMIFS('Elimination - PL'!I:I,'Elimination - PL'!A:A,"EA21",'Elimination - PL'!D:D,'Standalone TB'!B441)</f>
        <v>0</v>
      </c>
      <c r="H441" s="652">
        <f t="shared" si="54"/>
        <v>0</v>
      </c>
      <c r="I441" s="652">
        <v>0</v>
      </c>
      <c r="J441" s="684">
        <v>0</v>
      </c>
      <c r="K441" s="652">
        <f>SUMIFS(OBE!$H:$H,OBE!$C:$C,'Standalone TB'!$B441,OBE!$B:$B,"A22")</f>
        <v>0</v>
      </c>
      <c r="L441" s="652">
        <f>SUMIFS('Elimination - PL'!I:I,'Elimination - PL'!A:A,"EA22",'Elimination - PL'!D:D,'Standalone TB'!B441)</f>
        <v>0</v>
      </c>
      <c r="M441" s="652">
        <f t="shared" si="50"/>
        <v>0</v>
      </c>
      <c r="N441" s="652">
        <f t="shared" si="55"/>
        <v>0</v>
      </c>
      <c r="O441" s="652">
        <v>0</v>
      </c>
      <c r="P441" s="685">
        <v>0</v>
      </c>
      <c r="Q441" s="684">
        <v>0</v>
      </c>
      <c r="R441" s="652">
        <f>SUMIFS(OBE!$H:$H,OBE!$C:$C,'Standalone TB'!$B441,OBE!$B:$B,"A20")</f>
        <v>0</v>
      </c>
      <c r="S441" s="652">
        <f>SUMIFS('Elimination - PL'!I:I,'Elimination - PL'!A:A,"EA20",'Elimination - PL'!D:D,'Standalone TB'!B441)</f>
        <v>0</v>
      </c>
      <c r="T441" s="652">
        <f t="shared" si="51"/>
        <v>0</v>
      </c>
      <c r="U441" s="652">
        <f t="shared" si="56"/>
        <v>0</v>
      </c>
      <c r="V441" s="652">
        <v>0</v>
      </c>
      <c r="W441" s="685">
        <v>0</v>
      </c>
      <c r="X441" s="689">
        <f t="shared" si="52"/>
        <v>0</v>
      </c>
      <c r="Y441" s="689">
        <f t="shared" si="53"/>
        <v>0</v>
      </c>
      <c r="Z441" s="652"/>
      <c r="AA441" s="666" t="s">
        <v>152</v>
      </c>
      <c r="AB441" s="666" t="s">
        <v>2314</v>
      </c>
      <c r="AD441" s="665"/>
    </row>
    <row r="442" spans="2:30" hidden="1" x14ac:dyDescent="0.2">
      <c r="B442" s="673" t="s">
        <v>1532</v>
      </c>
      <c r="C442" s="666" t="s">
        <v>1533</v>
      </c>
      <c r="D442" s="666" t="s">
        <v>670</v>
      </c>
      <c r="E442" s="684">
        <v>-20989530</v>
      </c>
      <c r="F442" s="652">
        <f>SUMIFS(OBE!$H:$H,OBE!$C:$C,'Standalone TB'!$B442,OBE!$B:$B,"A21")</f>
        <v>20989530</v>
      </c>
      <c r="G442" s="652">
        <f>SUMIFS('Elimination - PL'!I:I,'Elimination - PL'!A:A,"EA21",'Elimination - PL'!D:D,'Standalone TB'!B442)</f>
        <v>0</v>
      </c>
      <c r="H442" s="652">
        <f t="shared" si="54"/>
        <v>0</v>
      </c>
      <c r="I442" s="652">
        <v>0</v>
      </c>
      <c r="J442" s="684">
        <v>0</v>
      </c>
      <c r="K442" s="652">
        <f>SUMIFS(OBE!$H:$H,OBE!$C:$C,'Standalone TB'!$B442,OBE!$B:$B,"A22")</f>
        <v>0</v>
      </c>
      <c r="L442" s="652">
        <f>SUMIFS('Elimination - PL'!I:I,'Elimination - PL'!A:A,"EA22",'Elimination - PL'!D:D,'Standalone TB'!B442)</f>
        <v>0</v>
      </c>
      <c r="M442" s="652">
        <f t="shared" si="50"/>
        <v>0</v>
      </c>
      <c r="N442" s="652">
        <f t="shared" si="55"/>
        <v>0</v>
      </c>
      <c r="O442" s="652">
        <v>0</v>
      </c>
      <c r="P442" s="685">
        <v>0</v>
      </c>
      <c r="Q442" s="684">
        <v>0</v>
      </c>
      <c r="R442" s="652">
        <f>SUMIFS(OBE!$H:$H,OBE!$C:$C,'Standalone TB'!$B442,OBE!$B:$B,"A20")</f>
        <v>0</v>
      </c>
      <c r="S442" s="652">
        <f>SUMIFS('Elimination - PL'!I:I,'Elimination - PL'!A:A,"EA20",'Elimination - PL'!D:D,'Standalone TB'!B442)</f>
        <v>0</v>
      </c>
      <c r="T442" s="652">
        <f t="shared" si="51"/>
        <v>0</v>
      </c>
      <c r="U442" s="652">
        <f t="shared" si="56"/>
        <v>0</v>
      </c>
      <c r="V442" s="652">
        <v>0</v>
      </c>
      <c r="W442" s="685">
        <v>0</v>
      </c>
      <c r="X442" s="689">
        <f t="shared" si="52"/>
        <v>0</v>
      </c>
      <c r="Y442" s="689">
        <f t="shared" si="53"/>
        <v>0</v>
      </c>
      <c r="Z442" s="652"/>
      <c r="AA442" s="666" t="s">
        <v>152</v>
      </c>
      <c r="AB442" s="666" t="s">
        <v>2314</v>
      </c>
      <c r="AD442" s="665"/>
    </row>
    <row r="443" spans="2:30" hidden="1" x14ac:dyDescent="0.2">
      <c r="B443" s="673" t="s">
        <v>2518</v>
      </c>
      <c r="C443" s="666" t="s">
        <v>2519</v>
      </c>
      <c r="D443" s="666" t="s">
        <v>670</v>
      </c>
      <c r="E443" s="684">
        <v>0</v>
      </c>
      <c r="F443" s="652">
        <f>SUMIFS(OBE!$H:$H,OBE!$C:$C,'Standalone TB'!$B443,OBE!$B:$B,"A21")</f>
        <v>0</v>
      </c>
      <c r="G443" s="652">
        <f>SUMIFS('Elimination - PL'!I:I,'Elimination - PL'!A:A,"EA21",'Elimination - PL'!D:D,'Standalone TB'!B443)</f>
        <v>0</v>
      </c>
      <c r="H443" s="652">
        <f t="shared" si="54"/>
        <v>0</v>
      </c>
      <c r="I443" s="652">
        <v>0</v>
      </c>
      <c r="J443" s="684">
        <v>0</v>
      </c>
      <c r="K443" s="652">
        <f>SUMIFS(OBE!$H:$H,OBE!$C:$C,'Standalone TB'!$B443,OBE!$B:$B,"A22")</f>
        <v>0</v>
      </c>
      <c r="L443" s="652">
        <f>SUMIFS('Elimination - PL'!I:I,'Elimination - PL'!A:A,"EA22",'Elimination - PL'!D:D,'Standalone TB'!B443)</f>
        <v>0</v>
      </c>
      <c r="M443" s="652">
        <f t="shared" si="50"/>
        <v>0</v>
      </c>
      <c r="N443" s="652">
        <f t="shared" si="55"/>
        <v>0</v>
      </c>
      <c r="O443" s="652">
        <v>0</v>
      </c>
      <c r="P443" s="685">
        <v>0</v>
      </c>
      <c r="Q443" s="684">
        <v>0</v>
      </c>
      <c r="R443" s="652">
        <f>SUMIFS(OBE!$H:$H,OBE!$C:$C,'Standalone TB'!$B443,OBE!$B:$B,"A20")</f>
        <v>0</v>
      </c>
      <c r="S443" s="652">
        <f>SUMIFS('Elimination - PL'!I:I,'Elimination - PL'!A:A,"EA20",'Elimination - PL'!D:D,'Standalone TB'!B443)</f>
        <v>0</v>
      </c>
      <c r="T443" s="652">
        <f t="shared" si="51"/>
        <v>0</v>
      </c>
      <c r="U443" s="652">
        <f t="shared" si="56"/>
        <v>0</v>
      </c>
      <c r="V443" s="652">
        <v>0</v>
      </c>
      <c r="W443" s="685">
        <v>0</v>
      </c>
      <c r="X443" s="689">
        <f t="shared" si="52"/>
        <v>0</v>
      </c>
      <c r="Y443" s="689">
        <f t="shared" si="53"/>
        <v>0</v>
      </c>
      <c r="Z443" s="652"/>
      <c r="AA443" s="666" t="s">
        <v>152</v>
      </c>
      <c r="AB443" s="666" t="s">
        <v>158</v>
      </c>
      <c r="AD443" s="665"/>
    </row>
    <row r="444" spans="2:30" hidden="1" x14ac:dyDescent="0.2">
      <c r="B444" s="673" t="s">
        <v>1627</v>
      </c>
      <c r="C444" s="666" t="s">
        <v>2520</v>
      </c>
      <c r="D444" s="666" t="s">
        <v>670</v>
      </c>
      <c r="E444" s="684">
        <v>0</v>
      </c>
      <c r="F444" s="652">
        <f>SUMIFS(OBE!$H:$H,OBE!$C:$C,'Standalone TB'!$B444,OBE!$B:$B,"A21")</f>
        <v>224872.70157632098</v>
      </c>
      <c r="G444" s="652">
        <f>SUMIFS('Elimination - PL'!I:I,'Elimination - PL'!A:A,"EA21",'Elimination - PL'!D:D,'Standalone TB'!B444)</f>
        <v>0</v>
      </c>
      <c r="H444" s="652">
        <f t="shared" si="54"/>
        <v>224872.70157632098</v>
      </c>
      <c r="I444" s="652">
        <v>142017.6863288949</v>
      </c>
      <c r="J444" s="684">
        <v>0</v>
      </c>
      <c r="K444" s="652">
        <f>SUMIFS(OBE!$H:$H,OBE!$C:$C,'Standalone TB'!$B444,OBE!$B:$B,"A22")</f>
        <v>0</v>
      </c>
      <c r="L444" s="652">
        <f>SUMIFS('Elimination - PL'!I:I,'Elimination - PL'!A:A,"EA22",'Elimination - PL'!D:D,'Standalone TB'!B444)</f>
        <v>0</v>
      </c>
      <c r="M444" s="652">
        <f t="shared" si="50"/>
        <v>0</v>
      </c>
      <c r="N444" s="652">
        <f t="shared" si="55"/>
        <v>0</v>
      </c>
      <c r="O444" s="652">
        <v>0</v>
      </c>
      <c r="P444" s="685">
        <v>0</v>
      </c>
      <c r="Q444" s="684">
        <v>0</v>
      </c>
      <c r="R444" s="652">
        <f>SUMIFS(OBE!$H:$H,OBE!$C:$C,'Standalone TB'!$B444,OBE!$B:$B,"A20")</f>
        <v>0</v>
      </c>
      <c r="S444" s="652">
        <f>SUMIFS('Elimination - PL'!I:I,'Elimination - PL'!A:A,"EA20",'Elimination - PL'!D:D,'Standalone TB'!B444)</f>
        <v>0</v>
      </c>
      <c r="T444" s="652">
        <f t="shared" si="51"/>
        <v>0</v>
      </c>
      <c r="U444" s="652">
        <f t="shared" si="56"/>
        <v>0</v>
      </c>
      <c r="V444" s="652">
        <v>0</v>
      </c>
      <c r="W444" s="685">
        <v>0</v>
      </c>
      <c r="X444" s="689">
        <f t="shared" si="52"/>
        <v>224872.70157632098</v>
      </c>
      <c r="Y444" s="689">
        <f t="shared" si="53"/>
        <v>142017.6863288949</v>
      </c>
      <c r="Z444" s="652" t="s">
        <v>800</v>
      </c>
      <c r="AA444" s="666" t="s">
        <v>152</v>
      </c>
      <c r="AB444" s="666" t="s">
        <v>2349</v>
      </c>
      <c r="AD444" s="665"/>
    </row>
    <row r="445" spans="2:30" hidden="1" x14ac:dyDescent="0.2">
      <c r="B445" s="673" t="s">
        <v>2521</v>
      </c>
      <c r="C445" s="666" t="s">
        <v>2522</v>
      </c>
      <c r="D445" s="666" t="s">
        <v>670</v>
      </c>
      <c r="E445" s="684">
        <v>9962893.9699999988</v>
      </c>
      <c r="F445" s="652">
        <f>SUMIFS(OBE!$H:$H,OBE!$C:$C,'Standalone TB'!$B445,OBE!$B:$B,"A21")</f>
        <v>0</v>
      </c>
      <c r="G445" s="652">
        <f>SUMIFS('Elimination - PL'!I:I,'Elimination - PL'!A:A,"EA21",'Elimination - PL'!D:D,'Standalone TB'!B445)</f>
        <v>0</v>
      </c>
      <c r="H445" s="652">
        <f t="shared" si="54"/>
        <v>9962893.9699999988</v>
      </c>
      <c r="I445" s="652">
        <v>-3645206.6799999997</v>
      </c>
      <c r="J445" s="684">
        <v>0</v>
      </c>
      <c r="K445" s="652">
        <f>SUMIFS(OBE!$H:$H,OBE!$C:$C,'Standalone TB'!$B445,OBE!$B:$B,"A22")</f>
        <v>0</v>
      </c>
      <c r="L445" s="652">
        <f>SUMIFS('Elimination - PL'!I:I,'Elimination - PL'!A:A,"EA22",'Elimination - PL'!D:D,'Standalone TB'!B445)</f>
        <v>0</v>
      </c>
      <c r="M445" s="652">
        <f t="shared" si="50"/>
        <v>0</v>
      </c>
      <c r="N445" s="652">
        <f t="shared" si="55"/>
        <v>0</v>
      </c>
      <c r="O445" s="652">
        <v>29271.910000000003</v>
      </c>
      <c r="P445" s="685">
        <v>659747.87072600005</v>
      </c>
      <c r="Q445" s="684">
        <v>27813.42</v>
      </c>
      <c r="R445" s="652">
        <f>SUMIFS(OBE!$H:$H,OBE!$C:$C,'Standalone TB'!$B445,OBE!$B:$B,"A20")</f>
        <v>0</v>
      </c>
      <c r="S445" s="652">
        <f>SUMIFS('Elimination - PL'!I:I,'Elimination - PL'!A:A,"EA20",'Elimination - PL'!D:D,'Standalone TB'!B445)</f>
        <v>0</v>
      </c>
      <c r="T445" s="652">
        <f t="shared" si="51"/>
        <v>27813.42</v>
      </c>
      <c r="U445" s="652">
        <f t="shared" si="56"/>
        <v>2348057.8323731287</v>
      </c>
      <c r="V445" s="652">
        <v>10214.43</v>
      </c>
      <c r="W445" s="685">
        <v>845695.56030600006</v>
      </c>
      <c r="X445" s="689">
        <f t="shared" si="52"/>
        <v>12310951.802373128</v>
      </c>
      <c r="Y445" s="689">
        <f t="shared" si="53"/>
        <v>-2139763.2489679996</v>
      </c>
      <c r="Z445" s="652" t="s">
        <v>809</v>
      </c>
      <c r="AA445" s="666" t="s">
        <v>152</v>
      </c>
      <c r="AB445" s="666" t="s">
        <v>158</v>
      </c>
      <c r="AD445" s="665"/>
    </row>
    <row r="446" spans="2:30" hidden="1" x14ac:dyDescent="0.2">
      <c r="B446" s="833" t="s">
        <v>2523</v>
      </c>
      <c r="C446" s="666" t="s">
        <v>2524</v>
      </c>
      <c r="D446" s="666" t="s">
        <v>670</v>
      </c>
      <c r="E446" s="684">
        <v>1544679.2100000004</v>
      </c>
      <c r="F446" s="652">
        <f>SUMIFS(OBE!$H:$H,OBE!$C:$C,'Standalone TB'!$B446,OBE!$B:$B,"A21")</f>
        <v>0</v>
      </c>
      <c r="G446" s="652">
        <f>SUMIFS('Elimination - PL'!I:I,'Elimination - PL'!A:A,"EA21",'Elimination - PL'!D:D,'Standalone TB'!B446)</f>
        <v>0</v>
      </c>
      <c r="H446" s="652">
        <f t="shared" si="54"/>
        <v>1544679.2100000004</v>
      </c>
      <c r="I446" s="652">
        <v>20081691.559999999</v>
      </c>
      <c r="J446" s="684">
        <v>68690.180000000008</v>
      </c>
      <c r="K446" s="652">
        <f>SUMIFS(OBE!$H:$H,OBE!$C:$C,'Standalone TB'!$B446,OBE!$B:$B,"A22")</f>
        <v>0</v>
      </c>
      <c r="L446" s="652">
        <f>SUMIFS('Elimination - PL'!I:I,'Elimination - PL'!A:A,"EA22",'Elimination - PL'!D:D,'Standalone TB'!B446)</f>
        <v>0</v>
      </c>
      <c r="M446" s="652">
        <f t="shared" si="50"/>
        <v>68690.180000000008</v>
      </c>
      <c r="N446" s="652">
        <f t="shared" si="55"/>
        <v>1578745.6785247205</v>
      </c>
      <c r="O446" s="652">
        <v>-27136.810000000005</v>
      </c>
      <c r="P446" s="685">
        <v>-611625.70586600003</v>
      </c>
      <c r="Q446" s="684">
        <v>5578.4699999999993</v>
      </c>
      <c r="R446" s="652">
        <f>SUMIFS(OBE!$H:$H,OBE!$C:$C,'Standalone TB'!$B446,OBE!$B:$B,"A20")</f>
        <v>0</v>
      </c>
      <c r="S446" s="652">
        <f>SUMIFS('Elimination - PL'!I:I,'Elimination - PL'!A:A,"EA20",'Elimination - PL'!D:D,'Standalone TB'!B446)</f>
        <v>0</v>
      </c>
      <c r="T446" s="652">
        <f t="shared" si="51"/>
        <v>5578.4699999999993</v>
      </c>
      <c r="U446" s="652">
        <f t="shared" si="56"/>
        <v>470944.24835775414</v>
      </c>
      <c r="V446" s="652">
        <v>266553.17000000004</v>
      </c>
      <c r="W446" s="685">
        <v>22069056.467614006</v>
      </c>
      <c r="X446" s="689">
        <f t="shared" si="52"/>
        <v>3594369.1368824751</v>
      </c>
      <c r="Y446" s="689">
        <f t="shared" si="53"/>
        <v>41539122.321748003</v>
      </c>
      <c r="Z446" s="652" t="s">
        <v>809</v>
      </c>
      <c r="AA446" s="666" t="s">
        <v>152</v>
      </c>
      <c r="AB446" s="666" t="s">
        <v>158</v>
      </c>
      <c r="AD446" s="665"/>
    </row>
    <row r="447" spans="2:30" hidden="1" x14ac:dyDescent="0.2">
      <c r="B447" s="673" t="s">
        <v>1463</v>
      </c>
      <c r="C447" s="666" t="s">
        <v>1464</v>
      </c>
      <c r="D447" s="666" t="s">
        <v>670</v>
      </c>
      <c r="E447" s="684">
        <v>42865406.350000001</v>
      </c>
      <c r="F447" s="652">
        <f>SUMIFS(OBE!$H:$H,OBE!$C:$C,'Standalone TB'!$B447,OBE!$B:$B,"A21")</f>
        <v>-18858027.853044301</v>
      </c>
      <c r="G447" s="652">
        <f>SUMIFS('Elimination - PL'!I:I,'Elimination - PL'!A:A,"EA21",'Elimination - PL'!D:D,'Standalone TB'!B447)</f>
        <v>-19691.52</v>
      </c>
      <c r="H447" s="652">
        <f t="shared" si="54"/>
        <v>23987686.976955701</v>
      </c>
      <c r="I447" s="652">
        <v>17861132.07</v>
      </c>
      <c r="J447" s="684">
        <v>458493.77</v>
      </c>
      <c r="K447" s="652">
        <f>SUMIFS(OBE!$H:$H,OBE!$C:$C,'Standalone TB'!$B447,OBE!$B:$B,"A22")</f>
        <v>3994.93</v>
      </c>
      <c r="L447" s="652">
        <f>SUMIFS('Elimination - PL'!I:I,'Elimination - PL'!A:A,"EA22",'Elimination - PL'!D:D,'Standalone TB'!B447)</f>
        <v>-373783.8</v>
      </c>
      <c r="M447" s="652">
        <f t="shared" si="50"/>
        <v>88704.900000000023</v>
      </c>
      <c r="N447" s="652">
        <f t="shared" si="55"/>
        <v>2038755.4311106405</v>
      </c>
      <c r="O447" s="652">
        <v>68741.489999999991</v>
      </c>
      <c r="P447" s="685">
        <v>1549336.9465139997</v>
      </c>
      <c r="Q447" s="684">
        <v>233968.81</v>
      </c>
      <c r="R447" s="652">
        <f>SUMIFS(OBE!$H:$H,OBE!$C:$C,'Standalone TB'!$B447,OBE!$B:$B,"A20")</f>
        <v>-69607.27</v>
      </c>
      <c r="S447" s="652">
        <f>SUMIFS('Elimination - PL'!I:I,'Elimination - PL'!A:A,"EA20",'Elimination - PL'!D:D,'Standalone TB'!B447)</f>
        <v>-125759.89</v>
      </c>
      <c r="T447" s="652">
        <f t="shared" si="51"/>
        <v>38601.64999999998</v>
      </c>
      <c r="U447" s="652">
        <f t="shared" si="56"/>
        <v>3258819.1824315796</v>
      </c>
      <c r="V447" s="652">
        <v>171804.08999999994</v>
      </c>
      <c r="W447" s="685">
        <v>14224382.188277995</v>
      </c>
      <c r="X447" s="689">
        <f t="shared" si="52"/>
        <v>29285261.590497918</v>
      </c>
      <c r="Y447" s="689">
        <f t="shared" si="53"/>
        <v>33634851.204791993</v>
      </c>
      <c r="Z447" s="666" t="s">
        <v>784</v>
      </c>
      <c r="AA447" s="666" t="s">
        <v>152</v>
      </c>
      <c r="AB447" s="666" t="s">
        <v>784</v>
      </c>
      <c r="AD447" s="665"/>
    </row>
    <row r="448" spans="2:30" hidden="1" x14ac:dyDescent="0.2">
      <c r="B448" s="673" t="s">
        <v>2525</v>
      </c>
      <c r="C448" s="666" t="s">
        <v>2526</v>
      </c>
      <c r="D448" s="666" t="s">
        <v>670</v>
      </c>
      <c r="E448" s="684">
        <v>50466600.750000007</v>
      </c>
      <c r="F448" s="652">
        <f>SUMIFS(OBE!$H:$H,OBE!$C:$C,'Standalone TB'!$B448,OBE!$B:$B,"A21")</f>
        <v>0</v>
      </c>
      <c r="G448" s="652">
        <f>SUMIFS('Elimination - PL'!I:I,'Elimination - PL'!A:A,"EA21",'Elimination - PL'!D:D,'Standalone TB'!B448)</f>
        <v>0</v>
      </c>
      <c r="H448" s="652">
        <f t="shared" si="54"/>
        <v>50466600.750000007</v>
      </c>
      <c r="I448" s="652">
        <v>63216988.310000002</v>
      </c>
      <c r="J448" s="684">
        <v>0</v>
      </c>
      <c r="K448" s="652">
        <f>SUMIFS(OBE!$H:$H,OBE!$C:$C,'Standalone TB'!$B448,OBE!$B:$B,"A22")</f>
        <v>0</v>
      </c>
      <c r="L448" s="652">
        <f>SUMIFS('Elimination - PL'!I:I,'Elimination - PL'!A:A,"EA22",'Elimination - PL'!D:D,'Standalone TB'!B448)</f>
        <v>0</v>
      </c>
      <c r="M448" s="652">
        <f t="shared" si="50"/>
        <v>0</v>
      </c>
      <c r="N448" s="652">
        <f t="shared" si="55"/>
        <v>0</v>
      </c>
      <c r="O448" s="652">
        <v>0</v>
      </c>
      <c r="P448" s="685">
        <v>0</v>
      </c>
      <c r="Q448" s="684">
        <v>10579.17</v>
      </c>
      <c r="R448" s="652">
        <f>SUMIFS(OBE!$H:$H,OBE!$C:$C,'Standalone TB'!$B448,OBE!$B:$B,"A20")</f>
        <v>0</v>
      </c>
      <c r="S448" s="652">
        <f>SUMIFS('Elimination - PL'!I:I,'Elimination - PL'!A:A,"EA20",'Elimination - PL'!D:D,'Standalone TB'!B448)</f>
        <v>0</v>
      </c>
      <c r="T448" s="652">
        <f t="shared" si="51"/>
        <v>10579.17</v>
      </c>
      <c r="U448" s="652">
        <f t="shared" si="56"/>
        <v>893112.13718078658</v>
      </c>
      <c r="V448" s="652">
        <v>12489.6</v>
      </c>
      <c r="W448" s="685">
        <v>1034066.4403200001</v>
      </c>
      <c r="X448" s="689">
        <f t="shared" si="52"/>
        <v>51359712.88718079</v>
      </c>
      <c r="Y448" s="689">
        <f t="shared" si="53"/>
        <v>64251054.750320002</v>
      </c>
      <c r="Z448" s="652" t="s">
        <v>809</v>
      </c>
      <c r="AA448" s="666" t="s">
        <v>152</v>
      </c>
      <c r="AB448" s="666" t="s">
        <v>158</v>
      </c>
      <c r="AD448" s="665"/>
    </row>
    <row r="449" spans="2:30" hidden="1" x14ac:dyDescent="0.2">
      <c r="B449" s="673" t="s">
        <v>1580</v>
      </c>
      <c r="C449" s="666" t="s">
        <v>2527</v>
      </c>
      <c r="D449" s="666" t="s">
        <v>670</v>
      </c>
      <c r="E449" s="684">
        <v>157001.77000000002</v>
      </c>
      <c r="F449" s="652">
        <f>SUMIFS(OBE!$H:$H,OBE!$C:$C,'Standalone TB'!$B449,OBE!$B:$B,"A21")</f>
        <v>3792281.69</v>
      </c>
      <c r="G449" s="652">
        <f>SUMIFS('Elimination - PL'!I:I,'Elimination - PL'!A:A,"EA21",'Elimination - PL'!D:D,'Standalone TB'!B449)</f>
        <v>0</v>
      </c>
      <c r="H449" s="652">
        <f t="shared" si="54"/>
        <v>3949283.46</v>
      </c>
      <c r="I449" s="652">
        <v>658419.66999999993</v>
      </c>
      <c r="J449" s="684">
        <v>0</v>
      </c>
      <c r="K449" s="652">
        <f>SUMIFS(OBE!$H:$H,OBE!$C:$C,'Standalone TB'!$B449,OBE!$B:$B,"A22")</f>
        <v>0</v>
      </c>
      <c r="L449" s="652">
        <f>SUMIFS('Elimination - PL'!I:I,'Elimination - PL'!A:A,"EA22",'Elimination - PL'!D:D,'Standalone TB'!B449)</f>
        <v>0</v>
      </c>
      <c r="M449" s="652">
        <f t="shared" si="50"/>
        <v>0</v>
      </c>
      <c r="N449" s="652">
        <f t="shared" si="55"/>
        <v>0</v>
      </c>
      <c r="O449" s="652">
        <v>0</v>
      </c>
      <c r="P449" s="685">
        <v>0</v>
      </c>
      <c r="Q449" s="684">
        <v>1861.01</v>
      </c>
      <c r="R449" s="652">
        <f>SUMIFS(OBE!$H:$H,OBE!$C:$C,'Standalone TB'!$B449,OBE!$B:$B,"A20")</f>
        <v>0</v>
      </c>
      <c r="S449" s="652">
        <f>SUMIFS('Elimination - PL'!I:I,'Elimination - PL'!A:A,"EA20",'Elimination - PL'!D:D,'Standalone TB'!B449)</f>
        <v>0</v>
      </c>
      <c r="T449" s="652">
        <f t="shared" si="51"/>
        <v>1861.01</v>
      </c>
      <c r="U449" s="652">
        <f t="shared" si="56"/>
        <v>157109.73719250335</v>
      </c>
      <c r="V449" s="652">
        <v>2517.42</v>
      </c>
      <c r="W449" s="685">
        <v>208427.77496400001</v>
      </c>
      <c r="X449" s="689">
        <f t="shared" si="52"/>
        <v>4106393.1971925031</v>
      </c>
      <c r="Y449" s="689">
        <f t="shared" si="53"/>
        <v>866847.44496399991</v>
      </c>
      <c r="Z449" s="652" t="s">
        <v>809</v>
      </c>
      <c r="AA449" s="666" t="s">
        <v>152</v>
      </c>
      <c r="AB449" s="666" t="s">
        <v>158</v>
      </c>
      <c r="AD449" s="665"/>
    </row>
    <row r="450" spans="2:30" hidden="1" x14ac:dyDescent="0.2">
      <c r="B450" s="673" t="s">
        <v>2528</v>
      </c>
      <c r="C450" s="666" t="s">
        <v>2529</v>
      </c>
      <c r="D450" s="666" t="s">
        <v>670</v>
      </c>
      <c r="E450" s="684">
        <v>929219.49</v>
      </c>
      <c r="F450" s="652">
        <f>SUMIFS(OBE!$H:$H,OBE!$C:$C,'Standalone TB'!$B450,OBE!$B:$B,"A21")</f>
        <v>0</v>
      </c>
      <c r="G450" s="652">
        <f>SUMIFS('Elimination - PL'!I:I,'Elimination - PL'!A:A,"EA21",'Elimination - PL'!D:D,'Standalone TB'!B450)</f>
        <v>0</v>
      </c>
      <c r="H450" s="652">
        <f t="shared" si="54"/>
        <v>929219.49</v>
      </c>
      <c r="I450" s="652">
        <v>-860820</v>
      </c>
      <c r="J450" s="684">
        <v>0</v>
      </c>
      <c r="K450" s="652">
        <f>SUMIFS(OBE!$H:$H,OBE!$C:$C,'Standalone TB'!$B450,OBE!$B:$B,"A22")</f>
        <v>0</v>
      </c>
      <c r="L450" s="652">
        <f>SUMIFS('Elimination - PL'!I:I,'Elimination - PL'!A:A,"EA22",'Elimination - PL'!D:D,'Standalone TB'!B450)</f>
        <v>0</v>
      </c>
      <c r="M450" s="652">
        <f t="shared" si="50"/>
        <v>0</v>
      </c>
      <c r="N450" s="652">
        <f t="shared" si="55"/>
        <v>0</v>
      </c>
      <c r="O450" s="652">
        <v>0</v>
      </c>
      <c r="P450" s="685">
        <v>0</v>
      </c>
      <c r="Q450" s="684">
        <v>4325.82</v>
      </c>
      <c r="R450" s="652">
        <f>SUMIFS(OBE!$H:$H,OBE!$C:$C,'Standalone TB'!$B450,OBE!$B:$B,"A20")</f>
        <v>0</v>
      </c>
      <c r="S450" s="652">
        <f>SUMIFS('Elimination - PL'!I:I,'Elimination - PL'!A:A,"EA20",'Elimination - PL'!D:D,'Standalone TB'!B450)</f>
        <v>0</v>
      </c>
      <c r="T450" s="652">
        <f t="shared" si="51"/>
        <v>4325.82</v>
      </c>
      <c r="U450" s="652">
        <f t="shared" si="56"/>
        <v>365193.33229916811</v>
      </c>
      <c r="V450" s="652">
        <v>33290.01</v>
      </c>
      <c r="W450" s="685">
        <v>2756219.7459420003</v>
      </c>
      <c r="X450" s="689">
        <f t="shared" si="52"/>
        <v>1294412.822299168</v>
      </c>
      <c r="Y450" s="689">
        <f t="shared" si="53"/>
        <v>1895399.7459420003</v>
      </c>
      <c r="Z450" s="652" t="s">
        <v>809</v>
      </c>
      <c r="AA450" s="666" t="s">
        <v>152</v>
      </c>
      <c r="AB450" s="666" t="s">
        <v>158</v>
      </c>
      <c r="AD450" s="665"/>
    </row>
    <row r="451" spans="2:30" hidden="1" x14ac:dyDescent="0.2">
      <c r="B451" s="673" t="s">
        <v>2530</v>
      </c>
      <c r="C451" s="666" t="s">
        <v>2531</v>
      </c>
      <c r="D451" s="666" t="s">
        <v>670</v>
      </c>
      <c r="E451" s="684">
        <v>74326.92</v>
      </c>
      <c r="F451" s="652">
        <f>SUMIFS(OBE!$H:$H,OBE!$C:$C,'Standalone TB'!$B451,OBE!$B:$B,"A21")</f>
        <v>0</v>
      </c>
      <c r="G451" s="652">
        <f>SUMIFS('Elimination - PL'!I:I,'Elimination - PL'!A:A,"EA21",'Elimination - PL'!D:D,'Standalone TB'!B451)</f>
        <v>0</v>
      </c>
      <c r="H451" s="652">
        <f t="shared" si="54"/>
        <v>74326.92</v>
      </c>
      <c r="I451" s="652">
        <v>-32210</v>
      </c>
      <c r="J451" s="684">
        <v>0</v>
      </c>
      <c r="K451" s="652">
        <f>SUMIFS(OBE!$H:$H,OBE!$C:$C,'Standalone TB'!$B451,OBE!$B:$B,"A22")</f>
        <v>0</v>
      </c>
      <c r="L451" s="652">
        <f>SUMIFS('Elimination - PL'!I:I,'Elimination - PL'!A:A,"EA22",'Elimination - PL'!D:D,'Standalone TB'!B451)</f>
        <v>0</v>
      </c>
      <c r="M451" s="652">
        <f t="shared" si="50"/>
        <v>0</v>
      </c>
      <c r="N451" s="652">
        <f t="shared" si="55"/>
        <v>0</v>
      </c>
      <c r="O451" s="652">
        <v>0</v>
      </c>
      <c r="P451" s="685">
        <v>0</v>
      </c>
      <c r="Q451" s="684">
        <v>4370.25</v>
      </c>
      <c r="R451" s="652">
        <f>SUMIFS(OBE!$H:$H,OBE!$C:$C,'Standalone TB'!$B451,OBE!$B:$B,"A20")</f>
        <v>0</v>
      </c>
      <c r="S451" s="652">
        <f>SUMIFS('Elimination - PL'!I:I,'Elimination - PL'!A:A,"EA20",'Elimination - PL'!D:D,'Standalone TB'!B451)</f>
        <v>0</v>
      </c>
      <c r="T451" s="652">
        <f t="shared" si="51"/>
        <v>4370.25</v>
      </c>
      <c r="U451" s="652">
        <f t="shared" si="56"/>
        <v>368944.19103902602</v>
      </c>
      <c r="V451" s="652">
        <v>3490.19</v>
      </c>
      <c r="W451" s="685">
        <v>288967.48889800004</v>
      </c>
      <c r="X451" s="689">
        <f t="shared" si="52"/>
        <v>443271.111039026</v>
      </c>
      <c r="Y451" s="689">
        <f t="shared" si="53"/>
        <v>256757.48889800004</v>
      </c>
      <c r="Z451" s="652" t="s">
        <v>809</v>
      </c>
      <c r="AA451" s="666" t="s">
        <v>152</v>
      </c>
      <c r="AB451" s="666" t="s">
        <v>158</v>
      </c>
      <c r="AD451" s="665"/>
    </row>
    <row r="452" spans="2:30" hidden="1" x14ac:dyDescent="0.2">
      <c r="B452" s="673" t="s">
        <v>2532</v>
      </c>
      <c r="C452" s="666" t="s">
        <v>2382</v>
      </c>
      <c r="D452" s="666" t="s">
        <v>670</v>
      </c>
      <c r="E452" s="684">
        <v>0</v>
      </c>
      <c r="F452" s="652">
        <f>SUMIFS(OBE!$H:$H,OBE!$C:$C,'Standalone TB'!$B452,OBE!$B:$B,"A21")</f>
        <v>0</v>
      </c>
      <c r="G452" s="652">
        <f>SUMIFS('Elimination - PL'!I:I,'Elimination - PL'!A:A,"EA21",'Elimination - PL'!D:D,'Standalone TB'!B452)</f>
        <v>0</v>
      </c>
      <c r="H452" s="652">
        <f t="shared" si="54"/>
        <v>0</v>
      </c>
      <c r="I452" s="652">
        <v>1182325.55</v>
      </c>
      <c r="J452" s="684">
        <v>0</v>
      </c>
      <c r="K452" s="652">
        <f>SUMIFS(OBE!$H:$H,OBE!$C:$C,'Standalone TB'!$B452,OBE!$B:$B,"A22")</f>
        <v>0</v>
      </c>
      <c r="L452" s="652">
        <f>SUMIFS('Elimination - PL'!I:I,'Elimination - PL'!A:A,"EA22",'Elimination - PL'!D:D,'Standalone TB'!B452)</f>
        <v>0</v>
      </c>
      <c r="M452" s="652">
        <f t="shared" si="50"/>
        <v>0</v>
      </c>
      <c r="N452" s="652">
        <f t="shared" si="55"/>
        <v>0</v>
      </c>
      <c r="O452" s="652">
        <v>71278.490000000005</v>
      </c>
      <c r="P452" s="685">
        <v>1606517.3747140002</v>
      </c>
      <c r="Q452" s="684">
        <v>0</v>
      </c>
      <c r="R452" s="652">
        <f>SUMIFS(OBE!$H:$H,OBE!$C:$C,'Standalone TB'!$B452,OBE!$B:$B,"A20")</f>
        <v>0</v>
      </c>
      <c r="S452" s="652">
        <f>SUMIFS('Elimination - PL'!I:I,'Elimination - PL'!A:A,"EA20",'Elimination - PL'!D:D,'Standalone TB'!B452)</f>
        <v>0</v>
      </c>
      <c r="T452" s="652">
        <f t="shared" si="51"/>
        <v>0</v>
      </c>
      <c r="U452" s="652">
        <f t="shared" si="56"/>
        <v>0</v>
      </c>
      <c r="V452" s="652">
        <v>7488.2299999999987</v>
      </c>
      <c r="W452" s="685">
        <v>619982.01226599992</v>
      </c>
      <c r="X452" s="689">
        <f t="shared" si="52"/>
        <v>0</v>
      </c>
      <c r="Y452" s="689">
        <f t="shared" si="53"/>
        <v>3408824.9369799998</v>
      </c>
      <c r="Z452" s="652" t="s">
        <v>809</v>
      </c>
      <c r="AA452" s="666" t="s">
        <v>152</v>
      </c>
      <c r="AB452" s="666" t="s">
        <v>158</v>
      </c>
      <c r="AD452" s="665"/>
    </row>
    <row r="453" spans="2:30" hidden="1" x14ac:dyDescent="0.2">
      <c r="B453" s="673" t="s">
        <v>1582</v>
      </c>
      <c r="C453" s="666" t="s">
        <v>2533</v>
      </c>
      <c r="D453" s="666" t="s">
        <v>670</v>
      </c>
      <c r="E453" s="684">
        <v>0</v>
      </c>
      <c r="F453" s="652">
        <f>SUMIFS(OBE!$H:$H,OBE!$C:$C,'Standalone TB'!$B453,OBE!$B:$B,"A21")</f>
        <v>51451.199999999997</v>
      </c>
      <c r="G453" s="652">
        <f>SUMIFS('Elimination - PL'!I:I,'Elimination - PL'!A:A,"EA21",'Elimination - PL'!D:D,'Standalone TB'!B453)</f>
        <v>0</v>
      </c>
      <c r="H453" s="652">
        <f t="shared" si="54"/>
        <v>51451.199999999997</v>
      </c>
      <c r="I453" s="652">
        <v>54161.72</v>
      </c>
      <c r="J453" s="684">
        <v>0</v>
      </c>
      <c r="K453" s="652">
        <f>SUMIFS(OBE!$H:$H,OBE!$C:$C,'Standalone TB'!$B453,OBE!$B:$B,"A22")</f>
        <v>774.94</v>
      </c>
      <c r="L453" s="652">
        <f>SUMIFS('Elimination - PL'!I:I,'Elimination - PL'!A:A,"EA22",'Elimination - PL'!D:D,'Standalone TB'!B453)</f>
        <v>0</v>
      </c>
      <c r="M453" s="652">
        <f t="shared" si="50"/>
        <v>774.94</v>
      </c>
      <c r="N453" s="652">
        <f t="shared" si="55"/>
        <v>17810.88906909178</v>
      </c>
      <c r="O453" s="652">
        <v>1036.77</v>
      </c>
      <c r="P453" s="685">
        <v>23367.344321999997</v>
      </c>
      <c r="Q453" s="684">
        <v>0</v>
      </c>
      <c r="R453" s="652">
        <f>SUMIFS(OBE!$H:$H,OBE!$C:$C,'Standalone TB'!$B453,OBE!$B:$B,"A20")</f>
        <v>0</v>
      </c>
      <c r="S453" s="652">
        <f>SUMIFS('Elimination - PL'!I:I,'Elimination - PL'!A:A,"EA20",'Elimination - PL'!D:D,'Standalone TB'!B453)</f>
        <v>0</v>
      </c>
      <c r="T453" s="652">
        <f t="shared" si="51"/>
        <v>0</v>
      </c>
      <c r="U453" s="652">
        <f t="shared" si="56"/>
        <v>0</v>
      </c>
      <c r="V453" s="652">
        <v>0</v>
      </c>
      <c r="W453" s="685">
        <v>0</v>
      </c>
      <c r="X453" s="689">
        <f t="shared" si="52"/>
        <v>69262.089069091773</v>
      </c>
      <c r="Y453" s="689">
        <f t="shared" si="53"/>
        <v>77529.064321999991</v>
      </c>
      <c r="Z453" s="652" t="s">
        <v>809</v>
      </c>
      <c r="AA453" s="666" t="s">
        <v>152</v>
      </c>
      <c r="AB453" s="666" t="s">
        <v>158</v>
      </c>
      <c r="AD453" s="665"/>
    </row>
    <row r="454" spans="2:30" hidden="1" x14ac:dyDescent="0.2">
      <c r="B454" s="673" t="s">
        <v>1584</v>
      </c>
      <c r="C454" s="666" t="s">
        <v>2534</v>
      </c>
      <c r="D454" s="666" t="s">
        <v>670</v>
      </c>
      <c r="E454" s="684">
        <v>0</v>
      </c>
      <c r="F454" s="652">
        <f>SUMIFS(OBE!$H:$H,OBE!$C:$C,'Standalone TB'!$B454,OBE!$B:$B,"A21")</f>
        <v>241190.25</v>
      </c>
      <c r="G454" s="652">
        <f>SUMIFS('Elimination - PL'!I:I,'Elimination - PL'!A:A,"EA21",'Elimination - PL'!D:D,'Standalone TB'!B454)</f>
        <v>0</v>
      </c>
      <c r="H454" s="652">
        <f t="shared" si="54"/>
        <v>241190.25</v>
      </c>
      <c r="I454" s="652">
        <v>-79216.12</v>
      </c>
      <c r="J454" s="684">
        <v>0</v>
      </c>
      <c r="K454" s="652">
        <f>SUMIFS(OBE!$H:$H,OBE!$C:$C,'Standalone TB'!$B454,OBE!$B:$B,"A22")</f>
        <v>0</v>
      </c>
      <c r="L454" s="652">
        <f>SUMIFS('Elimination - PL'!I:I,'Elimination - PL'!A:A,"EA22",'Elimination - PL'!D:D,'Standalone TB'!B454)</f>
        <v>0</v>
      </c>
      <c r="M454" s="652">
        <f t="shared" si="50"/>
        <v>0</v>
      </c>
      <c r="N454" s="652">
        <f t="shared" si="55"/>
        <v>0</v>
      </c>
      <c r="O454" s="652">
        <v>12285.41</v>
      </c>
      <c r="P454" s="685">
        <v>276895.94182599999</v>
      </c>
      <c r="Q454" s="684">
        <v>0</v>
      </c>
      <c r="R454" s="652">
        <f>SUMIFS(OBE!$H:$H,OBE!$C:$C,'Standalone TB'!$B454,OBE!$B:$B,"A20")</f>
        <v>0</v>
      </c>
      <c r="S454" s="652">
        <f>SUMIFS('Elimination - PL'!I:I,'Elimination - PL'!A:A,"EA20",'Elimination - PL'!D:D,'Standalone TB'!B454)</f>
        <v>0</v>
      </c>
      <c r="T454" s="652">
        <f t="shared" si="51"/>
        <v>0</v>
      </c>
      <c r="U454" s="652">
        <f t="shared" si="56"/>
        <v>0</v>
      </c>
      <c r="V454" s="652">
        <v>0</v>
      </c>
      <c r="W454" s="685">
        <v>0</v>
      </c>
      <c r="X454" s="689">
        <f t="shared" si="52"/>
        <v>241190.25</v>
      </c>
      <c r="Y454" s="689">
        <f t="shared" si="53"/>
        <v>197679.821826</v>
      </c>
      <c r="Z454" s="652" t="s">
        <v>809</v>
      </c>
      <c r="AA454" s="666" t="s">
        <v>152</v>
      </c>
      <c r="AB454" s="666" t="s">
        <v>158</v>
      </c>
      <c r="AD454" s="665"/>
    </row>
    <row r="455" spans="2:30" hidden="1" x14ac:dyDescent="0.2">
      <c r="B455" s="673" t="s">
        <v>2535</v>
      </c>
      <c r="C455" s="666" t="s">
        <v>2536</v>
      </c>
      <c r="D455" s="666" t="s">
        <v>670</v>
      </c>
      <c r="E455" s="684">
        <v>0</v>
      </c>
      <c r="F455" s="652">
        <f>SUMIFS(OBE!$H:$H,OBE!$C:$C,'Standalone TB'!$B455,OBE!$B:$B,"A21")</f>
        <v>0</v>
      </c>
      <c r="G455" s="652">
        <f>SUMIFS('Elimination - PL'!I:I,'Elimination - PL'!A:A,"EA21",'Elimination - PL'!D:D,'Standalone TB'!B455)</f>
        <v>0</v>
      </c>
      <c r="H455" s="652">
        <f t="shared" si="54"/>
        <v>0</v>
      </c>
      <c r="I455" s="652">
        <v>22128.89</v>
      </c>
      <c r="J455" s="684">
        <v>0</v>
      </c>
      <c r="K455" s="652">
        <f>SUMIFS(OBE!$H:$H,OBE!$C:$C,'Standalone TB'!$B455,OBE!$B:$B,"A22")</f>
        <v>0</v>
      </c>
      <c r="L455" s="652">
        <f>SUMIFS('Elimination - PL'!I:I,'Elimination - PL'!A:A,"EA22",'Elimination - PL'!D:D,'Standalone TB'!B455)</f>
        <v>0</v>
      </c>
      <c r="M455" s="652">
        <f t="shared" si="50"/>
        <v>0</v>
      </c>
      <c r="N455" s="652">
        <f t="shared" si="55"/>
        <v>0</v>
      </c>
      <c r="O455" s="652">
        <v>0</v>
      </c>
      <c r="P455" s="685">
        <v>0</v>
      </c>
      <c r="Q455" s="684">
        <v>0</v>
      </c>
      <c r="R455" s="652">
        <f>SUMIFS(OBE!$H:$H,OBE!$C:$C,'Standalone TB'!$B455,OBE!$B:$B,"A20")</f>
        <v>0</v>
      </c>
      <c r="S455" s="652">
        <f>SUMIFS('Elimination - PL'!I:I,'Elimination - PL'!A:A,"EA20",'Elimination - PL'!D:D,'Standalone TB'!B455)</f>
        <v>0</v>
      </c>
      <c r="T455" s="652">
        <f t="shared" si="51"/>
        <v>0</v>
      </c>
      <c r="U455" s="652">
        <f t="shared" si="56"/>
        <v>0</v>
      </c>
      <c r="V455" s="652">
        <v>0</v>
      </c>
      <c r="W455" s="685">
        <v>0</v>
      </c>
      <c r="X455" s="689">
        <f t="shared" si="52"/>
        <v>0</v>
      </c>
      <c r="Y455" s="689">
        <f t="shared" si="53"/>
        <v>22128.89</v>
      </c>
      <c r="Z455" s="652" t="s">
        <v>809</v>
      </c>
      <c r="AA455" s="666" t="s">
        <v>152</v>
      </c>
      <c r="AB455" s="666" t="s">
        <v>158</v>
      </c>
      <c r="AD455" s="665"/>
    </row>
    <row r="456" spans="2:30" hidden="1" x14ac:dyDescent="0.2">
      <c r="B456" s="673" t="s">
        <v>2537</v>
      </c>
      <c r="C456" s="666" t="s">
        <v>2538</v>
      </c>
      <c r="D456" s="666" t="s">
        <v>670</v>
      </c>
      <c r="E456" s="684">
        <v>0</v>
      </c>
      <c r="F456" s="652">
        <f>SUMIFS(OBE!$H:$H,OBE!$C:$C,'Standalone TB'!$B456,OBE!$B:$B,"A21")</f>
        <v>0</v>
      </c>
      <c r="G456" s="652">
        <f>SUMIFS('Elimination - PL'!I:I,'Elimination - PL'!A:A,"EA21",'Elimination - PL'!D:D,'Standalone TB'!B456)</f>
        <v>0</v>
      </c>
      <c r="H456" s="652">
        <f t="shared" si="54"/>
        <v>0</v>
      </c>
      <c r="I456" s="652">
        <v>132011.41999999998</v>
      </c>
      <c r="J456" s="684">
        <v>0</v>
      </c>
      <c r="K456" s="652">
        <f>SUMIFS(OBE!$H:$H,OBE!$C:$C,'Standalone TB'!$B456,OBE!$B:$B,"A22")</f>
        <v>0</v>
      </c>
      <c r="L456" s="652">
        <f>SUMIFS('Elimination - PL'!I:I,'Elimination - PL'!A:A,"EA22",'Elimination - PL'!D:D,'Standalone TB'!B456)</f>
        <v>0</v>
      </c>
      <c r="M456" s="652">
        <f t="shared" ref="M456:M519" si="57">SUM(J456:L456)</f>
        <v>0</v>
      </c>
      <c r="N456" s="652">
        <f t="shared" si="55"/>
        <v>0</v>
      </c>
      <c r="O456" s="652">
        <v>878.23999999999978</v>
      </c>
      <c r="P456" s="685">
        <v>19794.300063999995</v>
      </c>
      <c r="Q456" s="684">
        <v>0</v>
      </c>
      <c r="R456" s="652">
        <f>SUMIFS(OBE!$H:$H,OBE!$C:$C,'Standalone TB'!$B456,OBE!$B:$B,"A20")</f>
        <v>0</v>
      </c>
      <c r="S456" s="652">
        <f>SUMIFS('Elimination - PL'!I:I,'Elimination - PL'!A:A,"EA20",'Elimination - PL'!D:D,'Standalone TB'!B456)</f>
        <v>0</v>
      </c>
      <c r="T456" s="652">
        <f t="shared" ref="T456:T519" si="58">SUM(Q456:S456)</f>
        <v>0</v>
      </c>
      <c r="U456" s="652">
        <f t="shared" si="56"/>
        <v>0</v>
      </c>
      <c r="V456" s="652">
        <v>0</v>
      </c>
      <c r="W456" s="685">
        <v>0</v>
      </c>
      <c r="X456" s="689">
        <f t="shared" ref="X456:X519" si="59">H456+N456+U456</f>
        <v>0</v>
      </c>
      <c r="Y456" s="689">
        <f t="shared" ref="Y456:Y519" si="60">I456+P456+W456</f>
        <v>151805.72006399999</v>
      </c>
      <c r="Z456" s="652" t="s">
        <v>809</v>
      </c>
      <c r="AA456" s="666" t="s">
        <v>152</v>
      </c>
      <c r="AB456" s="666" t="s">
        <v>158</v>
      </c>
      <c r="AD456" s="665"/>
    </row>
    <row r="457" spans="2:30" hidden="1" x14ac:dyDescent="0.2">
      <c r="B457" s="673" t="s">
        <v>1587</v>
      </c>
      <c r="C457" s="666" t="s">
        <v>2539</v>
      </c>
      <c r="D457" s="666" t="s">
        <v>670</v>
      </c>
      <c r="E457" s="684">
        <v>0</v>
      </c>
      <c r="F457" s="652">
        <f>SUMIFS(OBE!$H:$H,OBE!$C:$C,'Standalone TB'!$B457,OBE!$B:$B,"A21")</f>
        <v>0</v>
      </c>
      <c r="G457" s="652">
        <f>SUMIFS('Elimination - PL'!I:I,'Elimination - PL'!A:A,"EA21",'Elimination - PL'!D:D,'Standalone TB'!B457)</f>
        <v>0</v>
      </c>
      <c r="H457" s="652">
        <f t="shared" si="54"/>
        <v>0</v>
      </c>
      <c r="I457" s="652">
        <v>5321625.7199999988</v>
      </c>
      <c r="J457" s="684">
        <v>0</v>
      </c>
      <c r="K457" s="652">
        <f>SUMIFS(OBE!$H:$H,OBE!$C:$C,'Standalone TB'!$B457,OBE!$B:$B,"A22")</f>
        <v>78901.350000000006</v>
      </c>
      <c r="L457" s="652">
        <f>SUMIFS('Elimination - PL'!I:I,'Elimination - PL'!A:A,"EA22",'Elimination - PL'!D:D,'Standalone TB'!B457)</f>
        <v>0</v>
      </c>
      <c r="M457" s="652">
        <f t="shared" si="57"/>
        <v>78901.350000000006</v>
      </c>
      <c r="N457" s="652">
        <f t="shared" si="55"/>
        <v>1813434.8365700373</v>
      </c>
      <c r="O457" s="652">
        <v>0</v>
      </c>
      <c r="P457" s="685">
        <v>0</v>
      </c>
      <c r="Q457" s="684">
        <v>0</v>
      </c>
      <c r="R457" s="652">
        <f>SUMIFS(OBE!$H:$H,OBE!$C:$C,'Standalone TB'!$B457,OBE!$B:$B,"A20")</f>
        <v>9445.99</v>
      </c>
      <c r="S457" s="652">
        <f>SUMIFS('Elimination - PL'!I:I,'Elimination - PL'!A:A,"EA20",'Elimination - PL'!D:D,'Standalone TB'!B457)</f>
        <v>0</v>
      </c>
      <c r="T457" s="652">
        <f t="shared" si="58"/>
        <v>9445.99</v>
      </c>
      <c r="U457" s="652">
        <f t="shared" si="56"/>
        <v>797447.08863628597</v>
      </c>
      <c r="V457" s="652">
        <v>1592.4799999999998</v>
      </c>
      <c r="W457" s="685">
        <v>131848.10761599999</v>
      </c>
      <c r="X457" s="689">
        <f t="shared" si="59"/>
        <v>2610881.9252063232</v>
      </c>
      <c r="Y457" s="689">
        <f t="shared" si="60"/>
        <v>5453473.8276159987</v>
      </c>
      <c r="Z457" s="652" t="s">
        <v>809</v>
      </c>
      <c r="AA457" s="666" t="s">
        <v>152</v>
      </c>
      <c r="AB457" s="666" t="s">
        <v>158</v>
      </c>
      <c r="AD457" s="665"/>
    </row>
    <row r="458" spans="2:30" hidden="1" x14ac:dyDescent="0.2">
      <c r="B458" s="833" t="s">
        <v>2540</v>
      </c>
      <c r="C458" s="666" t="s">
        <v>2541</v>
      </c>
      <c r="D458" s="666" t="s">
        <v>670</v>
      </c>
      <c r="E458" s="684">
        <v>1492792.8</v>
      </c>
      <c r="F458" s="652">
        <f>SUMIFS(OBE!$H:$H,OBE!$C:$C,'Standalone TB'!$B458,OBE!$B:$B,"A21")</f>
        <v>0</v>
      </c>
      <c r="G458" s="652">
        <f>SUMIFS('Elimination - PL'!I:I,'Elimination - PL'!A:A,"EA21",'Elimination - PL'!D:D,'Standalone TB'!B458)</f>
        <v>0</v>
      </c>
      <c r="H458" s="652">
        <f t="shared" si="54"/>
        <v>1492792.8</v>
      </c>
      <c r="I458" s="652">
        <v>0</v>
      </c>
      <c r="J458" s="684">
        <v>0</v>
      </c>
      <c r="K458" s="652">
        <f>SUMIFS(OBE!$H:$H,OBE!$C:$C,'Standalone TB'!$B458,OBE!$B:$B,"A22")</f>
        <v>0</v>
      </c>
      <c r="L458" s="652">
        <f>SUMIFS('Elimination - PL'!I:I,'Elimination - PL'!A:A,"EA22",'Elimination - PL'!D:D,'Standalone TB'!B458)</f>
        <v>0</v>
      </c>
      <c r="M458" s="652">
        <f t="shared" si="57"/>
        <v>0</v>
      </c>
      <c r="N458" s="652">
        <f t="shared" si="55"/>
        <v>0</v>
      </c>
      <c r="O458" s="652">
        <v>0</v>
      </c>
      <c r="P458" s="685">
        <v>0</v>
      </c>
      <c r="Q458" s="684">
        <v>2750.38</v>
      </c>
      <c r="R458" s="652">
        <f>SUMIFS(OBE!$H:$H,OBE!$C:$C,'Standalone TB'!$B458,OBE!$B:$B,"A20")</f>
        <v>0</v>
      </c>
      <c r="S458" s="652">
        <f>SUMIFS('Elimination - PL'!I:I,'Elimination - PL'!A:A,"EA20",'Elimination - PL'!D:D,'Standalone TB'!B458)</f>
        <v>0</v>
      </c>
      <c r="T458" s="652">
        <f t="shared" si="58"/>
        <v>2750.38</v>
      </c>
      <c r="U458" s="652">
        <f t="shared" si="56"/>
        <v>232191.91674387423</v>
      </c>
      <c r="V458" s="652">
        <v>0</v>
      </c>
      <c r="W458" s="685">
        <v>0</v>
      </c>
      <c r="X458" s="689">
        <f t="shared" si="59"/>
        <v>1724984.7167438744</v>
      </c>
      <c r="Y458" s="689">
        <f t="shared" si="60"/>
        <v>0</v>
      </c>
      <c r="Z458" s="652" t="s">
        <v>809</v>
      </c>
      <c r="AA458" s="666" t="s">
        <v>152</v>
      </c>
      <c r="AB458" s="666" t="s">
        <v>158</v>
      </c>
      <c r="AD458" s="665"/>
    </row>
    <row r="459" spans="2:30" hidden="1" x14ac:dyDescent="0.2">
      <c r="B459" s="673" t="s">
        <v>2542</v>
      </c>
      <c r="C459" s="666" t="s">
        <v>2543</v>
      </c>
      <c r="D459" s="666" t="s">
        <v>670</v>
      </c>
      <c r="E459" s="684">
        <v>1090613.8199999998</v>
      </c>
      <c r="F459" s="652">
        <f>SUMIFS(OBE!$H:$H,OBE!$C:$C,'Standalone TB'!$B459,OBE!$B:$B,"A21")</f>
        <v>0</v>
      </c>
      <c r="G459" s="652">
        <f>SUMIFS('Elimination - PL'!I:I,'Elimination - PL'!A:A,"EA21",'Elimination - PL'!D:D,'Standalone TB'!B459)</f>
        <v>0</v>
      </c>
      <c r="H459" s="652">
        <f t="shared" si="54"/>
        <v>1090613.8199999998</v>
      </c>
      <c r="I459" s="652">
        <v>1880499.62</v>
      </c>
      <c r="J459" s="684">
        <v>0</v>
      </c>
      <c r="K459" s="652">
        <f>SUMIFS(OBE!$H:$H,OBE!$C:$C,'Standalone TB'!$B459,OBE!$B:$B,"A22")</f>
        <v>0</v>
      </c>
      <c r="L459" s="652">
        <f>SUMIFS('Elimination - PL'!I:I,'Elimination - PL'!A:A,"EA22",'Elimination - PL'!D:D,'Standalone TB'!B459)</f>
        <v>0</v>
      </c>
      <c r="M459" s="652">
        <f t="shared" si="57"/>
        <v>0</v>
      </c>
      <c r="N459" s="652">
        <f t="shared" si="55"/>
        <v>0</v>
      </c>
      <c r="O459" s="652">
        <v>0</v>
      </c>
      <c r="P459" s="685">
        <v>0</v>
      </c>
      <c r="Q459" s="684">
        <v>83.38</v>
      </c>
      <c r="R459" s="652">
        <f>SUMIFS(OBE!$H:$H,OBE!$C:$C,'Standalone TB'!$B459,OBE!$B:$B,"A20")</f>
        <v>0</v>
      </c>
      <c r="S459" s="652">
        <f>SUMIFS('Elimination - PL'!I:I,'Elimination - PL'!A:A,"EA20",'Elimination - PL'!D:D,'Standalone TB'!B459)</f>
        <v>0</v>
      </c>
      <c r="T459" s="652">
        <f t="shared" si="58"/>
        <v>83.38</v>
      </c>
      <c r="U459" s="652">
        <f t="shared" si="56"/>
        <v>7039.086241939016</v>
      </c>
      <c r="V459" s="652">
        <v>226.23</v>
      </c>
      <c r="W459" s="685">
        <v>18730.531866000001</v>
      </c>
      <c r="X459" s="689">
        <f t="shared" si="59"/>
        <v>1097652.9062419389</v>
      </c>
      <c r="Y459" s="689">
        <f t="shared" si="60"/>
        <v>1899230.1518660001</v>
      </c>
      <c r="Z459" s="652" t="s">
        <v>809</v>
      </c>
      <c r="AA459" s="666" t="s">
        <v>152</v>
      </c>
      <c r="AB459" s="666" t="s">
        <v>158</v>
      </c>
      <c r="AD459" s="665"/>
    </row>
    <row r="460" spans="2:30" hidden="1" x14ac:dyDescent="0.2">
      <c r="B460" s="673" t="s">
        <v>2544</v>
      </c>
      <c r="C460" s="666" t="s">
        <v>2545</v>
      </c>
      <c r="D460" s="666" t="s">
        <v>670</v>
      </c>
      <c r="E460" s="684">
        <v>0</v>
      </c>
      <c r="F460" s="652">
        <f>SUMIFS(OBE!$H:$H,OBE!$C:$C,'Standalone TB'!$B460,OBE!$B:$B,"A21")</f>
        <v>0</v>
      </c>
      <c r="G460" s="652">
        <f>SUMIFS('Elimination - PL'!I:I,'Elimination - PL'!A:A,"EA21",'Elimination - PL'!D:D,'Standalone TB'!B460)</f>
        <v>0</v>
      </c>
      <c r="H460" s="652">
        <f t="shared" si="54"/>
        <v>0</v>
      </c>
      <c r="I460" s="652">
        <v>-67100</v>
      </c>
      <c r="J460" s="684">
        <v>0</v>
      </c>
      <c r="K460" s="652">
        <f>SUMIFS(OBE!$H:$H,OBE!$C:$C,'Standalone TB'!$B460,OBE!$B:$B,"A22")</f>
        <v>0</v>
      </c>
      <c r="L460" s="652">
        <f>SUMIFS('Elimination - PL'!I:I,'Elimination - PL'!A:A,"EA22",'Elimination - PL'!D:D,'Standalone TB'!B460)</f>
        <v>0</v>
      </c>
      <c r="M460" s="652">
        <f t="shared" si="57"/>
        <v>0</v>
      </c>
      <c r="N460" s="652">
        <f t="shared" si="55"/>
        <v>0</v>
      </c>
      <c r="O460" s="652">
        <v>0</v>
      </c>
      <c r="P460" s="685">
        <v>0</v>
      </c>
      <c r="Q460" s="684">
        <v>2610.58</v>
      </c>
      <c r="R460" s="652">
        <f>SUMIFS(OBE!$H:$H,OBE!$C:$C,'Standalone TB'!$B460,OBE!$B:$B,"A20")</f>
        <v>0</v>
      </c>
      <c r="S460" s="652">
        <f>SUMIFS('Elimination - PL'!I:I,'Elimination - PL'!A:A,"EA20",'Elimination - PL'!D:D,'Standalone TB'!B460)</f>
        <v>0</v>
      </c>
      <c r="T460" s="652">
        <f t="shared" si="58"/>
        <v>2610.58</v>
      </c>
      <c r="U460" s="652">
        <f t="shared" si="56"/>
        <v>220389.75487504387</v>
      </c>
      <c r="V460" s="652">
        <v>2596.6999999999998</v>
      </c>
      <c r="W460" s="685">
        <v>214991.69913999998</v>
      </c>
      <c r="X460" s="689">
        <f t="shared" si="59"/>
        <v>220389.75487504387</v>
      </c>
      <c r="Y460" s="689">
        <f t="shared" si="60"/>
        <v>147891.69913999998</v>
      </c>
      <c r="Z460" s="652" t="s">
        <v>809</v>
      </c>
      <c r="AA460" s="666" t="s">
        <v>152</v>
      </c>
      <c r="AB460" s="666" t="s">
        <v>158</v>
      </c>
      <c r="AD460" s="665"/>
    </row>
    <row r="461" spans="2:30" hidden="1" x14ac:dyDescent="0.2">
      <c r="B461" s="673" t="s">
        <v>2546</v>
      </c>
      <c r="C461" s="666" t="s">
        <v>2547</v>
      </c>
      <c r="D461" s="666" t="s">
        <v>670</v>
      </c>
      <c r="E461" s="684">
        <v>0</v>
      </c>
      <c r="F461" s="652">
        <f>SUMIFS(OBE!$H:$H,OBE!$C:$C,'Standalone TB'!$B461,OBE!$B:$B,"A21")</f>
        <v>0</v>
      </c>
      <c r="G461" s="652">
        <f>SUMIFS('Elimination - PL'!I:I,'Elimination - PL'!A:A,"EA21",'Elimination - PL'!D:D,'Standalone TB'!B461)</f>
        <v>0</v>
      </c>
      <c r="H461" s="652">
        <f t="shared" si="54"/>
        <v>0</v>
      </c>
      <c r="I461" s="652">
        <v>6705875.6500000004</v>
      </c>
      <c r="J461" s="684">
        <v>0</v>
      </c>
      <c r="K461" s="652">
        <f>SUMIFS(OBE!$H:$H,OBE!$C:$C,'Standalone TB'!$B461,OBE!$B:$B,"A22")</f>
        <v>0</v>
      </c>
      <c r="L461" s="652">
        <f>SUMIFS('Elimination - PL'!I:I,'Elimination - PL'!A:A,"EA22",'Elimination - PL'!D:D,'Standalone TB'!B461)</f>
        <v>0</v>
      </c>
      <c r="M461" s="652">
        <f t="shared" si="57"/>
        <v>0</v>
      </c>
      <c r="N461" s="652">
        <f t="shared" si="55"/>
        <v>0</v>
      </c>
      <c r="O461" s="652">
        <v>0</v>
      </c>
      <c r="P461" s="685">
        <v>0</v>
      </c>
      <c r="Q461" s="684">
        <v>0</v>
      </c>
      <c r="R461" s="652">
        <f>SUMIFS(OBE!$H:$H,OBE!$C:$C,'Standalone TB'!$B461,OBE!$B:$B,"A20")</f>
        <v>0</v>
      </c>
      <c r="S461" s="652">
        <f>SUMIFS('Elimination - PL'!I:I,'Elimination - PL'!A:A,"EA20",'Elimination - PL'!D:D,'Standalone TB'!B461)</f>
        <v>0</v>
      </c>
      <c r="T461" s="652">
        <f t="shared" si="58"/>
        <v>0</v>
      </c>
      <c r="U461" s="652">
        <f t="shared" si="56"/>
        <v>0</v>
      </c>
      <c r="V461" s="652">
        <v>0</v>
      </c>
      <c r="W461" s="685">
        <v>0</v>
      </c>
      <c r="X461" s="689">
        <f t="shared" si="59"/>
        <v>0</v>
      </c>
      <c r="Y461" s="689">
        <f t="shared" si="60"/>
        <v>6705875.6500000004</v>
      </c>
      <c r="Z461" s="652" t="s">
        <v>805</v>
      </c>
      <c r="AA461" s="666" t="s">
        <v>152</v>
      </c>
      <c r="AB461" s="666" t="s">
        <v>115</v>
      </c>
      <c r="AD461" s="665"/>
    </row>
    <row r="462" spans="2:30" hidden="1" x14ac:dyDescent="0.2">
      <c r="B462" s="673" t="s">
        <v>1558</v>
      </c>
      <c r="C462" s="666" t="s">
        <v>1559</v>
      </c>
      <c r="D462" s="666" t="s">
        <v>670</v>
      </c>
      <c r="E462" s="684">
        <v>119146692.06999999</v>
      </c>
      <c r="F462" s="652">
        <f>SUMIFS(OBE!$H:$H,OBE!$C:$C,'Standalone TB'!$B462,OBE!$B:$B,"A21")</f>
        <v>76088815.010000005</v>
      </c>
      <c r="G462" s="652">
        <f>SUMIFS('Elimination - PL'!I:I,'Elimination - PL'!A:A,"EA21",'Elimination - PL'!D:D,'Standalone TB'!B462)</f>
        <v>0</v>
      </c>
      <c r="H462" s="652">
        <f t="shared" si="54"/>
        <v>195235507.07999998</v>
      </c>
      <c r="I462" s="652">
        <v>14723596.928125</v>
      </c>
      <c r="J462" s="684">
        <v>0</v>
      </c>
      <c r="K462" s="652">
        <f>SUMIFS(OBE!$H:$H,OBE!$C:$C,'Standalone TB'!$B462,OBE!$B:$B,"A22")</f>
        <v>0</v>
      </c>
      <c r="L462" s="652">
        <f>SUMIFS('Elimination - PL'!I:I,'Elimination - PL'!A:A,"EA22",'Elimination - PL'!D:D,'Standalone TB'!B462)</f>
        <v>0</v>
      </c>
      <c r="M462" s="652">
        <f t="shared" si="57"/>
        <v>0</v>
      </c>
      <c r="N462" s="652">
        <f t="shared" si="55"/>
        <v>0</v>
      </c>
      <c r="O462" s="652">
        <v>0</v>
      </c>
      <c r="P462" s="685">
        <v>0</v>
      </c>
      <c r="Q462" s="684">
        <v>0</v>
      </c>
      <c r="R462" s="652">
        <f>SUMIFS(OBE!$H:$H,OBE!$C:$C,'Standalone TB'!$B462,OBE!$B:$B,"A20")</f>
        <v>0</v>
      </c>
      <c r="S462" s="652">
        <f>SUMIFS('Elimination - PL'!I:I,'Elimination - PL'!A:A,"EA20",'Elimination - PL'!D:D,'Standalone TB'!B462)</f>
        <v>0</v>
      </c>
      <c r="T462" s="652">
        <f t="shared" si="58"/>
        <v>0</v>
      </c>
      <c r="U462" s="652">
        <f t="shared" si="56"/>
        <v>0</v>
      </c>
      <c r="V462" s="652">
        <v>0</v>
      </c>
      <c r="W462" s="685">
        <v>0</v>
      </c>
      <c r="X462" s="689">
        <f t="shared" si="59"/>
        <v>195235507.07999998</v>
      </c>
      <c r="Y462" s="689">
        <f t="shared" si="60"/>
        <v>14723596.928125</v>
      </c>
      <c r="Z462" s="652" t="s">
        <v>805</v>
      </c>
      <c r="AA462" s="666" t="s">
        <v>152</v>
      </c>
      <c r="AB462" s="666" t="s">
        <v>115</v>
      </c>
      <c r="AD462" s="665"/>
    </row>
    <row r="463" spans="2:30" hidden="1" x14ac:dyDescent="0.2">
      <c r="B463" s="673" t="s">
        <v>2548</v>
      </c>
      <c r="C463" s="666" t="s">
        <v>2549</v>
      </c>
      <c r="D463" s="666" t="s">
        <v>670</v>
      </c>
      <c r="E463" s="684">
        <v>0</v>
      </c>
      <c r="F463" s="652">
        <f>SUMIFS(OBE!$H:$H,OBE!$C:$C,'Standalone TB'!$B463,OBE!$B:$B,"A21")</f>
        <v>0</v>
      </c>
      <c r="G463" s="652">
        <f>SUMIFS('Elimination - PL'!I:I,'Elimination - PL'!A:A,"EA21",'Elimination - PL'!D:D,'Standalone TB'!B463)</f>
        <v>0</v>
      </c>
      <c r="H463" s="652">
        <f t="shared" si="54"/>
        <v>0</v>
      </c>
      <c r="I463" s="652">
        <v>1824210536</v>
      </c>
      <c r="J463" s="684">
        <v>0</v>
      </c>
      <c r="K463" s="652">
        <f>SUMIFS(OBE!$H:$H,OBE!$C:$C,'Standalone TB'!$B463,OBE!$B:$B,"A22")</f>
        <v>0</v>
      </c>
      <c r="L463" s="652">
        <f>SUMIFS('Elimination - PL'!I:I,'Elimination - PL'!A:A,"EA22",'Elimination - PL'!D:D,'Standalone TB'!B463)</f>
        <v>0</v>
      </c>
      <c r="M463" s="652">
        <f t="shared" si="57"/>
        <v>0</v>
      </c>
      <c r="N463" s="652">
        <f t="shared" si="55"/>
        <v>0</v>
      </c>
      <c r="O463" s="652">
        <v>0</v>
      </c>
      <c r="P463" s="685">
        <v>0</v>
      </c>
      <c r="Q463" s="684">
        <v>0</v>
      </c>
      <c r="R463" s="652">
        <f>SUMIFS(OBE!$H:$H,OBE!$C:$C,'Standalone TB'!$B463,OBE!$B:$B,"A20")</f>
        <v>0</v>
      </c>
      <c r="S463" s="652">
        <f>SUMIFS('Elimination - PL'!I:I,'Elimination - PL'!A:A,"EA20",'Elimination - PL'!D:D,'Standalone TB'!B463)</f>
        <v>0</v>
      </c>
      <c r="T463" s="652">
        <f t="shared" si="58"/>
        <v>0</v>
      </c>
      <c r="U463" s="652">
        <f t="shared" si="56"/>
        <v>0</v>
      </c>
      <c r="V463" s="652">
        <v>0</v>
      </c>
      <c r="W463" s="685">
        <v>0</v>
      </c>
      <c r="X463" s="689">
        <f t="shared" si="59"/>
        <v>0</v>
      </c>
      <c r="Y463" s="689">
        <f t="shared" si="60"/>
        <v>1824210536</v>
      </c>
      <c r="Z463" s="652" t="s">
        <v>839</v>
      </c>
      <c r="AA463" s="666" t="s">
        <v>152</v>
      </c>
      <c r="AD463" s="665"/>
    </row>
    <row r="464" spans="2:30" hidden="1" x14ac:dyDescent="0.2">
      <c r="B464" s="673" t="s">
        <v>2550</v>
      </c>
      <c r="C464" s="666" t="s">
        <v>2551</v>
      </c>
      <c r="D464" s="666" t="s">
        <v>670</v>
      </c>
      <c r="E464" s="684">
        <v>248975.1</v>
      </c>
      <c r="F464" s="652">
        <f>SUMIFS(OBE!$H:$H,OBE!$C:$C,'Standalone TB'!$B464,OBE!$B:$B,"A21")</f>
        <v>0</v>
      </c>
      <c r="G464" s="652">
        <f>SUMIFS('Elimination - PL'!I:I,'Elimination - PL'!A:A,"EA21",'Elimination - PL'!D:D,'Standalone TB'!B464)</f>
        <v>0</v>
      </c>
      <c r="H464" s="652">
        <f t="shared" si="54"/>
        <v>248975.1</v>
      </c>
      <c r="I464" s="652">
        <v>62243.78</v>
      </c>
      <c r="J464" s="684">
        <v>0</v>
      </c>
      <c r="K464" s="652">
        <f>SUMIFS(OBE!$H:$H,OBE!$C:$C,'Standalone TB'!$B464,OBE!$B:$B,"A22")</f>
        <v>0</v>
      </c>
      <c r="L464" s="652">
        <f>SUMIFS('Elimination - PL'!I:I,'Elimination - PL'!A:A,"EA22",'Elimination - PL'!D:D,'Standalone TB'!B464)</f>
        <v>0</v>
      </c>
      <c r="M464" s="652">
        <f t="shared" si="57"/>
        <v>0</v>
      </c>
      <c r="N464" s="652">
        <f t="shared" si="55"/>
        <v>0</v>
      </c>
      <c r="O464" s="652">
        <v>0</v>
      </c>
      <c r="P464" s="685">
        <v>0</v>
      </c>
      <c r="Q464" s="684">
        <v>0</v>
      </c>
      <c r="R464" s="652">
        <f>SUMIFS(OBE!$H:$H,OBE!$C:$C,'Standalone TB'!$B464,OBE!$B:$B,"A20")</f>
        <v>0</v>
      </c>
      <c r="S464" s="652">
        <f>SUMIFS('Elimination - PL'!I:I,'Elimination - PL'!A:A,"EA20",'Elimination - PL'!D:D,'Standalone TB'!B464)</f>
        <v>0</v>
      </c>
      <c r="T464" s="652">
        <f t="shared" si="58"/>
        <v>0</v>
      </c>
      <c r="U464" s="652">
        <f t="shared" si="56"/>
        <v>0</v>
      </c>
      <c r="V464" s="652">
        <v>0</v>
      </c>
      <c r="W464" s="685">
        <v>0</v>
      </c>
      <c r="X464" s="689">
        <f t="shared" si="59"/>
        <v>248975.1</v>
      </c>
      <c r="Y464" s="689">
        <f t="shared" si="60"/>
        <v>62243.78</v>
      </c>
      <c r="Z464" s="652" t="s">
        <v>803</v>
      </c>
      <c r="AA464" s="666" t="s">
        <v>152</v>
      </c>
      <c r="AB464" s="666" t="s">
        <v>115</v>
      </c>
      <c r="AD464" s="665"/>
    </row>
    <row r="465" spans="2:30" hidden="1" x14ac:dyDescent="0.2">
      <c r="B465" s="673" t="s">
        <v>2552</v>
      </c>
      <c r="C465" s="666" t="s">
        <v>2553</v>
      </c>
      <c r="D465" s="666" t="s">
        <v>670</v>
      </c>
      <c r="E465" s="684">
        <v>2082013.02</v>
      </c>
      <c r="F465" s="652">
        <f>SUMIFS(OBE!$H:$H,OBE!$C:$C,'Standalone TB'!$B465,OBE!$B:$B,"A21")</f>
        <v>0</v>
      </c>
      <c r="G465" s="652">
        <f>SUMIFS('Elimination - PL'!I:I,'Elimination - PL'!A:A,"EA21",'Elimination - PL'!D:D,'Standalone TB'!B465)</f>
        <v>0</v>
      </c>
      <c r="H465" s="652">
        <f t="shared" si="54"/>
        <v>2082013.02</v>
      </c>
      <c r="I465" s="652">
        <v>2082013.02</v>
      </c>
      <c r="J465" s="684">
        <v>0</v>
      </c>
      <c r="K465" s="652">
        <f>SUMIFS(OBE!$H:$H,OBE!$C:$C,'Standalone TB'!$B465,OBE!$B:$B,"A22")</f>
        <v>0</v>
      </c>
      <c r="L465" s="652">
        <f>SUMIFS('Elimination - PL'!I:I,'Elimination - PL'!A:A,"EA22",'Elimination - PL'!D:D,'Standalone TB'!B465)</f>
        <v>0</v>
      </c>
      <c r="M465" s="652">
        <f t="shared" si="57"/>
        <v>0</v>
      </c>
      <c r="N465" s="652">
        <f t="shared" si="55"/>
        <v>0</v>
      </c>
      <c r="O465" s="652">
        <v>0</v>
      </c>
      <c r="P465" s="685">
        <v>0</v>
      </c>
      <c r="Q465" s="684">
        <v>1085.44</v>
      </c>
      <c r="R465" s="652">
        <f>SUMIFS(OBE!$H:$H,OBE!$C:$C,'Standalone TB'!$B465,OBE!$B:$B,"A20")</f>
        <v>0</v>
      </c>
      <c r="S465" s="652">
        <f>SUMIFS('Elimination - PL'!I:I,'Elimination - PL'!A:A,"EA20",'Elimination - PL'!D:D,'Standalone TB'!B465)</f>
        <v>0</v>
      </c>
      <c r="T465" s="652">
        <f t="shared" si="58"/>
        <v>1085.44</v>
      </c>
      <c r="U465" s="652">
        <f t="shared" si="56"/>
        <v>91634.753783284803</v>
      </c>
      <c r="V465" s="652">
        <v>994.99</v>
      </c>
      <c r="W465" s="685">
        <v>82379.401058000003</v>
      </c>
      <c r="X465" s="689">
        <f t="shared" si="59"/>
        <v>2173647.7737832847</v>
      </c>
      <c r="Y465" s="689">
        <f t="shared" si="60"/>
        <v>2164392.4210580001</v>
      </c>
      <c r="Z465" s="652" t="s">
        <v>803</v>
      </c>
      <c r="AA465" s="666" t="s">
        <v>152</v>
      </c>
      <c r="AB465" s="666" t="s">
        <v>115</v>
      </c>
      <c r="AD465" s="665"/>
    </row>
    <row r="466" spans="2:30" hidden="1" x14ac:dyDescent="0.2">
      <c r="B466" s="673" t="s">
        <v>2554</v>
      </c>
      <c r="C466" s="666" t="s">
        <v>2555</v>
      </c>
      <c r="D466" s="666" t="s">
        <v>670</v>
      </c>
      <c r="E466" s="684">
        <v>1389362.36</v>
      </c>
      <c r="F466" s="652">
        <f>SUMIFS(OBE!$H:$H,OBE!$C:$C,'Standalone TB'!$B466,OBE!$B:$B,"A21")</f>
        <v>0</v>
      </c>
      <c r="G466" s="652">
        <f>SUMIFS('Elimination - PL'!I:I,'Elimination - PL'!A:A,"EA21",'Elimination - PL'!D:D,'Standalone TB'!B466)</f>
        <v>0</v>
      </c>
      <c r="H466" s="652">
        <f t="shared" si="54"/>
        <v>1389362.36</v>
      </c>
      <c r="I466" s="652">
        <v>857392.39</v>
      </c>
      <c r="J466" s="684">
        <v>0</v>
      </c>
      <c r="K466" s="652">
        <f>SUMIFS(OBE!$H:$H,OBE!$C:$C,'Standalone TB'!$B466,OBE!$B:$B,"A22")</f>
        <v>0</v>
      </c>
      <c r="L466" s="652">
        <f>SUMIFS('Elimination - PL'!I:I,'Elimination - PL'!A:A,"EA22",'Elimination - PL'!D:D,'Standalone TB'!B466)</f>
        <v>0</v>
      </c>
      <c r="M466" s="652">
        <f t="shared" si="57"/>
        <v>0</v>
      </c>
      <c r="N466" s="652">
        <f t="shared" si="55"/>
        <v>0</v>
      </c>
      <c r="O466" s="652">
        <v>0</v>
      </c>
      <c r="P466" s="685">
        <v>0</v>
      </c>
      <c r="Q466" s="684">
        <v>0</v>
      </c>
      <c r="R466" s="652">
        <f>SUMIFS(OBE!$H:$H,OBE!$C:$C,'Standalone TB'!$B466,OBE!$B:$B,"A20")</f>
        <v>0</v>
      </c>
      <c r="S466" s="652">
        <f>SUMIFS('Elimination - PL'!I:I,'Elimination - PL'!A:A,"EA20",'Elimination - PL'!D:D,'Standalone TB'!B466)</f>
        <v>0</v>
      </c>
      <c r="T466" s="652">
        <f t="shared" si="58"/>
        <v>0</v>
      </c>
      <c r="U466" s="652">
        <f t="shared" si="56"/>
        <v>0</v>
      </c>
      <c r="V466" s="652">
        <v>0</v>
      </c>
      <c r="W466" s="685">
        <v>0</v>
      </c>
      <c r="X466" s="689">
        <f t="shared" si="59"/>
        <v>1389362.36</v>
      </c>
      <c r="Y466" s="689">
        <f t="shared" si="60"/>
        <v>857392.39</v>
      </c>
      <c r="Z466" s="652" t="s">
        <v>803</v>
      </c>
      <c r="AA466" s="666" t="s">
        <v>152</v>
      </c>
      <c r="AB466" s="666" t="s">
        <v>115</v>
      </c>
      <c r="AD466" s="665"/>
    </row>
    <row r="467" spans="2:30" hidden="1" x14ac:dyDescent="0.2">
      <c r="B467" s="673" t="s">
        <v>2556</v>
      </c>
      <c r="C467" s="666" t="s">
        <v>2557</v>
      </c>
      <c r="D467" s="666" t="s">
        <v>670</v>
      </c>
      <c r="E467" s="684">
        <v>11890431.859999999</v>
      </c>
      <c r="F467" s="652">
        <f>SUMIFS(OBE!$H:$H,OBE!$C:$C,'Standalone TB'!$B467,OBE!$B:$B,"A21")</f>
        <v>0</v>
      </c>
      <c r="G467" s="652">
        <f>SUMIFS('Elimination - PL'!I:I,'Elimination - PL'!A:A,"EA21",'Elimination - PL'!D:D,'Standalone TB'!B467)</f>
        <v>0</v>
      </c>
      <c r="H467" s="652">
        <f t="shared" si="54"/>
        <v>11890431.859999999</v>
      </c>
      <c r="I467" s="652">
        <v>24141733.98</v>
      </c>
      <c r="J467" s="684">
        <v>9213.630000000001</v>
      </c>
      <c r="K467" s="652">
        <f>SUMIFS(OBE!$H:$H,OBE!$C:$C,'Standalone TB'!$B467,OBE!$B:$B,"A22")</f>
        <v>0</v>
      </c>
      <c r="L467" s="652">
        <f>SUMIFS('Elimination - PL'!I:I,'Elimination - PL'!A:A,"EA22",'Elimination - PL'!D:D,'Standalone TB'!B467)</f>
        <v>0</v>
      </c>
      <c r="M467" s="652">
        <f t="shared" si="57"/>
        <v>9213.630000000001</v>
      </c>
      <c r="N467" s="652">
        <f t="shared" si="55"/>
        <v>211762.12591123971</v>
      </c>
      <c r="O467" s="652">
        <v>4423.33</v>
      </c>
      <c r="P467" s="685">
        <v>99695.665537999987</v>
      </c>
      <c r="Q467" s="684">
        <v>0</v>
      </c>
      <c r="R467" s="652">
        <f>SUMIFS(OBE!$H:$H,OBE!$C:$C,'Standalone TB'!$B467,OBE!$B:$B,"A20")</f>
        <v>0</v>
      </c>
      <c r="S467" s="652">
        <f>SUMIFS('Elimination - PL'!I:I,'Elimination - PL'!A:A,"EA20",'Elimination - PL'!D:D,'Standalone TB'!B467)</f>
        <v>0</v>
      </c>
      <c r="T467" s="652">
        <f t="shared" si="58"/>
        <v>0</v>
      </c>
      <c r="U467" s="652">
        <f t="shared" si="56"/>
        <v>0</v>
      </c>
      <c r="V467" s="652">
        <v>0</v>
      </c>
      <c r="W467" s="685">
        <v>0</v>
      </c>
      <c r="X467" s="689">
        <f t="shared" si="59"/>
        <v>12102193.985911239</v>
      </c>
      <c r="Y467" s="689">
        <f t="shared" si="60"/>
        <v>24241429.645538002</v>
      </c>
      <c r="Z467" s="652" t="s">
        <v>803</v>
      </c>
      <c r="AA467" s="666" t="s">
        <v>152</v>
      </c>
      <c r="AB467" s="666" t="s">
        <v>115</v>
      </c>
      <c r="AD467" s="665"/>
    </row>
    <row r="468" spans="2:30" hidden="1" x14ac:dyDescent="0.2">
      <c r="B468" s="673" t="s">
        <v>2558</v>
      </c>
      <c r="C468" s="666" t="s">
        <v>2559</v>
      </c>
      <c r="D468" s="666" t="s">
        <v>670</v>
      </c>
      <c r="E468" s="684">
        <v>2417596.1799999997</v>
      </c>
      <c r="F468" s="652">
        <f>SUMIFS(OBE!$H:$H,OBE!$C:$C,'Standalone TB'!$B468,OBE!$B:$B,"A21")</f>
        <v>0</v>
      </c>
      <c r="G468" s="652">
        <f>SUMIFS('Elimination - PL'!I:I,'Elimination - PL'!A:A,"EA21",'Elimination - PL'!D:D,'Standalone TB'!B468)</f>
        <v>0</v>
      </c>
      <c r="H468" s="652">
        <f t="shared" si="54"/>
        <v>2417596.1799999997</v>
      </c>
      <c r="I468" s="652">
        <v>1453484.79</v>
      </c>
      <c r="J468" s="684">
        <v>0</v>
      </c>
      <c r="K468" s="652">
        <f>SUMIFS(OBE!$H:$H,OBE!$C:$C,'Standalone TB'!$B468,OBE!$B:$B,"A22")</f>
        <v>0</v>
      </c>
      <c r="L468" s="652">
        <f>SUMIFS('Elimination - PL'!I:I,'Elimination - PL'!A:A,"EA22",'Elimination - PL'!D:D,'Standalone TB'!B468)</f>
        <v>0</v>
      </c>
      <c r="M468" s="652">
        <f t="shared" si="57"/>
        <v>0</v>
      </c>
      <c r="N468" s="652">
        <f t="shared" si="55"/>
        <v>0</v>
      </c>
      <c r="O468" s="652">
        <v>0</v>
      </c>
      <c r="P468" s="685">
        <v>0</v>
      </c>
      <c r="Q468" s="684">
        <v>0</v>
      </c>
      <c r="R468" s="652">
        <f>SUMIFS(OBE!$H:$H,OBE!$C:$C,'Standalone TB'!$B468,OBE!$B:$B,"A20")</f>
        <v>0</v>
      </c>
      <c r="S468" s="652">
        <f>SUMIFS('Elimination - PL'!I:I,'Elimination - PL'!A:A,"EA20",'Elimination - PL'!D:D,'Standalone TB'!B468)</f>
        <v>0</v>
      </c>
      <c r="T468" s="652">
        <f t="shared" si="58"/>
        <v>0</v>
      </c>
      <c r="U468" s="652">
        <f t="shared" si="56"/>
        <v>0</v>
      </c>
      <c r="V468" s="652">
        <v>0</v>
      </c>
      <c r="W468" s="685">
        <v>0</v>
      </c>
      <c r="X468" s="689">
        <f t="shared" si="59"/>
        <v>2417596.1799999997</v>
      </c>
      <c r="Y468" s="689">
        <f t="shared" si="60"/>
        <v>1453484.79</v>
      </c>
      <c r="Z468" s="652" t="s">
        <v>803</v>
      </c>
      <c r="AA468" s="666" t="s">
        <v>152</v>
      </c>
      <c r="AB468" s="666" t="s">
        <v>115</v>
      </c>
      <c r="AD468" s="665"/>
    </row>
    <row r="469" spans="2:30" hidden="1" x14ac:dyDescent="0.2">
      <c r="B469" s="673" t="s">
        <v>2560</v>
      </c>
      <c r="C469" s="666" t="s">
        <v>2561</v>
      </c>
      <c r="D469" s="666" t="s">
        <v>670</v>
      </c>
      <c r="E469" s="684">
        <v>0</v>
      </c>
      <c r="F469" s="652">
        <f>SUMIFS(OBE!$H:$H,OBE!$C:$C,'Standalone TB'!$B469,OBE!$B:$B,"A21")</f>
        <v>0</v>
      </c>
      <c r="G469" s="652">
        <f>SUMIFS('Elimination - PL'!I:I,'Elimination - PL'!A:A,"EA21",'Elimination - PL'!D:D,'Standalone TB'!B469)</f>
        <v>0</v>
      </c>
      <c r="H469" s="652">
        <f t="shared" si="54"/>
        <v>0</v>
      </c>
      <c r="I469" s="652">
        <v>0</v>
      </c>
      <c r="J469" s="684">
        <v>0</v>
      </c>
      <c r="K469" s="652">
        <f>SUMIFS(OBE!$H:$H,OBE!$C:$C,'Standalone TB'!$B469,OBE!$B:$B,"A22")</f>
        <v>0</v>
      </c>
      <c r="L469" s="652">
        <f>SUMIFS('Elimination - PL'!I:I,'Elimination - PL'!A:A,"EA22",'Elimination - PL'!D:D,'Standalone TB'!B469)</f>
        <v>0</v>
      </c>
      <c r="M469" s="652">
        <f t="shared" si="57"/>
        <v>0</v>
      </c>
      <c r="N469" s="652">
        <f t="shared" si="55"/>
        <v>0</v>
      </c>
      <c r="O469" s="652">
        <v>0</v>
      </c>
      <c r="P469" s="685">
        <v>0</v>
      </c>
      <c r="Q469" s="684">
        <v>0</v>
      </c>
      <c r="R469" s="652">
        <f>SUMIFS(OBE!$H:$H,OBE!$C:$C,'Standalone TB'!$B469,OBE!$B:$B,"A20")</f>
        <v>0</v>
      </c>
      <c r="S469" s="652">
        <f>SUMIFS('Elimination - PL'!I:I,'Elimination - PL'!A:A,"EA20",'Elimination - PL'!D:D,'Standalone TB'!B469)</f>
        <v>0</v>
      </c>
      <c r="T469" s="652">
        <f t="shared" si="58"/>
        <v>0</v>
      </c>
      <c r="U469" s="652">
        <f t="shared" si="56"/>
        <v>0</v>
      </c>
      <c r="V469" s="652">
        <v>0</v>
      </c>
      <c r="W469" s="685">
        <v>0</v>
      </c>
      <c r="X469" s="689">
        <f t="shared" si="59"/>
        <v>0</v>
      </c>
      <c r="Y469" s="689">
        <f t="shared" si="60"/>
        <v>0</v>
      </c>
      <c r="Z469" s="652" t="s">
        <v>803</v>
      </c>
      <c r="AA469" s="666" t="s">
        <v>152</v>
      </c>
      <c r="AB469" s="666" t="s">
        <v>115</v>
      </c>
      <c r="AD469" s="665"/>
    </row>
    <row r="470" spans="2:30" hidden="1" x14ac:dyDescent="0.2">
      <c r="B470" s="673" t="s">
        <v>2562</v>
      </c>
      <c r="C470" s="666" t="s">
        <v>2563</v>
      </c>
      <c r="D470" s="666" t="s">
        <v>670</v>
      </c>
      <c r="E470" s="684">
        <v>0</v>
      </c>
      <c r="F470" s="652">
        <f>SUMIFS(OBE!$H:$H,OBE!$C:$C,'Standalone TB'!$B470,OBE!$B:$B,"A21")</f>
        <v>0</v>
      </c>
      <c r="G470" s="652">
        <f>SUMIFS('Elimination - PL'!I:I,'Elimination - PL'!A:A,"EA21",'Elimination - PL'!D:D,'Standalone TB'!B470)</f>
        <v>0</v>
      </c>
      <c r="H470" s="652">
        <f t="shared" si="54"/>
        <v>0</v>
      </c>
      <c r="I470" s="652">
        <v>0</v>
      </c>
      <c r="J470" s="684">
        <v>0</v>
      </c>
      <c r="K470" s="652">
        <f>SUMIFS(OBE!$H:$H,OBE!$C:$C,'Standalone TB'!$B470,OBE!$B:$B,"A22")</f>
        <v>0</v>
      </c>
      <c r="L470" s="652">
        <f>SUMIFS('Elimination - PL'!I:I,'Elimination - PL'!A:A,"EA22",'Elimination - PL'!D:D,'Standalone TB'!B470)</f>
        <v>0</v>
      </c>
      <c r="M470" s="652">
        <f t="shared" si="57"/>
        <v>0</v>
      </c>
      <c r="N470" s="652">
        <f t="shared" si="55"/>
        <v>0</v>
      </c>
      <c r="O470" s="652">
        <v>0</v>
      </c>
      <c r="P470" s="685">
        <v>0</v>
      </c>
      <c r="Q470" s="684">
        <v>0</v>
      </c>
      <c r="R470" s="652">
        <f>SUMIFS(OBE!$H:$H,OBE!$C:$C,'Standalone TB'!$B470,OBE!$B:$B,"A20")</f>
        <v>0</v>
      </c>
      <c r="S470" s="652">
        <f>SUMIFS('Elimination - PL'!I:I,'Elimination - PL'!A:A,"EA20",'Elimination - PL'!D:D,'Standalone TB'!B470)</f>
        <v>0</v>
      </c>
      <c r="T470" s="652">
        <f t="shared" si="58"/>
        <v>0</v>
      </c>
      <c r="U470" s="652">
        <f t="shared" si="56"/>
        <v>0</v>
      </c>
      <c r="V470" s="652">
        <v>0</v>
      </c>
      <c r="W470" s="685">
        <v>0</v>
      </c>
      <c r="X470" s="689">
        <f t="shared" si="59"/>
        <v>0</v>
      </c>
      <c r="Y470" s="689">
        <f t="shared" si="60"/>
        <v>0</v>
      </c>
      <c r="Z470" s="652" t="s">
        <v>803</v>
      </c>
      <c r="AA470" s="666" t="s">
        <v>152</v>
      </c>
      <c r="AB470" s="666" t="s">
        <v>115</v>
      </c>
      <c r="AD470" s="665"/>
    </row>
    <row r="471" spans="2:30" hidden="1" x14ac:dyDescent="0.2">
      <c r="B471" s="673" t="s">
        <v>2564</v>
      </c>
      <c r="C471" s="666" t="s">
        <v>2565</v>
      </c>
      <c r="D471" s="666" t="s">
        <v>670</v>
      </c>
      <c r="E471" s="684">
        <v>0</v>
      </c>
      <c r="F471" s="652">
        <f>SUMIFS(OBE!$H:$H,OBE!$C:$C,'Standalone TB'!$B471,OBE!$B:$B,"A21")</f>
        <v>0</v>
      </c>
      <c r="G471" s="652">
        <f>SUMIFS('Elimination - PL'!I:I,'Elimination - PL'!A:A,"EA21",'Elimination - PL'!D:D,'Standalone TB'!B471)</f>
        <v>0</v>
      </c>
      <c r="H471" s="652">
        <f t="shared" si="54"/>
        <v>0</v>
      </c>
      <c r="I471" s="652">
        <v>0</v>
      </c>
      <c r="J471" s="684">
        <v>0</v>
      </c>
      <c r="K471" s="652">
        <f>SUMIFS(OBE!$H:$H,OBE!$C:$C,'Standalone TB'!$B471,OBE!$B:$B,"A22")</f>
        <v>0</v>
      </c>
      <c r="L471" s="652">
        <f>SUMIFS('Elimination - PL'!I:I,'Elimination - PL'!A:A,"EA22",'Elimination - PL'!D:D,'Standalone TB'!B471)</f>
        <v>0</v>
      </c>
      <c r="M471" s="652">
        <f t="shared" si="57"/>
        <v>0</v>
      </c>
      <c r="N471" s="652">
        <f t="shared" si="55"/>
        <v>0</v>
      </c>
      <c r="O471" s="652">
        <v>0</v>
      </c>
      <c r="P471" s="685">
        <v>0</v>
      </c>
      <c r="Q471" s="684">
        <v>0</v>
      </c>
      <c r="R471" s="652">
        <f>SUMIFS(OBE!$H:$H,OBE!$C:$C,'Standalone TB'!$B471,OBE!$B:$B,"A20")</f>
        <v>0</v>
      </c>
      <c r="S471" s="652">
        <f>SUMIFS('Elimination - PL'!I:I,'Elimination - PL'!A:A,"EA20",'Elimination - PL'!D:D,'Standalone TB'!B471)</f>
        <v>0</v>
      </c>
      <c r="T471" s="652">
        <f t="shared" si="58"/>
        <v>0</v>
      </c>
      <c r="U471" s="652">
        <f t="shared" si="56"/>
        <v>0</v>
      </c>
      <c r="V471" s="652">
        <v>0</v>
      </c>
      <c r="W471" s="685">
        <v>0</v>
      </c>
      <c r="X471" s="689">
        <f t="shared" si="59"/>
        <v>0</v>
      </c>
      <c r="Y471" s="689">
        <f t="shared" si="60"/>
        <v>0</v>
      </c>
      <c r="Z471" s="652" t="s">
        <v>803</v>
      </c>
      <c r="AA471" s="666" t="s">
        <v>152</v>
      </c>
      <c r="AB471" s="666" t="s">
        <v>115</v>
      </c>
      <c r="AD471" s="665"/>
    </row>
    <row r="472" spans="2:30" hidden="1" x14ac:dyDescent="0.2">
      <c r="B472" s="673" t="s">
        <v>2566</v>
      </c>
      <c r="C472" s="666" t="s">
        <v>2567</v>
      </c>
      <c r="D472" s="666" t="s">
        <v>670</v>
      </c>
      <c r="E472" s="684">
        <v>0</v>
      </c>
      <c r="F472" s="652">
        <f>SUMIFS(OBE!$H:$H,OBE!$C:$C,'Standalone TB'!$B472,OBE!$B:$B,"A21")</f>
        <v>0</v>
      </c>
      <c r="G472" s="652">
        <f>SUMIFS('Elimination - PL'!I:I,'Elimination - PL'!A:A,"EA21",'Elimination - PL'!D:D,'Standalone TB'!B472)</f>
        <v>0</v>
      </c>
      <c r="H472" s="652">
        <f t="shared" si="54"/>
        <v>0</v>
      </c>
      <c r="I472" s="652">
        <v>0</v>
      </c>
      <c r="J472" s="684">
        <v>0</v>
      </c>
      <c r="K472" s="652">
        <f>SUMIFS(OBE!$H:$H,OBE!$C:$C,'Standalone TB'!$B472,OBE!$B:$B,"A22")</f>
        <v>0</v>
      </c>
      <c r="L472" s="652">
        <f>SUMIFS('Elimination - PL'!I:I,'Elimination - PL'!A:A,"EA22",'Elimination - PL'!D:D,'Standalone TB'!B472)</f>
        <v>0</v>
      </c>
      <c r="M472" s="652">
        <f t="shared" si="57"/>
        <v>0</v>
      </c>
      <c r="N472" s="652">
        <f t="shared" si="55"/>
        <v>0</v>
      </c>
      <c r="O472" s="652">
        <v>0</v>
      </c>
      <c r="P472" s="685">
        <v>0</v>
      </c>
      <c r="Q472" s="684">
        <v>0</v>
      </c>
      <c r="R472" s="652">
        <f>SUMIFS(OBE!$H:$H,OBE!$C:$C,'Standalone TB'!$B472,OBE!$B:$B,"A20")</f>
        <v>0</v>
      </c>
      <c r="S472" s="652">
        <f>SUMIFS('Elimination - PL'!I:I,'Elimination - PL'!A:A,"EA20",'Elimination - PL'!D:D,'Standalone TB'!B472)</f>
        <v>0</v>
      </c>
      <c r="T472" s="652">
        <f t="shared" si="58"/>
        <v>0</v>
      </c>
      <c r="U472" s="652">
        <f t="shared" si="56"/>
        <v>0</v>
      </c>
      <c r="V472" s="652">
        <v>0</v>
      </c>
      <c r="W472" s="685">
        <v>0</v>
      </c>
      <c r="X472" s="689">
        <f t="shared" si="59"/>
        <v>0</v>
      </c>
      <c r="Y472" s="689">
        <f t="shared" si="60"/>
        <v>0</v>
      </c>
      <c r="Z472" s="652" t="s">
        <v>803</v>
      </c>
      <c r="AA472" s="666" t="s">
        <v>152</v>
      </c>
      <c r="AB472" s="666" t="s">
        <v>115</v>
      </c>
      <c r="AD472" s="665"/>
    </row>
    <row r="473" spans="2:30" hidden="1" x14ac:dyDescent="0.2">
      <c r="B473" s="673" t="s">
        <v>1543</v>
      </c>
      <c r="C473" s="666" t="s">
        <v>1557</v>
      </c>
      <c r="D473" s="666" t="s">
        <v>670</v>
      </c>
      <c r="E473" s="684">
        <v>-1.862645149230957E-9</v>
      </c>
      <c r="F473" s="652">
        <f>SUMIFS(OBE!$H:$H,OBE!$C:$C,'Standalone TB'!$B473,OBE!$B:$B,"A21")</f>
        <v>28087130.908903003</v>
      </c>
      <c r="G473" s="652">
        <f>SUMIFS('Elimination - PL'!I:I,'Elimination - PL'!A:A,"EA21",'Elimination - PL'!D:D,'Standalone TB'!B473)</f>
        <v>0</v>
      </c>
      <c r="H473" s="652">
        <f t="shared" si="54"/>
        <v>28087130.908903003</v>
      </c>
      <c r="I473" s="652">
        <v>23867974.872895703</v>
      </c>
      <c r="J473" s="684">
        <v>-11517.299999999996</v>
      </c>
      <c r="K473" s="652">
        <f>SUMIFS(OBE!$H:$H,OBE!$C:$C,'Standalone TB'!$B473,OBE!$B:$B,"A22")</f>
        <v>11517.3</v>
      </c>
      <c r="L473" s="652">
        <f>SUMIFS('Elimination - PL'!I:I,'Elimination - PL'!A:A,"EA22",'Elimination - PL'!D:D,'Standalone TB'!B473)</f>
        <v>0</v>
      </c>
      <c r="M473" s="652">
        <f t="shared" si="57"/>
        <v>3.637978807091713E-12</v>
      </c>
      <c r="N473" s="652">
        <f t="shared" si="55"/>
        <v>8.3613746830486673E-11</v>
      </c>
      <c r="O473" s="652">
        <v>0</v>
      </c>
      <c r="P473" s="685">
        <v>0</v>
      </c>
      <c r="Q473" s="684">
        <v>113860.32</v>
      </c>
      <c r="R473" s="652">
        <f>SUMIFS(OBE!$H:$H,OBE!$C:$C,'Standalone TB'!$B473,OBE!$B:$B,"A20")</f>
        <v>-41418.320000000007</v>
      </c>
      <c r="S473" s="652">
        <f>SUMIFS('Elimination - PL'!I:I,'Elimination - PL'!A:A,"EA20",'Elimination - PL'!D:D,'Standalone TB'!B473)</f>
        <v>0</v>
      </c>
      <c r="T473" s="652">
        <f t="shared" si="58"/>
        <v>72442</v>
      </c>
      <c r="U473" s="652">
        <f t="shared" si="56"/>
        <v>6115681.0450773118</v>
      </c>
      <c r="V473" s="652">
        <v>0</v>
      </c>
      <c r="W473" s="685">
        <v>0</v>
      </c>
      <c r="X473" s="689">
        <f t="shared" si="59"/>
        <v>34202811.953980312</v>
      </c>
      <c r="Y473" s="689">
        <f t="shared" si="60"/>
        <v>23867974.872895703</v>
      </c>
      <c r="Z473" s="652" t="s">
        <v>807</v>
      </c>
      <c r="AA473" s="666" t="s">
        <v>152</v>
      </c>
      <c r="AB473" s="666" t="s">
        <v>115</v>
      </c>
      <c r="AD473" s="665"/>
    </row>
    <row r="474" spans="2:30" hidden="1" x14ac:dyDescent="0.2">
      <c r="B474" s="673" t="s">
        <v>2568</v>
      </c>
      <c r="C474" s="666" t="s">
        <v>2569</v>
      </c>
      <c r="D474" s="666" t="s">
        <v>670</v>
      </c>
      <c r="E474" s="684">
        <v>0</v>
      </c>
      <c r="F474" s="652">
        <f>SUMIFS(OBE!$H:$H,OBE!$C:$C,'Standalone TB'!$B474,OBE!$B:$B,"A21")</f>
        <v>0</v>
      </c>
      <c r="G474" s="652">
        <f>SUMIFS('Elimination - PL'!I:I,'Elimination - PL'!A:A,"EA21",'Elimination - PL'!D:D,'Standalone TB'!B474)</f>
        <v>0</v>
      </c>
      <c r="H474" s="652">
        <f t="shared" si="54"/>
        <v>0</v>
      </c>
      <c r="I474" s="652">
        <v>5456765.2599999998</v>
      </c>
      <c r="J474" s="684">
        <v>0</v>
      </c>
      <c r="K474" s="652">
        <f>SUMIFS(OBE!$H:$H,OBE!$C:$C,'Standalone TB'!$B474,OBE!$B:$B,"A22")</f>
        <v>0</v>
      </c>
      <c r="L474" s="652">
        <f>SUMIFS('Elimination - PL'!I:I,'Elimination - PL'!A:A,"EA22",'Elimination - PL'!D:D,'Standalone TB'!B474)</f>
        <v>0</v>
      </c>
      <c r="M474" s="652">
        <f t="shared" si="57"/>
        <v>0</v>
      </c>
      <c r="N474" s="652">
        <f t="shared" si="55"/>
        <v>0</v>
      </c>
      <c r="O474" s="652">
        <v>0</v>
      </c>
      <c r="P474" s="685">
        <v>0</v>
      </c>
      <c r="Q474" s="684">
        <v>0</v>
      </c>
      <c r="R474" s="652">
        <f>SUMIFS(OBE!$H:$H,OBE!$C:$C,'Standalone TB'!$B474,OBE!$B:$B,"A20")</f>
        <v>0</v>
      </c>
      <c r="S474" s="652">
        <f>SUMIFS('Elimination - PL'!I:I,'Elimination - PL'!A:A,"EA20",'Elimination - PL'!D:D,'Standalone TB'!B474)</f>
        <v>0</v>
      </c>
      <c r="T474" s="652">
        <f t="shared" si="58"/>
        <v>0</v>
      </c>
      <c r="U474" s="652">
        <f t="shared" si="56"/>
        <v>0</v>
      </c>
      <c r="V474" s="652">
        <v>0</v>
      </c>
      <c r="W474" s="685">
        <v>0</v>
      </c>
      <c r="X474" s="689">
        <f t="shared" si="59"/>
        <v>0</v>
      </c>
      <c r="Y474" s="689">
        <f t="shared" si="60"/>
        <v>5456765.2599999998</v>
      </c>
      <c r="Z474" s="652" t="s">
        <v>117</v>
      </c>
      <c r="AA474" s="666" t="s">
        <v>152</v>
      </c>
      <c r="AD474" s="665"/>
    </row>
    <row r="475" spans="2:30" hidden="1" x14ac:dyDescent="0.2">
      <c r="B475" s="673" t="s">
        <v>2570</v>
      </c>
      <c r="C475" s="666" t="s">
        <v>2571</v>
      </c>
      <c r="D475" s="666" t="s">
        <v>670</v>
      </c>
      <c r="E475" s="684">
        <v>0</v>
      </c>
      <c r="F475" s="652">
        <f>SUMIFS(OBE!$H:$H,OBE!$C:$C,'Standalone TB'!$B475,OBE!$B:$B,"A21")</f>
        <v>0</v>
      </c>
      <c r="G475" s="652">
        <f>SUMIFS('Elimination - PL'!I:I,'Elimination - PL'!A:A,"EA21",'Elimination - PL'!D:D,'Standalone TB'!B475)</f>
        <v>0</v>
      </c>
      <c r="H475" s="652">
        <f t="shared" si="54"/>
        <v>0</v>
      </c>
      <c r="I475" s="652">
        <v>0</v>
      </c>
      <c r="J475" s="684">
        <v>0</v>
      </c>
      <c r="K475" s="652">
        <f>SUMIFS(OBE!$H:$H,OBE!$C:$C,'Standalone TB'!$B475,OBE!$B:$B,"A22")</f>
        <v>0</v>
      </c>
      <c r="L475" s="652">
        <f>SUMIFS('Elimination - PL'!I:I,'Elimination - PL'!A:A,"EA22",'Elimination - PL'!D:D,'Standalone TB'!B475)</f>
        <v>0</v>
      </c>
      <c r="M475" s="652">
        <f t="shared" si="57"/>
        <v>0</v>
      </c>
      <c r="N475" s="652">
        <f t="shared" si="55"/>
        <v>0</v>
      </c>
      <c r="O475" s="652">
        <v>0</v>
      </c>
      <c r="P475" s="685">
        <v>0</v>
      </c>
      <c r="Q475" s="684">
        <v>0</v>
      </c>
      <c r="R475" s="652">
        <f>SUMIFS(OBE!$H:$H,OBE!$C:$C,'Standalone TB'!$B475,OBE!$B:$B,"A20")</f>
        <v>0</v>
      </c>
      <c r="S475" s="652">
        <f>SUMIFS('Elimination - PL'!I:I,'Elimination - PL'!A:A,"EA20",'Elimination - PL'!D:D,'Standalone TB'!B475)</f>
        <v>0</v>
      </c>
      <c r="T475" s="652">
        <f t="shared" si="58"/>
        <v>0</v>
      </c>
      <c r="U475" s="652">
        <f t="shared" si="56"/>
        <v>0</v>
      </c>
      <c r="V475" s="652">
        <v>0</v>
      </c>
      <c r="W475" s="685">
        <v>0</v>
      </c>
      <c r="X475" s="689">
        <f t="shared" si="59"/>
        <v>0</v>
      </c>
      <c r="Y475" s="689">
        <f t="shared" si="60"/>
        <v>0</v>
      </c>
      <c r="Z475" s="652" t="s">
        <v>816</v>
      </c>
      <c r="AA475" s="666" t="s">
        <v>152</v>
      </c>
      <c r="AB475" s="666" t="s">
        <v>158</v>
      </c>
      <c r="AD475" s="665"/>
    </row>
    <row r="476" spans="2:30" hidden="1" x14ac:dyDescent="0.2">
      <c r="B476" s="673" t="s">
        <v>2572</v>
      </c>
      <c r="C476" s="666" t="s">
        <v>2573</v>
      </c>
      <c r="D476" s="666" t="s">
        <v>670</v>
      </c>
      <c r="E476" s="684">
        <v>0</v>
      </c>
      <c r="F476" s="652">
        <f>SUMIFS(OBE!$H:$H,OBE!$C:$C,'Standalone TB'!$B476,OBE!$B:$B,"A21")</f>
        <v>0</v>
      </c>
      <c r="G476" s="652">
        <f>SUMIFS('Elimination - PL'!I:I,'Elimination - PL'!A:A,"EA21",'Elimination - PL'!D:D,'Standalone TB'!B476)</f>
        <v>0</v>
      </c>
      <c r="H476" s="652">
        <f t="shared" si="54"/>
        <v>0</v>
      </c>
      <c r="I476" s="652">
        <v>0</v>
      </c>
      <c r="J476" s="684">
        <v>0</v>
      </c>
      <c r="K476" s="652">
        <f>SUMIFS(OBE!$H:$H,OBE!$C:$C,'Standalone TB'!$B476,OBE!$B:$B,"A22")</f>
        <v>0</v>
      </c>
      <c r="L476" s="652">
        <f>SUMIFS('Elimination - PL'!I:I,'Elimination - PL'!A:A,"EA22",'Elimination - PL'!D:D,'Standalone TB'!B476)</f>
        <v>0</v>
      </c>
      <c r="M476" s="652">
        <f t="shared" si="57"/>
        <v>0</v>
      </c>
      <c r="N476" s="652">
        <f t="shared" si="55"/>
        <v>0</v>
      </c>
      <c r="O476" s="652">
        <v>0</v>
      </c>
      <c r="P476" s="685">
        <v>0</v>
      </c>
      <c r="Q476" s="684">
        <v>0</v>
      </c>
      <c r="R476" s="652">
        <f>SUMIFS(OBE!$H:$H,OBE!$C:$C,'Standalone TB'!$B476,OBE!$B:$B,"A20")</f>
        <v>0</v>
      </c>
      <c r="S476" s="652">
        <f>SUMIFS('Elimination - PL'!I:I,'Elimination - PL'!A:A,"EA20",'Elimination - PL'!D:D,'Standalone TB'!B476)</f>
        <v>0</v>
      </c>
      <c r="T476" s="652">
        <f t="shared" si="58"/>
        <v>0</v>
      </c>
      <c r="U476" s="652">
        <f t="shared" si="56"/>
        <v>0</v>
      </c>
      <c r="V476" s="652">
        <v>0</v>
      </c>
      <c r="W476" s="685">
        <v>0</v>
      </c>
      <c r="X476" s="689">
        <f t="shared" si="59"/>
        <v>0</v>
      </c>
      <c r="Y476" s="689">
        <f t="shared" si="60"/>
        <v>0</v>
      </c>
      <c r="Z476" s="652" t="s">
        <v>816</v>
      </c>
      <c r="AA476" s="666" t="s">
        <v>152</v>
      </c>
      <c r="AB476" s="666" t="s">
        <v>158</v>
      </c>
      <c r="AD476" s="665"/>
    </row>
    <row r="477" spans="2:30" hidden="1" x14ac:dyDescent="0.2">
      <c r="B477" s="673" t="s">
        <v>1454</v>
      </c>
      <c r="C477" s="666" t="s">
        <v>1455</v>
      </c>
      <c r="D477" s="666" t="s">
        <v>670</v>
      </c>
      <c r="E477" s="684">
        <v>191383160.08000001</v>
      </c>
      <c r="F477" s="652">
        <f>SUMIFS(OBE!$H:$H,OBE!$C:$C,'Standalone TB'!$B477,OBE!$B:$B,"A21")</f>
        <v>0</v>
      </c>
      <c r="G477" s="652">
        <f>SUMIFS('Elimination - PL'!I:I,'Elimination - PL'!A:A,"EA21",'Elimination - PL'!D:D,'Standalone TB'!B477)</f>
        <v>0</v>
      </c>
      <c r="H477" s="652">
        <f t="shared" si="54"/>
        <v>191383160.08000001</v>
      </c>
      <c r="I477" s="652">
        <v>79213241.649999991</v>
      </c>
      <c r="J477" s="684">
        <v>401096.21000000008</v>
      </c>
      <c r="K477" s="652">
        <f>SUMIFS(OBE!$H:$H,OBE!$C:$C,'Standalone TB'!$B477,OBE!$B:$B,"A22")</f>
        <v>0</v>
      </c>
      <c r="L477" s="652">
        <f>SUMIFS('Elimination - PL'!I:I,'Elimination - PL'!A:A,"EA22",'Elimination - PL'!D:D,'Standalone TB'!B477)</f>
        <v>0</v>
      </c>
      <c r="M477" s="652">
        <f t="shared" si="57"/>
        <v>401096.21000000008</v>
      </c>
      <c r="N477" s="652">
        <f t="shared" si="55"/>
        <v>9218623.5093596186</v>
      </c>
      <c r="O477" s="652">
        <v>70270.740000000107</v>
      </c>
      <c r="P477" s="685">
        <v>1583804.1005640023</v>
      </c>
      <c r="Q477" s="684">
        <v>27896.47</v>
      </c>
      <c r="R477" s="652">
        <f>SUMIFS(OBE!$H:$H,OBE!$C:$C,'Standalone TB'!$B477,OBE!$B:$B,"A20")</f>
        <v>0</v>
      </c>
      <c r="S477" s="652">
        <f>SUMIFS('Elimination - PL'!I:I,'Elimination - PL'!A:A,"EA20",'Elimination - PL'!D:D,'Standalone TB'!B477)</f>
        <v>0</v>
      </c>
      <c r="T477" s="652">
        <f t="shared" si="58"/>
        <v>27896.47</v>
      </c>
      <c r="U477" s="652">
        <f t="shared" si="56"/>
        <v>2355069.059434691</v>
      </c>
      <c r="V477" s="652">
        <v>8306.4400000000023</v>
      </c>
      <c r="W477" s="685">
        <v>687725.05464800016</v>
      </c>
      <c r="X477" s="689">
        <f t="shared" si="59"/>
        <v>202956852.64879432</v>
      </c>
      <c r="Y477" s="689">
        <f t="shared" si="60"/>
        <v>81484770.805211991</v>
      </c>
      <c r="Z477" s="652" t="s">
        <v>816</v>
      </c>
      <c r="AA477" s="666" t="s">
        <v>152</v>
      </c>
      <c r="AB477" s="666" t="s">
        <v>158</v>
      </c>
      <c r="AD477" s="665"/>
    </row>
    <row r="478" spans="2:30" hidden="1" x14ac:dyDescent="0.2">
      <c r="B478" s="673" t="s">
        <v>1568</v>
      </c>
      <c r="C478" s="666" t="s">
        <v>2574</v>
      </c>
      <c r="D478" s="666" t="s">
        <v>670</v>
      </c>
      <c r="E478" s="684">
        <v>-673409.94999999925</v>
      </c>
      <c r="F478" s="652">
        <f>SUMIFS(OBE!$H:$H,OBE!$C:$C,'Standalone TB'!$B478,OBE!$B:$B,"A21")</f>
        <v>-84540897.902428925</v>
      </c>
      <c r="G478" s="652">
        <f>SUMIFS('Elimination - PL'!I:I,'Elimination - PL'!A:A,"EA21",'Elimination - PL'!D:D,'Standalone TB'!B478)</f>
        <v>0</v>
      </c>
      <c r="H478" s="652">
        <f t="shared" si="54"/>
        <v>-85214307.852428928</v>
      </c>
      <c r="I478" s="652">
        <v>2510573.6678732452</v>
      </c>
      <c r="J478" s="684">
        <v>0</v>
      </c>
      <c r="K478" s="652">
        <f>SUMIFS(OBE!$H:$H,OBE!$C:$C,'Standalone TB'!$B478,OBE!$B:$B,"A22")</f>
        <v>0</v>
      </c>
      <c r="L478" s="652">
        <f>SUMIFS('Elimination - PL'!I:I,'Elimination - PL'!A:A,"EA22",'Elimination - PL'!D:D,'Standalone TB'!B478)</f>
        <v>0</v>
      </c>
      <c r="M478" s="652">
        <f t="shared" si="57"/>
        <v>0</v>
      </c>
      <c r="N478" s="652">
        <f t="shared" si="55"/>
        <v>0</v>
      </c>
      <c r="O478" s="652">
        <v>0</v>
      </c>
      <c r="P478" s="685">
        <v>0</v>
      </c>
      <c r="Q478" s="684">
        <v>0</v>
      </c>
      <c r="R478" s="652">
        <f>SUMIFS(OBE!$H:$H,OBE!$C:$C,'Standalone TB'!$B478,OBE!$B:$B,"A20")</f>
        <v>0</v>
      </c>
      <c r="S478" s="652">
        <f>SUMIFS('Elimination - PL'!I:I,'Elimination - PL'!A:A,"EA20",'Elimination - PL'!D:D,'Standalone TB'!B478)</f>
        <v>0</v>
      </c>
      <c r="T478" s="652">
        <f t="shared" si="58"/>
        <v>0</v>
      </c>
      <c r="U478" s="652">
        <f t="shared" si="56"/>
        <v>0</v>
      </c>
      <c r="V478" s="652">
        <v>0</v>
      </c>
      <c r="W478" s="685">
        <v>0</v>
      </c>
      <c r="X478" s="689">
        <f t="shared" si="59"/>
        <v>-85214307.852428928</v>
      </c>
      <c r="Y478" s="689">
        <f t="shared" si="60"/>
        <v>2510573.6678732452</v>
      </c>
      <c r="Z478" s="652" t="s">
        <v>816</v>
      </c>
      <c r="AA478" s="666" t="s">
        <v>152</v>
      </c>
      <c r="AB478" s="666" t="s">
        <v>158</v>
      </c>
      <c r="AD478" s="665"/>
    </row>
    <row r="479" spans="2:30" hidden="1" x14ac:dyDescent="0.2">
      <c r="B479" s="673" t="s">
        <v>2575</v>
      </c>
      <c r="C479" s="666" t="s">
        <v>2576</v>
      </c>
      <c r="D479" s="666" t="s">
        <v>670</v>
      </c>
      <c r="E479" s="684">
        <v>0</v>
      </c>
      <c r="F479" s="652">
        <f>SUMIFS(OBE!$H:$H,OBE!$C:$C,'Standalone TB'!$B479,OBE!$B:$B,"A21")</f>
        <v>0</v>
      </c>
      <c r="G479" s="652">
        <f>SUMIFS('Elimination - PL'!I:I,'Elimination - PL'!A:A,"EA21",'Elimination - PL'!D:D,'Standalone TB'!B479)</f>
        <v>0</v>
      </c>
      <c r="H479" s="652">
        <f t="shared" si="54"/>
        <v>0</v>
      </c>
      <c r="I479" s="652">
        <v>0</v>
      </c>
      <c r="J479" s="684">
        <v>0</v>
      </c>
      <c r="K479" s="652">
        <f>SUMIFS(OBE!$H:$H,OBE!$C:$C,'Standalone TB'!$B479,OBE!$B:$B,"A22")</f>
        <v>0</v>
      </c>
      <c r="L479" s="652">
        <f>SUMIFS('Elimination - PL'!I:I,'Elimination - PL'!A:A,"EA22",'Elimination - PL'!D:D,'Standalone TB'!B479)</f>
        <v>0</v>
      </c>
      <c r="M479" s="652">
        <f t="shared" si="57"/>
        <v>0</v>
      </c>
      <c r="N479" s="652">
        <f t="shared" si="55"/>
        <v>0</v>
      </c>
      <c r="O479" s="652">
        <v>0</v>
      </c>
      <c r="P479" s="685">
        <v>0</v>
      </c>
      <c r="Q479" s="684">
        <v>0</v>
      </c>
      <c r="R479" s="652">
        <f>SUMIFS(OBE!$H:$H,OBE!$C:$C,'Standalone TB'!$B479,OBE!$B:$B,"A20")</f>
        <v>0</v>
      </c>
      <c r="S479" s="652">
        <f>SUMIFS('Elimination - PL'!I:I,'Elimination - PL'!A:A,"EA20",'Elimination - PL'!D:D,'Standalone TB'!B479)</f>
        <v>0</v>
      </c>
      <c r="T479" s="652">
        <f t="shared" si="58"/>
        <v>0</v>
      </c>
      <c r="U479" s="652">
        <f t="shared" si="56"/>
        <v>0</v>
      </c>
      <c r="V479" s="652">
        <v>0</v>
      </c>
      <c r="W479" s="685">
        <v>0</v>
      </c>
      <c r="X479" s="689">
        <f t="shared" si="59"/>
        <v>0</v>
      </c>
      <c r="Y479" s="689">
        <f t="shared" si="60"/>
        <v>0</v>
      </c>
      <c r="Z479" s="652" t="s">
        <v>816</v>
      </c>
      <c r="AA479" s="666" t="s">
        <v>152</v>
      </c>
      <c r="AB479" s="666" t="s">
        <v>158</v>
      </c>
      <c r="AD479" s="665"/>
    </row>
    <row r="480" spans="2:30" hidden="1" x14ac:dyDescent="0.2">
      <c r="B480" s="673" t="s">
        <v>1460</v>
      </c>
      <c r="C480" s="666" t="s">
        <v>1461</v>
      </c>
      <c r="D480" s="666" t="s">
        <v>670</v>
      </c>
      <c r="E480" s="684">
        <v>-98782032.349999994</v>
      </c>
      <c r="F480" s="652">
        <f>SUMIFS(OBE!$H:$H,OBE!$C:$C,'Standalone TB'!$B480,OBE!$B:$B,"A21")</f>
        <v>0</v>
      </c>
      <c r="G480" s="652">
        <f>SUMIFS('Elimination - PL'!I:I,'Elimination - PL'!A:A,"EA21",'Elimination - PL'!D:D,'Standalone TB'!B480)</f>
        <v>0</v>
      </c>
      <c r="H480" s="652">
        <f t="shared" si="54"/>
        <v>-98782032.349999994</v>
      </c>
      <c r="I480" s="652">
        <v>-58413361.909999996</v>
      </c>
      <c r="J480" s="684">
        <v>-81507.139999999985</v>
      </c>
      <c r="K480" s="652">
        <f>SUMIFS(OBE!$H:$H,OBE!$C:$C,'Standalone TB'!$B480,OBE!$B:$B,"A22")</f>
        <v>-50</v>
      </c>
      <c r="L480" s="652">
        <f>SUMIFS('Elimination - PL'!I:I,'Elimination - PL'!A:A,"EA22",'Elimination - PL'!D:D,'Standalone TB'!B480)</f>
        <v>0</v>
      </c>
      <c r="M480" s="652">
        <f t="shared" si="57"/>
        <v>-81557.139999999985</v>
      </c>
      <c r="N480" s="652">
        <f t="shared" si="55"/>
        <v>-1874474.3765096494</v>
      </c>
      <c r="O480" s="652">
        <v>-35826.899999999994</v>
      </c>
      <c r="P480" s="685">
        <v>-807488.16833999986</v>
      </c>
      <c r="Q480" s="684">
        <v>-14144.34</v>
      </c>
      <c r="R480" s="652">
        <f>SUMIFS(OBE!$H:$H,OBE!$C:$C,'Standalone TB'!$B480,OBE!$B:$B,"A20")</f>
        <v>0</v>
      </c>
      <c r="S480" s="652">
        <f>SUMIFS('Elimination - PL'!I:I,'Elimination - PL'!A:A,"EA20",'Elimination - PL'!D:D,'Standalone TB'!B480)</f>
        <v>0</v>
      </c>
      <c r="T480" s="652">
        <f t="shared" si="58"/>
        <v>-14144.34</v>
      </c>
      <c r="U480" s="652">
        <f t="shared" si="56"/>
        <v>-1194090.0587108145</v>
      </c>
      <c r="V480" s="652">
        <v>-4.4000000000003183</v>
      </c>
      <c r="W480" s="685">
        <v>-364.2944800000264</v>
      </c>
      <c r="X480" s="689">
        <f t="shared" si="59"/>
        <v>-101850596.78522046</v>
      </c>
      <c r="Y480" s="689">
        <f t="shared" si="60"/>
        <v>-59221214.372819997</v>
      </c>
      <c r="Z480" s="652" t="s">
        <v>816</v>
      </c>
      <c r="AA480" s="666" t="s">
        <v>152</v>
      </c>
      <c r="AB480" s="666" t="s">
        <v>158</v>
      </c>
      <c r="AD480" s="665"/>
    </row>
    <row r="481" spans="2:30" hidden="1" x14ac:dyDescent="0.2">
      <c r="B481" s="673" t="s">
        <v>1527</v>
      </c>
      <c r="C481" s="666" t="s">
        <v>1528</v>
      </c>
      <c r="D481" s="666" t="s">
        <v>670</v>
      </c>
      <c r="E481" s="684">
        <v>0</v>
      </c>
      <c r="F481" s="652">
        <f>SUMIFS(OBE!$H:$H,OBE!$C:$C,'Standalone TB'!$B481,OBE!$B:$B,"A21")</f>
        <v>-2396558.4396557799</v>
      </c>
      <c r="G481" s="652">
        <f>SUMIFS('Elimination - PL'!I:I,'Elimination - PL'!A:A,"EA21",'Elimination - PL'!D:D,'Standalone TB'!B481)</f>
        <v>0</v>
      </c>
      <c r="H481" s="652">
        <f t="shared" si="54"/>
        <v>-2396558.4396557799</v>
      </c>
      <c r="I481" s="652">
        <v>0</v>
      </c>
      <c r="J481" s="684">
        <v>0</v>
      </c>
      <c r="K481" s="652">
        <f>SUMIFS(OBE!$H:$H,OBE!$C:$C,'Standalone TB'!$B481,OBE!$B:$B,"A22")</f>
        <v>0</v>
      </c>
      <c r="L481" s="652">
        <f>SUMIFS('Elimination - PL'!I:I,'Elimination - PL'!A:A,"EA22",'Elimination - PL'!D:D,'Standalone TB'!B481)</f>
        <v>0</v>
      </c>
      <c r="M481" s="652">
        <f t="shared" si="57"/>
        <v>0</v>
      </c>
      <c r="N481" s="652">
        <f t="shared" si="55"/>
        <v>0</v>
      </c>
      <c r="O481" s="652">
        <v>0</v>
      </c>
      <c r="P481" s="685">
        <v>0</v>
      </c>
      <c r="Q481" s="684">
        <v>0</v>
      </c>
      <c r="R481" s="652">
        <f>SUMIFS(OBE!$H:$H,OBE!$C:$C,'Standalone TB'!$B481,OBE!$B:$B,"A20")</f>
        <v>0</v>
      </c>
      <c r="S481" s="652">
        <f>SUMIFS('Elimination - PL'!I:I,'Elimination - PL'!A:A,"EA20",'Elimination - PL'!D:D,'Standalone TB'!B481)</f>
        <v>0</v>
      </c>
      <c r="T481" s="652">
        <f t="shared" si="58"/>
        <v>0</v>
      </c>
      <c r="U481" s="652">
        <f t="shared" si="56"/>
        <v>0</v>
      </c>
      <c r="V481" s="652">
        <v>0</v>
      </c>
      <c r="W481" s="685">
        <v>0</v>
      </c>
      <c r="X481" s="689">
        <f t="shared" si="59"/>
        <v>-2396558.4396557799</v>
      </c>
      <c r="Y481" s="689">
        <f t="shared" si="60"/>
        <v>0</v>
      </c>
      <c r="Z481" s="652" t="s">
        <v>816</v>
      </c>
      <c r="AA481" s="666" t="s">
        <v>152</v>
      </c>
      <c r="AB481" s="666" t="s">
        <v>158</v>
      </c>
      <c r="AD481" s="665"/>
    </row>
    <row r="482" spans="2:30" hidden="1" x14ac:dyDescent="0.2">
      <c r="B482" s="673" t="s">
        <v>2577</v>
      </c>
      <c r="C482" s="666" t="s">
        <v>2578</v>
      </c>
      <c r="D482" s="666" t="s">
        <v>670</v>
      </c>
      <c r="E482" s="684">
        <v>1180763.72</v>
      </c>
      <c r="F482" s="652">
        <f>SUMIFS(OBE!$H:$H,OBE!$C:$C,'Standalone TB'!$B482,OBE!$B:$B,"A21")</f>
        <v>0</v>
      </c>
      <c r="G482" s="652">
        <f>SUMIFS('Elimination - PL'!I:I,'Elimination - PL'!A:A,"EA21",'Elimination - PL'!D:D,'Standalone TB'!B482)</f>
        <v>0</v>
      </c>
      <c r="H482" s="652">
        <f t="shared" si="54"/>
        <v>1180763.72</v>
      </c>
      <c r="I482" s="652">
        <v>-1180764.1300000001</v>
      </c>
      <c r="J482" s="684">
        <v>0</v>
      </c>
      <c r="K482" s="652">
        <f>SUMIFS(OBE!$H:$H,OBE!$C:$C,'Standalone TB'!$B482,OBE!$B:$B,"A22")</f>
        <v>0</v>
      </c>
      <c r="L482" s="652">
        <f>SUMIFS('Elimination - PL'!I:I,'Elimination - PL'!A:A,"EA22",'Elimination - PL'!D:D,'Standalone TB'!B482)</f>
        <v>0</v>
      </c>
      <c r="M482" s="652">
        <f t="shared" si="57"/>
        <v>0</v>
      </c>
      <c r="N482" s="652">
        <f t="shared" si="55"/>
        <v>0</v>
      </c>
      <c r="O482" s="652">
        <v>0</v>
      </c>
      <c r="P482" s="685">
        <v>0</v>
      </c>
      <c r="Q482" s="684">
        <v>0</v>
      </c>
      <c r="R482" s="652">
        <f>SUMIFS(OBE!$H:$H,OBE!$C:$C,'Standalone TB'!$B482,OBE!$B:$B,"A20")</f>
        <v>0</v>
      </c>
      <c r="S482" s="652">
        <f>SUMIFS('Elimination - PL'!I:I,'Elimination - PL'!A:A,"EA20",'Elimination - PL'!D:D,'Standalone TB'!B482)</f>
        <v>0</v>
      </c>
      <c r="T482" s="652">
        <f t="shared" si="58"/>
        <v>0</v>
      </c>
      <c r="U482" s="652">
        <f t="shared" si="56"/>
        <v>0</v>
      </c>
      <c r="V482" s="652">
        <v>0</v>
      </c>
      <c r="W482" s="685">
        <v>0</v>
      </c>
      <c r="X482" s="689">
        <f t="shared" si="59"/>
        <v>1180763.72</v>
      </c>
      <c r="Y482" s="689">
        <f t="shared" si="60"/>
        <v>-1180764.1300000001</v>
      </c>
      <c r="Z482" s="652" t="s">
        <v>816</v>
      </c>
      <c r="AA482" s="666" t="s">
        <v>152</v>
      </c>
      <c r="AB482" s="666" t="s">
        <v>158</v>
      </c>
      <c r="AD482" s="665"/>
    </row>
    <row r="483" spans="2:30" hidden="1" x14ac:dyDescent="0.2">
      <c r="B483" s="673" t="s">
        <v>1462</v>
      </c>
      <c r="C483" s="666" t="s">
        <v>2579</v>
      </c>
      <c r="D483" s="666" t="s">
        <v>670</v>
      </c>
      <c r="E483" s="684">
        <v>-3919571.4299999997</v>
      </c>
      <c r="F483" s="652">
        <f>SUMIFS(OBE!$H:$H,OBE!$C:$C,'Standalone TB'!$B483,OBE!$B:$B,"A21")</f>
        <v>0</v>
      </c>
      <c r="G483" s="652">
        <f>SUMIFS('Elimination - PL'!I:I,'Elimination - PL'!A:A,"EA21",'Elimination - PL'!D:D,'Standalone TB'!B483)</f>
        <v>0</v>
      </c>
      <c r="H483" s="652">
        <f t="shared" si="54"/>
        <v>-3919571.4299999997</v>
      </c>
      <c r="I483" s="652">
        <v>-2864271.2899999982</v>
      </c>
      <c r="J483" s="684">
        <v>7300.8600000000006</v>
      </c>
      <c r="K483" s="652">
        <f>SUMIFS(OBE!$H:$H,OBE!$C:$C,'Standalone TB'!$B483,OBE!$B:$B,"A22")</f>
        <v>0</v>
      </c>
      <c r="L483" s="652">
        <f>SUMIFS('Elimination - PL'!I:I,'Elimination - PL'!A:A,"EA22",'Elimination - PL'!D:D,'Standalone TB'!B483)</f>
        <v>0</v>
      </c>
      <c r="M483" s="652">
        <f t="shared" si="57"/>
        <v>7300.8600000000006</v>
      </c>
      <c r="N483" s="652">
        <f t="shared" si="55"/>
        <v>167799.83943140038</v>
      </c>
      <c r="O483" s="652">
        <v>-9758.74999999992</v>
      </c>
      <c r="P483" s="685">
        <v>-219948.56274999818</v>
      </c>
      <c r="Q483" s="684">
        <v>0</v>
      </c>
      <c r="R483" s="652">
        <f>SUMIFS(OBE!$H:$H,OBE!$C:$C,'Standalone TB'!$B483,OBE!$B:$B,"A20")</f>
        <v>0</v>
      </c>
      <c r="S483" s="652">
        <f>SUMIFS('Elimination - PL'!I:I,'Elimination - PL'!A:A,"EA20",'Elimination - PL'!D:D,'Standalone TB'!B483)</f>
        <v>0</v>
      </c>
      <c r="T483" s="652">
        <f t="shared" si="58"/>
        <v>0</v>
      </c>
      <c r="U483" s="652">
        <f t="shared" si="56"/>
        <v>0</v>
      </c>
      <c r="V483" s="652">
        <v>0</v>
      </c>
      <c r="W483" s="685">
        <v>0</v>
      </c>
      <c r="X483" s="689">
        <f t="shared" si="59"/>
        <v>-3751771.5905685993</v>
      </c>
      <c r="Y483" s="689">
        <f t="shared" si="60"/>
        <v>-3084219.8527499964</v>
      </c>
      <c r="Z483" s="652" t="s">
        <v>816</v>
      </c>
      <c r="AA483" s="666" t="s">
        <v>152</v>
      </c>
      <c r="AB483" s="666" t="s">
        <v>158</v>
      </c>
      <c r="AD483" s="652" t="s">
        <v>2580</v>
      </c>
    </row>
    <row r="484" spans="2:30" hidden="1" x14ac:dyDescent="0.2">
      <c r="B484" s="673" t="s">
        <v>2581</v>
      </c>
      <c r="C484" s="666" t="s">
        <v>2582</v>
      </c>
      <c r="D484" s="666" t="s">
        <v>670</v>
      </c>
      <c r="E484" s="684">
        <v>1189272.9500000002</v>
      </c>
      <c r="F484" s="652">
        <f>SUMIFS(OBE!$H:$H,OBE!$C:$C,'Standalone TB'!$B484,OBE!$B:$B,"A21")</f>
        <v>0</v>
      </c>
      <c r="G484" s="652">
        <f>SUMIFS('Elimination - PL'!I:I,'Elimination - PL'!A:A,"EA21",'Elimination - PL'!D:D,'Standalone TB'!B484)</f>
        <v>0</v>
      </c>
      <c r="H484" s="652">
        <f t="shared" ref="H484:H550" si="61">SUM(E484:G484)</f>
        <v>1189272.9500000002</v>
      </c>
      <c r="I484" s="652">
        <v>0</v>
      </c>
      <c r="J484" s="684">
        <v>0</v>
      </c>
      <c r="K484" s="652">
        <f>SUMIFS(OBE!$H:$H,OBE!$C:$C,'Standalone TB'!$B484,OBE!$B:$B,"A22")</f>
        <v>0</v>
      </c>
      <c r="L484" s="652">
        <f>SUMIFS('Elimination - PL'!I:I,'Elimination - PL'!A:A,"EA22",'Elimination - PL'!D:D,'Standalone TB'!B484)</f>
        <v>0</v>
      </c>
      <c r="M484" s="652">
        <f t="shared" si="57"/>
        <v>0</v>
      </c>
      <c r="N484" s="652">
        <f t="shared" si="55"/>
        <v>0</v>
      </c>
      <c r="O484" s="652">
        <v>0</v>
      </c>
      <c r="P484" s="685">
        <v>0</v>
      </c>
      <c r="Q484" s="684">
        <v>0</v>
      </c>
      <c r="R484" s="652">
        <f>SUMIFS(OBE!$H:$H,OBE!$C:$C,'Standalone TB'!$B484,OBE!$B:$B,"A20")</f>
        <v>0</v>
      </c>
      <c r="S484" s="652">
        <f>SUMIFS('Elimination - PL'!I:I,'Elimination - PL'!A:A,"EA20",'Elimination - PL'!D:D,'Standalone TB'!B484)</f>
        <v>0</v>
      </c>
      <c r="T484" s="652">
        <f t="shared" si="58"/>
        <v>0</v>
      </c>
      <c r="U484" s="652">
        <f t="shared" si="56"/>
        <v>0</v>
      </c>
      <c r="V484" s="652">
        <v>0</v>
      </c>
      <c r="W484" s="685">
        <v>0</v>
      </c>
      <c r="X484" s="689">
        <f t="shared" si="59"/>
        <v>1189272.9500000002</v>
      </c>
      <c r="Y484" s="689">
        <f t="shared" si="60"/>
        <v>0</v>
      </c>
      <c r="Z484" s="652" t="s">
        <v>816</v>
      </c>
      <c r="AA484" s="666" t="s">
        <v>152</v>
      </c>
      <c r="AB484" s="666" t="s">
        <v>158</v>
      </c>
      <c r="AD484" s="652"/>
    </row>
    <row r="485" spans="2:30" hidden="1" x14ac:dyDescent="0.2">
      <c r="B485" s="673" t="s">
        <v>1457</v>
      </c>
      <c r="C485" s="666" t="s">
        <v>2583</v>
      </c>
      <c r="D485" s="666" t="s">
        <v>670</v>
      </c>
      <c r="E485" s="684">
        <v>16888558</v>
      </c>
      <c r="F485" s="652">
        <f>SUMIFS(OBE!$H:$H,OBE!$C:$C,'Standalone TB'!$B485,OBE!$B:$B,"A21")</f>
        <v>0</v>
      </c>
      <c r="G485" s="652">
        <f>SUMIFS('Elimination - PL'!I:I,'Elimination - PL'!A:A,"EA21",'Elimination - PL'!D:D,'Standalone TB'!B485)</f>
        <v>0</v>
      </c>
      <c r="H485" s="652">
        <f t="shared" si="61"/>
        <v>16888558</v>
      </c>
      <c r="I485" s="652">
        <v>5954328.5600000005</v>
      </c>
      <c r="J485" s="684">
        <v>-11496.249999999953</v>
      </c>
      <c r="K485" s="652">
        <f>SUMIFS(OBE!$H:$H,OBE!$C:$C,'Standalone TB'!$B485,OBE!$B:$B,"A22")</f>
        <v>0</v>
      </c>
      <c r="L485" s="652">
        <f>SUMIFS('Elimination - PL'!I:I,'Elimination - PL'!A:A,"EA22",'Elimination - PL'!D:D,'Standalone TB'!B485)</f>
        <v>0</v>
      </c>
      <c r="M485" s="652">
        <f t="shared" si="57"/>
        <v>-11496.249999999953</v>
      </c>
      <c r="N485" s="652">
        <f t="shared" si="55"/>
        <v>-264224.88639190845</v>
      </c>
      <c r="O485" s="652">
        <v>6177.2600000008242</v>
      </c>
      <c r="P485" s="685">
        <v>139226.79223601858</v>
      </c>
      <c r="Q485" s="684">
        <v>0</v>
      </c>
      <c r="R485" s="652">
        <f>SUMIFS(OBE!$H:$H,OBE!$C:$C,'Standalone TB'!$B485,OBE!$B:$B,"A20")</f>
        <v>0</v>
      </c>
      <c r="S485" s="652">
        <f>SUMIFS('Elimination - PL'!I:I,'Elimination - PL'!A:A,"EA20",'Elimination - PL'!D:D,'Standalone TB'!B485)</f>
        <v>0</v>
      </c>
      <c r="T485" s="652">
        <f t="shared" si="58"/>
        <v>0</v>
      </c>
      <c r="U485" s="652">
        <f t="shared" si="56"/>
        <v>0</v>
      </c>
      <c r="V485" s="652">
        <v>0</v>
      </c>
      <c r="W485" s="685">
        <v>0</v>
      </c>
      <c r="X485" s="689">
        <f t="shared" si="59"/>
        <v>16624333.113608092</v>
      </c>
      <c r="Y485" s="689">
        <f t="shared" si="60"/>
        <v>6093555.3522360194</v>
      </c>
      <c r="Z485" s="652" t="s">
        <v>816</v>
      </c>
      <c r="AA485" s="666" t="s">
        <v>152</v>
      </c>
      <c r="AB485" s="666" t="s">
        <v>158</v>
      </c>
      <c r="AD485" s="652" t="s">
        <v>2584</v>
      </c>
    </row>
    <row r="486" spans="2:30" hidden="1" x14ac:dyDescent="0.2">
      <c r="B486" s="673" t="s">
        <v>2585</v>
      </c>
      <c r="C486" s="666" t="s">
        <v>2586</v>
      </c>
      <c r="D486" s="666" t="s">
        <v>670</v>
      </c>
      <c r="E486" s="684">
        <v>0</v>
      </c>
      <c r="F486" s="652">
        <f>SUMIFS(OBE!$H:$H,OBE!$C:$C,'Standalone TB'!$B486,OBE!$B:$B,"A21")</f>
        <v>0</v>
      </c>
      <c r="G486" s="652">
        <f>SUMIFS('Elimination - PL'!I:I,'Elimination - PL'!A:A,"EA21",'Elimination - PL'!D:D,'Standalone TB'!B486)</f>
        <v>0</v>
      </c>
      <c r="H486" s="652">
        <f t="shared" si="61"/>
        <v>0</v>
      </c>
      <c r="I486" s="652">
        <v>0</v>
      </c>
      <c r="J486" s="684">
        <v>0</v>
      </c>
      <c r="K486" s="652">
        <f>SUMIFS(OBE!$H:$H,OBE!$C:$C,'Standalone TB'!$B486,OBE!$B:$B,"A22")</f>
        <v>0</v>
      </c>
      <c r="L486" s="652">
        <f>SUMIFS('Elimination - PL'!I:I,'Elimination - PL'!A:A,"EA22",'Elimination - PL'!D:D,'Standalone TB'!B486)</f>
        <v>0</v>
      </c>
      <c r="M486" s="652">
        <f t="shared" si="57"/>
        <v>0</v>
      </c>
      <c r="N486" s="652">
        <f t="shared" si="55"/>
        <v>0</v>
      </c>
      <c r="O486" s="652">
        <v>0</v>
      </c>
      <c r="P486" s="685">
        <v>0</v>
      </c>
      <c r="Q486" s="684">
        <v>0</v>
      </c>
      <c r="R486" s="652">
        <f>SUMIFS(OBE!$H:$H,OBE!$C:$C,'Standalone TB'!$B486,OBE!$B:$B,"A20")</f>
        <v>0</v>
      </c>
      <c r="S486" s="652">
        <f>SUMIFS('Elimination - PL'!I:I,'Elimination - PL'!A:A,"EA20",'Elimination - PL'!D:D,'Standalone TB'!B486)</f>
        <v>0</v>
      </c>
      <c r="T486" s="652">
        <f t="shared" si="58"/>
        <v>0</v>
      </c>
      <c r="U486" s="652">
        <f t="shared" si="56"/>
        <v>0</v>
      </c>
      <c r="V486" s="652">
        <v>0</v>
      </c>
      <c r="W486" s="685">
        <v>0</v>
      </c>
      <c r="X486" s="689">
        <f t="shared" si="59"/>
        <v>0</v>
      </c>
      <c r="Y486" s="689">
        <f t="shared" si="60"/>
        <v>0</v>
      </c>
      <c r="Z486" s="652"/>
      <c r="AA486" s="666" t="s">
        <v>152</v>
      </c>
      <c r="AB486" s="666" t="s">
        <v>158</v>
      </c>
      <c r="AD486" s="665"/>
    </row>
    <row r="487" spans="2:30" hidden="1" x14ac:dyDescent="0.2">
      <c r="B487" s="673" t="s">
        <v>1549</v>
      </c>
      <c r="C487" s="666" t="s">
        <v>2587</v>
      </c>
      <c r="D487" s="666" t="s">
        <v>670</v>
      </c>
      <c r="E487" s="684">
        <v>0</v>
      </c>
      <c r="F487" s="652">
        <f>SUMIFS(OBE!$H:$H,OBE!$C:$C,'Standalone TB'!$B487,OBE!$B:$B,"A21")</f>
        <v>0</v>
      </c>
      <c r="G487" s="652">
        <f>SUMIFS('Elimination - PL'!I:I,'Elimination - PL'!A:A,"EA21",'Elimination - PL'!D:D,'Standalone TB'!B487)</f>
        <v>0</v>
      </c>
      <c r="H487" s="652">
        <f t="shared" si="61"/>
        <v>0</v>
      </c>
      <c r="I487" s="652">
        <v>0</v>
      </c>
      <c r="J487" s="684">
        <v>0</v>
      </c>
      <c r="K487" s="652">
        <f>SUMIFS(OBE!$H:$H,OBE!$C:$C,'Standalone TB'!$B487,OBE!$B:$B,"A22")</f>
        <v>0</v>
      </c>
      <c r="L487" s="652">
        <f>SUMIFS('Elimination - PL'!I:I,'Elimination - PL'!A:A,"EA22",'Elimination - PL'!D:D,'Standalone TB'!B487)</f>
        <v>0</v>
      </c>
      <c r="M487" s="652">
        <f t="shared" si="57"/>
        <v>0</v>
      </c>
      <c r="N487" s="652">
        <f t="shared" si="55"/>
        <v>0</v>
      </c>
      <c r="O487" s="652">
        <v>0</v>
      </c>
      <c r="P487" s="685">
        <v>0</v>
      </c>
      <c r="Q487" s="684">
        <v>-17429.2</v>
      </c>
      <c r="R487" s="652">
        <f>SUMIFS(OBE!$H:$H,OBE!$C:$C,'Standalone TB'!$B487,OBE!$B:$B,"A20")</f>
        <v>17429.2</v>
      </c>
      <c r="S487" s="652">
        <f>SUMIFS('Elimination - PL'!I:I,'Elimination - PL'!A:A,"EA20",'Elimination - PL'!D:D,'Standalone TB'!B487)</f>
        <v>0</v>
      </c>
      <c r="T487" s="652">
        <f t="shared" si="58"/>
        <v>0</v>
      </c>
      <c r="U487" s="652">
        <f t="shared" si="56"/>
        <v>0</v>
      </c>
      <c r="V487" s="652">
        <v>0</v>
      </c>
      <c r="W487" s="685">
        <v>0</v>
      </c>
      <c r="X487" s="689">
        <f t="shared" si="59"/>
        <v>0</v>
      </c>
      <c r="Y487" s="689">
        <f t="shared" si="60"/>
        <v>0</v>
      </c>
      <c r="Z487" s="652" t="s">
        <v>826</v>
      </c>
      <c r="AA487" s="666" t="s">
        <v>152</v>
      </c>
      <c r="AB487" s="666" t="s">
        <v>158</v>
      </c>
      <c r="AD487" s="665"/>
    </row>
    <row r="488" spans="2:30" hidden="1" x14ac:dyDescent="0.2">
      <c r="B488" s="673" t="s">
        <v>2588</v>
      </c>
      <c r="C488" s="666" t="s">
        <v>2589</v>
      </c>
      <c r="D488" s="666" t="s">
        <v>670</v>
      </c>
      <c r="E488" s="684">
        <v>0</v>
      </c>
      <c r="F488" s="652">
        <f>SUMIFS(OBE!$H:$H,OBE!$C:$C,'Standalone TB'!$B488,OBE!$B:$B,"A21")</f>
        <v>0</v>
      </c>
      <c r="G488" s="652">
        <f>SUMIFS('Elimination - PL'!I:I,'Elimination - PL'!A:A,"EA21",'Elimination - PL'!D:D,'Standalone TB'!B488)</f>
        <v>0</v>
      </c>
      <c r="H488" s="652">
        <f t="shared" si="61"/>
        <v>0</v>
      </c>
      <c r="I488" s="652">
        <v>6975</v>
      </c>
      <c r="J488" s="684">
        <v>0</v>
      </c>
      <c r="K488" s="652">
        <f>SUMIFS(OBE!$H:$H,OBE!$C:$C,'Standalone TB'!$B488,OBE!$B:$B,"A22")</f>
        <v>0</v>
      </c>
      <c r="L488" s="652">
        <f>SUMIFS('Elimination - PL'!I:I,'Elimination - PL'!A:A,"EA22",'Elimination - PL'!D:D,'Standalone TB'!B488)</f>
        <v>0</v>
      </c>
      <c r="M488" s="652">
        <f t="shared" si="57"/>
        <v>0</v>
      </c>
      <c r="N488" s="652">
        <f t="shared" si="55"/>
        <v>0</v>
      </c>
      <c r="O488" s="652">
        <v>0</v>
      </c>
      <c r="P488" s="685">
        <v>0</v>
      </c>
      <c r="Q488" s="684">
        <v>0</v>
      </c>
      <c r="R488" s="652">
        <f>SUMIFS(OBE!$H:$H,OBE!$C:$C,'Standalone TB'!$B488,OBE!$B:$B,"A20")</f>
        <v>0</v>
      </c>
      <c r="S488" s="652">
        <f>SUMIFS('Elimination - PL'!I:I,'Elimination - PL'!A:A,"EA20",'Elimination - PL'!D:D,'Standalone TB'!B488)</f>
        <v>0</v>
      </c>
      <c r="T488" s="652">
        <f t="shared" si="58"/>
        <v>0</v>
      </c>
      <c r="U488" s="652">
        <f t="shared" si="56"/>
        <v>0</v>
      </c>
      <c r="V488" s="652">
        <v>0</v>
      </c>
      <c r="W488" s="685">
        <v>0</v>
      </c>
      <c r="X488" s="689">
        <f t="shared" si="59"/>
        <v>0</v>
      </c>
      <c r="Y488" s="689">
        <f t="shared" si="60"/>
        <v>6975</v>
      </c>
      <c r="Z488" s="652" t="s">
        <v>826</v>
      </c>
      <c r="AA488" s="666" t="s">
        <v>152</v>
      </c>
      <c r="AB488" s="666" t="s">
        <v>2314</v>
      </c>
      <c r="AD488" s="665"/>
    </row>
    <row r="489" spans="2:30" hidden="1" x14ac:dyDescent="0.2">
      <c r="B489" s="673" t="s">
        <v>2590</v>
      </c>
      <c r="C489" s="666" t="s">
        <v>2591</v>
      </c>
      <c r="D489" s="666" t="s">
        <v>670</v>
      </c>
      <c r="E489" s="684">
        <v>0</v>
      </c>
      <c r="F489" s="652">
        <f>SUMIFS(OBE!$H:$H,OBE!$C:$C,'Standalone TB'!$B489,OBE!$B:$B,"A21")</f>
        <v>0</v>
      </c>
      <c r="G489" s="652">
        <f>SUMIFS('Elimination - PL'!I:I,'Elimination - PL'!A:A,"EA21",'Elimination - PL'!D:D,'Standalone TB'!B489)</f>
        <v>0</v>
      </c>
      <c r="H489" s="652">
        <f t="shared" si="61"/>
        <v>0</v>
      </c>
      <c r="I489" s="652">
        <v>0</v>
      </c>
      <c r="J489" s="684">
        <v>0</v>
      </c>
      <c r="K489" s="652">
        <f>SUMIFS(OBE!$H:$H,OBE!$C:$C,'Standalone TB'!$B489,OBE!$B:$B,"A22")</f>
        <v>0</v>
      </c>
      <c r="L489" s="652">
        <f>SUMIFS('Elimination - PL'!I:I,'Elimination - PL'!A:A,"EA22",'Elimination - PL'!D:D,'Standalone TB'!B489)</f>
        <v>0</v>
      </c>
      <c r="M489" s="652">
        <f t="shared" si="57"/>
        <v>0</v>
      </c>
      <c r="N489" s="652">
        <f t="shared" si="55"/>
        <v>0</v>
      </c>
      <c r="O489" s="652">
        <v>20000</v>
      </c>
      <c r="P489" s="685">
        <v>450772</v>
      </c>
      <c r="Q489" s="684">
        <v>0</v>
      </c>
      <c r="R489" s="652">
        <f>SUMIFS(OBE!$H:$H,OBE!$C:$C,'Standalone TB'!$B489,OBE!$B:$B,"A20")</f>
        <v>0</v>
      </c>
      <c r="S489" s="652">
        <f>SUMIFS('Elimination - PL'!I:I,'Elimination - PL'!A:A,"EA20",'Elimination - PL'!D:D,'Standalone TB'!B489)</f>
        <v>0</v>
      </c>
      <c r="T489" s="652">
        <f t="shared" si="58"/>
        <v>0</v>
      </c>
      <c r="U489" s="652">
        <f t="shared" si="56"/>
        <v>0</v>
      </c>
      <c r="V489" s="652">
        <v>0</v>
      </c>
      <c r="W489" s="685">
        <v>0</v>
      </c>
      <c r="X489" s="689">
        <f t="shared" si="59"/>
        <v>0</v>
      </c>
      <c r="Y489" s="689">
        <f t="shared" si="60"/>
        <v>450772</v>
      </c>
      <c r="Z489" s="652" t="s">
        <v>811</v>
      </c>
      <c r="AA489" s="666" t="s">
        <v>152</v>
      </c>
      <c r="AB489" s="666" t="s">
        <v>2314</v>
      </c>
      <c r="AD489" s="665"/>
    </row>
    <row r="490" spans="2:30" hidden="1" x14ac:dyDescent="0.2">
      <c r="B490" s="673" t="s">
        <v>1670</v>
      </c>
      <c r="C490" s="666" t="s">
        <v>2592</v>
      </c>
      <c r="D490" s="666" t="s">
        <v>670</v>
      </c>
      <c r="E490" s="684">
        <v>575057</v>
      </c>
      <c r="F490" s="652">
        <f>SUMIFS(OBE!$H:$H,OBE!$C:$C,'Standalone TB'!$B490,OBE!$B:$B,"A21")</f>
        <v>0</v>
      </c>
      <c r="G490" s="652">
        <f>SUMIFS('Elimination - PL'!I:I,'Elimination - PL'!A:A,"EA21",'Elimination - PL'!D:D,'Standalone TB'!B490)</f>
        <v>0</v>
      </c>
      <c r="H490" s="652">
        <f t="shared" si="61"/>
        <v>575057</v>
      </c>
      <c r="I490" s="652">
        <v>2536848.8599999994</v>
      </c>
      <c r="J490" s="684">
        <v>0</v>
      </c>
      <c r="K490" s="652">
        <f>SUMIFS(OBE!$H:$H,OBE!$C:$C,'Standalone TB'!$B490,OBE!$B:$B,"A22")</f>
        <v>0</v>
      </c>
      <c r="L490" s="652">
        <f>SUMIFS('Elimination - PL'!I:I,'Elimination - PL'!A:A,"EA22",'Elimination - PL'!D:D,'Standalone TB'!B490)</f>
        <v>0</v>
      </c>
      <c r="M490" s="652">
        <f t="shared" si="57"/>
        <v>0</v>
      </c>
      <c r="N490" s="652">
        <f t="shared" si="55"/>
        <v>0</v>
      </c>
      <c r="O490" s="652">
        <v>0</v>
      </c>
      <c r="P490" s="685">
        <v>0</v>
      </c>
      <c r="Q490" s="684">
        <v>25500</v>
      </c>
      <c r="R490" s="652">
        <f>SUMIFS(OBE!$H:$H,OBE!$C:$C,'Standalone TB'!$B490,OBE!$B:$B,"A20")</f>
        <v>-25500</v>
      </c>
      <c r="S490" s="652">
        <f>SUMIFS('Elimination - PL'!I:I,'Elimination - PL'!A:A,"EA20",'Elimination - PL'!D:D,'Standalone TB'!B490)</f>
        <v>0</v>
      </c>
      <c r="T490" s="652">
        <f t="shared" si="58"/>
        <v>0</v>
      </c>
      <c r="U490" s="652">
        <f t="shared" si="56"/>
        <v>0</v>
      </c>
      <c r="V490" s="652">
        <v>0</v>
      </c>
      <c r="W490" s="685">
        <v>0</v>
      </c>
      <c r="X490" s="689">
        <f t="shared" si="59"/>
        <v>575057</v>
      </c>
      <c r="Y490" s="689">
        <f t="shared" si="60"/>
        <v>2536848.8599999994</v>
      </c>
      <c r="Z490" s="652" t="s">
        <v>811</v>
      </c>
      <c r="AA490" s="666" t="s">
        <v>152</v>
      </c>
      <c r="AB490" s="666" t="s">
        <v>2314</v>
      </c>
      <c r="AD490" s="665"/>
    </row>
    <row r="491" spans="2:30" hidden="1" x14ac:dyDescent="0.2">
      <c r="B491" s="673" t="s">
        <v>2593</v>
      </c>
      <c r="C491" s="666" t="s">
        <v>2594</v>
      </c>
      <c r="D491" s="666" t="s">
        <v>670</v>
      </c>
      <c r="E491" s="684">
        <v>8600</v>
      </c>
      <c r="F491" s="652">
        <f>SUMIFS(OBE!$H:$H,OBE!$C:$C,'Standalone TB'!$B491,OBE!$B:$B,"A21")</f>
        <v>0</v>
      </c>
      <c r="G491" s="652">
        <f>SUMIFS('Elimination - PL'!I:I,'Elimination - PL'!A:A,"EA21",'Elimination - PL'!D:D,'Standalone TB'!B491)</f>
        <v>0</v>
      </c>
      <c r="H491" s="652">
        <f t="shared" si="61"/>
        <v>8600</v>
      </c>
      <c r="I491" s="652">
        <v>13890</v>
      </c>
      <c r="J491" s="684">
        <v>0</v>
      </c>
      <c r="K491" s="652">
        <f>SUMIFS(OBE!$H:$H,OBE!$C:$C,'Standalone TB'!$B491,OBE!$B:$B,"A22")</f>
        <v>0</v>
      </c>
      <c r="L491" s="652">
        <f>SUMIFS('Elimination - PL'!I:I,'Elimination - PL'!A:A,"EA22",'Elimination - PL'!D:D,'Standalone TB'!B491)</f>
        <v>0</v>
      </c>
      <c r="M491" s="652">
        <f t="shared" si="57"/>
        <v>0</v>
      </c>
      <c r="N491" s="652">
        <f t="shared" si="55"/>
        <v>0</v>
      </c>
      <c r="O491" s="652">
        <v>0</v>
      </c>
      <c r="P491" s="685">
        <v>0</v>
      </c>
      <c r="Q491" s="684">
        <v>0</v>
      </c>
      <c r="R491" s="652">
        <f>SUMIFS(OBE!$H:$H,OBE!$C:$C,'Standalone TB'!$B491,OBE!$B:$B,"A20")</f>
        <v>0</v>
      </c>
      <c r="S491" s="652">
        <f>SUMIFS('Elimination - PL'!I:I,'Elimination - PL'!A:A,"EA20",'Elimination - PL'!D:D,'Standalone TB'!B491)</f>
        <v>0</v>
      </c>
      <c r="T491" s="652">
        <f t="shared" si="58"/>
        <v>0</v>
      </c>
      <c r="U491" s="652">
        <f t="shared" si="56"/>
        <v>0</v>
      </c>
      <c r="V491" s="652">
        <v>0</v>
      </c>
      <c r="W491" s="685">
        <v>0</v>
      </c>
      <c r="X491" s="689">
        <f t="shared" si="59"/>
        <v>8600</v>
      </c>
      <c r="Y491" s="689">
        <f t="shared" si="60"/>
        <v>13890</v>
      </c>
      <c r="Z491" s="652" t="s">
        <v>811</v>
      </c>
      <c r="AA491" s="666" t="s">
        <v>152</v>
      </c>
      <c r="AB491" s="666" t="s">
        <v>2314</v>
      </c>
      <c r="AD491" s="665"/>
    </row>
    <row r="492" spans="2:30" hidden="1" x14ac:dyDescent="0.2">
      <c r="B492" s="673" t="s">
        <v>2595</v>
      </c>
      <c r="C492" s="666" t="s">
        <v>2596</v>
      </c>
      <c r="D492" s="666" t="s">
        <v>670</v>
      </c>
      <c r="E492" s="684">
        <v>0</v>
      </c>
      <c r="F492" s="652">
        <f>SUMIFS(OBE!$H:$H,OBE!$C:$C,'Standalone TB'!$B492,OBE!$B:$B,"A21")</f>
        <v>0</v>
      </c>
      <c r="G492" s="652">
        <f>SUMIFS('Elimination - PL'!I:I,'Elimination - PL'!A:A,"EA21",'Elimination - PL'!D:D,'Standalone TB'!B492)</f>
        <v>0</v>
      </c>
      <c r="H492" s="652">
        <f t="shared" si="61"/>
        <v>0</v>
      </c>
      <c r="I492" s="652">
        <v>0</v>
      </c>
      <c r="J492" s="684">
        <v>0</v>
      </c>
      <c r="K492" s="652">
        <f>SUMIFS(OBE!$H:$H,OBE!$C:$C,'Standalone TB'!$B492,OBE!$B:$B,"A22")</f>
        <v>0</v>
      </c>
      <c r="L492" s="652">
        <f>SUMIFS('Elimination - PL'!I:I,'Elimination - PL'!A:A,"EA22",'Elimination - PL'!D:D,'Standalone TB'!B492)</f>
        <v>0</v>
      </c>
      <c r="M492" s="652">
        <f t="shared" si="57"/>
        <v>0</v>
      </c>
      <c r="N492" s="652">
        <f t="shared" si="55"/>
        <v>0</v>
      </c>
      <c r="O492" s="652">
        <v>0</v>
      </c>
      <c r="P492" s="685">
        <v>0</v>
      </c>
      <c r="Q492" s="684">
        <v>0</v>
      </c>
      <c r="R492" s="652">
        <f>SUMIFS(OBE!$H:$H,OBE!$C:$C,'Standalone TB'!$B492,OBE!$B:$B,"A20")</f>
        <v>0</v>
      </c>
      <c r="S492" s="652">
        <f>SUMIFS('Elimination - PL'!I:I,'Elimination - PL'!A:A,"EA20",'Elimination - PL'!D:D,'Standalone TB'!B492)</f>
        <v>0</v>
      </c>
      <c r="T492" s="652">
        <f t="shared" si="58"/>
        <v>0</v>
      </c>
      <c r="U492" s="652">
        <f t="shared" si="56"/>
        <v>0</v>
      </c>
      <c r="V492" s="652">
        <v>0</v>
      </c>
      <c r="W492" s="685">
        <v>0</v>
      </c>
      <c r="X492" s="689">
        <f t="shared" si="59"/>
        <v>0</v>
      </c>
      <c r="Y492" s="689">
        <f t="shared" si="60"/>
        <v>0</v>
      </c>
      <c r="Z492" s="652" t="s">
        <v>811</v>
      </c>
      <c r="AA492" s="666" t="s">
        <v>152</v>
      </c>
      <c r="AB492" s="666" t="s">
        <v>2314</v>
      </c>
      <c r="AD492" s="665"/>
    </row>
    <row r="493" spans="2:30" hidden="1" x14ac:dyDescent="0.2">
      <c r="B493" s="673" t="s">
        <v>2597</v>
      </c>
      <c r="C493" s="666" t="s">
        <v>2598</v>
      </c>
      <c r="D493" s="666" t="s">
        <v>670</v>
      </c>
      <c r="E493" s="684">
        <v>0</v>
      </c>
      <c r="F493" s="652">
        <f>SUMIFS(OBE!$H:$H,OBE!$C:$C,'Standalone TB'!$B493,OBE!$B:$B,"A21")</f>
        <v>0</v>
      </c>
      <c r="G493" s="652">
        <f>SUMIFS('Elimination - PL'!I:I,'Elimination - PL'!A:A,"EA21",'Elimination - PL'!D:D,'Standalone TB'!B493)</f>
        <v>0</v>
      </c>
      <c r="H493" s="652">
        <f t="shared" si="61"/>
        <v>0</v>
      </c>
      <c r="I493" s="652">
        <v>0</v>
      </c>
      <c r="J493" s="684">
        <v>0</v>
      </c>
      <c r="K493" s="652">
        <f>SUMIFS(OBE!$H:$H,OBE!$C:$C,'Standalone TB'!$B493,OBE!$B:$B,"A22")</f>
        <v>0</v>
      </c>
      <c r="L493" s="652">
        <f>SUMIFS('Elimination - PL'!I:I,'Elimination - PL'!A:A,"EA22",'Elimination - PL'!D:D,'Standalone TB'!B493)</f>
        <v>0</v>
      </c>
      <c r="M493" s="652">
        <f t="shared" si="57"/>
        <v>0</v>
      </c>
      <c r="N493" s="652">
        <f t="shared" si="55"/>
        <v>0</v>
      </c>
      <c r="O493" s="652">
        <v>0</v>
      </c>
      <c r="P493" s="685">
        <v>0</v>
      </c>
      <c r="Q493" s="684">
        <v>0</v>
      </c>
      <c r="R493" s="652">
        <f>SUMIFS(OBE!$H:$H,OBE!$C:$C,'Standalone TB'!$B493,OBE!$B:$B,"A20")</f>
        <v>0</v>
      </c>
      <c r="S493" s="652">
        <f>SUMIFS('Elimination - PL'!I:I,'Elimination - PL'!A:A,"EA20",'Elimination - PL'!D:D,'Standalone TB'!B493)</f>
        <v>0</v>
      </c>
      <c r="T493" s="652">
        <f t="shared" si="58"/>
        <v>0</v>
      </c>
      <c r="U493" s="652">
        <f t="shared" si="56"/>
        <v>0</v>
      </c>
      <c r="V493" s="652">
        <v>0</v>
      </c>
      <c r="W493" s="685">
        <v>0</v>
      </c>
      <c r="X493" s="689">
        <f t="shared" si="59"/>
        <v>0</v>
      </c>
      <c r="Y493" s="689">
        <f t="shared" si="60"/>
        <v>0</v>
      </c>
      <c r="Z493" s="652" t="s">
        <v>811</v>
      </c>
      <c r="AA493" s="666" t="s">
        <v>152</v>
      </c>
      <c r="AB493" s="666" t="s">
        <v>2314</v>
      </c>
      <c r="AD493" s="665"/>
    </row>
    <row r="494" spans="2:30" hidden="1" x14ac:dyDescent="0.2">
      <c r="B494" s="673" t="s">
        <v>1586</v>
      </c>
      <c r="C494" s="666" t="s">
        <v>2534</v>
      </c>
      <c r="D494" s="666" t="s">
        <v>670</v>
      </c>
      <c r="E494" s="684">
        <v>1087506.31</v>
      </c>
      <c r="F494" s="652">
        <f>SUMIFS(OBE!$H:$H,OBE!$C:$C,'Standalone TB'!$B494,OBE!$B:$B,"A21")</f>
        <v>-241190.25</v>
      </c>
      <c r="G494" s="652">
        <f>SUMIFS('Elimination - PL'!I:I,'Elimination - PL'!A:A,"EA21",'Elimination - PL'!D:D,'Standalone TB'!B494)</f>
        <v>0</v>
      </c>
      <c r="H494" s="652">
        <f t="shared" si="61"/>
        <v>846316.06</v>
      </c>
      <c r="I494" s="652">
        <v>1517958</v>
      </c>
      <c r="J494" s="684">
        <v>120963.1</v>
      </c>
      <c r="K494" s="652">
        <f>SUMIFS(OBE!$H:$H,OBE!$C:$C,'Standalone TB'!$B494,OBE!$B:$B,"A22")</f>
        <v>-29378.16</v>
      </c>
      <c r="L494" s="652">
        <f>SUMIFS('Elimination - PL'!I:I,'Elimination - PL'!A:A,"EA22",'Elimination - PL'!D:D,'Standalone TB'!B494)</f>
        <v>0</v>
      </c>
      <c r="M494" s="652">
        <f t="shared" si="57"/>
        <v>91584.94</v>
      </c>
      <c r="N494" s="652">
        <f t="shared" si="55"/>
        <v>2104949.037008577</v>
      </c>
      <c r="O494" s="652">
        <v>92464.069999999992</v>
      </c>
      <c r="P494" s="685">
        <v>2084010.6881019997</v>
      </c>
      <c r="Q494" s="684">
        <v>20930</v>
      </c>
      <c r="R494" s="652">
        <f>SUMIFS(OBE!$H:$H,OBE!$C:$C,'Standalone TB'!$B494,OBE!$B:$B,"A20")</f>
        <v>-20930</v>
      </c>
      <c r="S494" s="652">
        <f>SUMIFS('Elimination - PL'!I:I,'Elimination - PL'!A:A,"EA20",'Elimination - PL'!D:D,'Standalone TB'!B494)</f>
        <v>0</v>
      </c>
      <c r="T494" s="652">
        <f t="shared" si="58"/>
        <v>0</v>
      </c>
      <c r="U494" s="652">
        <f t="shared" si="56"/>
        <v>0</v>
      </c>
      <c r="V494" s="652">
        <v>92400</v>
      </c>
      <c r="W494" s="685">
        <v>7650184.0800000001</v>
      </c>
      <c r="X494" s="689">
        <f t="shared" si="59"/>
        <v>2951265.0970085771</v>
      </c>
      <c r="Y494" s="689">
        <f t="shared" si="60"/>
        <v>11252152.768102</v>
      </c>
      <c r="Z494" s="652" t="s">
        <v>811</v>
      </c>
      <c r="AA494" s="666" t="s">
        <v>152</v>
      </c>
      <c r="AB494" s="666" t="s">
        <v>2314</v>
      </c>
      <c r="AD494" s="665"/>
    </row>
    <row r="495" spans="2:30" hidden="1" x14ac:dyDescent="0.2">
      <c r="B495" s="673" t="s">
        <v>2599</v>
      </c>
      <c r="C495" s="666" t="s">
        <v>2600</v>
      </c>
      <c r="D495" s="666" t="s">
        <v>670</v>
      </c>
      <c r="E495" s="684">
        <v>0</v>
      </c>
      <c r="F495" s="652">
        <f>SUMIFS(OBE!$H:$H,OBE!$C:$C,'Standalone TB'!$B495,OBE!$B:$B,"A21")</f>
        <v>0</v>
      </c>
      <c r="G495" s="652">
        <f>SUMIFS('Elimination - PL'!I:I,'Elimination - PL'!A:A,"EA21",'Elimination - PL'!D:D,'Standalone TB'!B495)</f>
        <v>0</v>
      </c>
      <c r="H495" s="652">
        <f t="shared" si="61"/>
        <v>0</v>
      </c>
      <c r="I495" s="652">
        <v>0</v>
      </c>
      <c r="J495" s="684">
        <v>0</v>
      </c>
      <c r="K495" s="652">
        <f>SUMIFS(OBE!$H:$H,OBE!$C:$C,'Standalone TB'!$B495,OBE!$B:$B,"A22")</f>
        <v>0</v>
      </c>
      <c r="L495" s="652">
        <f>SUMIFS('Elimination - PL'!I:I,'Elimination - PL'!A:A,"EA22",'Elimination - PL'!D:D,'Standalone TB'!B495)</f>
        <v>0</v>
      </c>
      <c r="M495" s="652">
        <f t="shared" si="57"/>
        <v>0</v>
      </c>
      <c r="N495" s="652">
        <f t="shared" ref="N495:N561" si="62">M495*$O$3</f>
        <v>0</v>
      </c>
      <c r="O495" s="652">
        <v>0</v>
      </c>
      <c r="P495" s="685">
        <v>0</v>
      </c>
      <c r="Q495" s="684">
        <v>0</v>
      </c>
      <c r="R495" s="652">
        <f>SUMIFS(OBE!$H:$H,OBE!$C:$C,'Standalone TB'!$B495,OBE!$B:$B,"A20")</f>
        <v>0</v>
      </c>
      <c r="S495" s="652">
        <f>SUMIFS('Elimination - PL'!I:I,'Elimination - PL'!A:A,"EA20",'Elimination - PL'!D:D,'Standalone TB'!B495)</f>
        <v>0</v>
      </c>
      <c r="T495" s="652">
        <f t="shared" si="58"/>
        <v>0</v>
      </c>
      <c r="U495" s="652">
        <f t="shared" ref="U495:U561" si="63">T495*$V$3</f>
        <v>0</v>
      </c>
      <c r="V495" s="652">
        <v>0</v>
      </c>
      <c r="W495" s="685">
        <v>0</v>
      </c>
      <c r="X495" s="689">
        <f t="shared" si="59"/>
        <v>0</v>
      </c>
      <c r="Y495" s="689">
        <f t="shared" si="60"/>
        <v>0</v>
      </c>
      <c r="Z495" s="652" t="s">
        <v>811</v>
      </c>
      <c r="AA495" s="666" t="s">
        <v>152</v>
      </c>
      <c r="AB495" s="666" t="s">
        <v>2314</v>
      </c>
      <c r="AD495" s="665"/>
    </row>
    <row r="496" spans="2:30" hidden="1" x14ac:dyDescent="0.2">
      <c r="B496" s="673" t="s">
        <v>2601</v>
      </c>
      <c r="C496" s="666" t="s">
        <v>2602</v>
      </c>
      <c r="D496" s="666" t="s">
        <v>670</v>
      </c>
      <c r="E496" s="684">
        <v>0</v>
      </c>
      <c r="F496" s="652">
        <f>SUMIFS(OBE!$H:$H,OBE!$C:$C,'Standalone TB'!$B496,OBE!$B:$B,"A21")</f>
        <v>0</v>
      </c>
      <c r="G496" s="652">
        <f>SUMIFS('Elimination - PL'!I:I,'Elimination - PL'!A:A,"EA21",'Elimination - PL'!D:D,'Standalone TB'!B496)</f>
        <v>0</v>
      </c>
      <c r="H496" s="652">
        <f t="shared" si="61"/>
        <v>0</v>
      </c>
      <c r="I496" s="652">
        <v>0</v>
      </c>
      <c r="J496" s="684">
        <v>0</v>
      </c>
      <c r="K496" s="652">
        <f>SUMIFS(OBE!$H:$H,OBE!$C:$C,'Standalone TB'!$B496,OBE!$B:$B,"A22")</f>
        <v>0</v>
      </c>
      <c r="L496" s="652">
        <f>SUMIFS('Elimination - PL'!I:I,'Elimination - PL'!A:A,"EA22",'Elimination - PL'!D:D,'Standalone TB'!B496)</f>
        <v>0</v>
      </c>
      <c r="M496" s="652">
        <f t="shared" si="57"/>
        <v>0</v>
      </c>
      <c r="N496" s="652">
        <f t="shared" si="62"/>
        <v>0</v>
      </c>
      <c r="O496" s="652">
        <v>0</v>
      </c>
      <c r="P496" s="685">
        <v>0</v>
      </c>
      <c r="Q496" s="684">
        <v>0</v>
      </c>
      <c r="R496" s="652">
        <f>SUMIFS(OBE!$H:$H,OBE!$C:$C,'Standalone TB'!$B496,OBE!$B:$B,"A20")</f>
        <v>0</v>
      </c>
      <c r="S496" s="652">
        <f>SUMIFS('Elimination - PL'!I:I,'Elimination - PL'!A:A,"EA20",'Elimination - PL'!D:D,'Standalone TB'!B496)</f>
        <v>0</v>
      </c>
      <c r="T496" s="652">
        <f t="shared" si="58"/>
        <v>0</v>
      </c>
      <c r="U496" s="652">
        <f t="shared" si="63"/>
        <v>0</v>
      </c>
      <c r="V496" s="652">
        <v>0</v>
      </c>
      <c r="W496" s="685">
        <v>0</v>
      </c>
      <c r="X496" s="689">
        <f t="shared" si="59"/>
        <v>0</v>
      </c>
      <c r="Y496" s="689">
        <f t="shared" si="60"/>
        <v>0</v>
      </c>
      <c r="Z496" s="652" t="s">
        <v>811</v>
      </c>
      <c r="AA496" s="666" t="s">
        <v>152</v>
      </c>
      <c r="AB496" s="666" t="s">
        <v>2314</v>
      </c>
      <c r="AD496" s="665"/>
    </row>
    <row r="497" spans="2:30" hidden="1" x14ac:dyDescent="0.2">
      <c r="B497" s="673" t="s">
        <v>2603</v>
      </c>
      <c r="C497" s="666" t="s">
        <v>2604</v>
      </c>
      <c r="D497" s="666" t="s">
        <v>670</v>
      </c>
      <c r="E497" s="684">
        <v>113679</v>
      </c>
      <c r="F497" s="652">
        <f>SUMIFS(OBE!$H:$H,OBE!$C:$C,'Standalone TB'!$B497,OBE!$B:$B,"A21")</f>
        <v>0</v>
      </c>
      <c r="G497" s="652">
        <f>SUMIFS('Elimination - PL'!I:I,'Elimination - PL'!A:A,"EA21",'Elimination - PL'!D:D,'Standalone TB'!B497)</f>
        <v>0</v>
      </c>
      <c r="H497" s="652">
        <f t="shared" si="61"/>
        <v>113679</v>
      </c>
      <c r="I497" s="652">
        <v>0</v>
      </c>
      <c r="J497" s="684">
        <v>0</v>
      </c>
      <c r="K497" s="652">
        <f>SUMIFS(OBE!$H:$H,OBE!$C:$C,'Standalone TB'!$B497,OBE!$B:$B,"A22")</f>
        <v>0</v>
      </c>
      <c r="L497" s="652">
        <f>SUMIFS('Elimination - PL'!I:I,'Elimination - PL'!A:A,"EA22",'Elimination - PL'!D:D,'Standalone TB'!B497)</f>
        <v>0</v>
      </c>
      <c r="M497" s="652">
        <f t="shared" si="57"/>
        <v>0</v>
      </c>
      <c r="N497" s="652">
        <f t="shared" si="62"/>
        <v>0</v>
      </c>
      <c r="O497" s="652">
        <v>0</v>
      </c>
      <c r="P497" s="685">
        <v>0</v>
      </c>
      <c r="Q497" s="684">
        <v>0</v>
      </c>
      <c r="R497" s="652">
        <f>SUMIFS(OBE!$H:$H,OBE!$C:$C,'Standalone TB'!$B497,OBE!$B:$B,"A20")</f>
        <v>0</v>
      </c>
      <c r="S497" s="652">
        <f>SUMIFS('Elimination - PL'!I:I,'Elimination - PL'!A:A,"EA20",'Elimination - PL'!D:D,'Standalone TB'!B497)</f>
        <v>0</v>
      </c>
      <c r="T497" s="652">
        <f t="shared" si="58"/>
        <v>0</v>
      </c>
      <c r="U497" s="652">
        <f t="shared" si="63"/>
        <v>0</v>
      </c>
      <c r="V497" s="652">
        <v>0</v>
      </c>
      <c r="W497" s="685">
        <v>0</v>
      </c>
      <c r="X497" s="689">
        <f t="shared" si="59"/>
        <v>113679</v>
      </c>
      <c r="Y497" s="689">
        <f t="shared" si="60"/>
        <v>0</v>
      </c>
      <c r="Z497" s="652" t="s">
        <v>811</v>
      </c>
      <c r="AA497" s="666" t="s">
        <v>152</v>
      </c>
      <c r="AB497" s="666" t="s">
        <v>2314</v>
      </c>
      <c r="AD497" s="665"/>
    </row>
    <row r="498" spans="2:30" hidden="1" x14ac:dyDescent="0.2">
      <c r="B498" s="673" t="s">
        <v>2605</v>
      </c>
      <c r="C498" s="666" t="s">
        <v>2606</v>
      </c>
      <c r="D498" s="666" t="s">
        <v>670</v>
      </c>
      <c r="E498" s="684">
        <v>640597.67000000004</v>
      </c>
      <c r="F498" s="652">
        <f>SUMIFS(OBE!$H:$H,OBE!$C:$C,'Standalone TB'!$B498,OBE!$B:$B,"A21")</f>
        <v>0</v>
      </c>
      <c r="G498" s="652">
        <f>SUMIFS('Elimination - PL'!I:I,'Elimination - PL'!A:A,"EA21",'Elimination - PL'!D:D,'Standalone TB'!B498)</f>
        <v>0</v>
      </c>
      <c r="H498" s="652">
        <f t="shared" si="61"/>
        <v>640597.67000000004</v>
      </c>
      <c r="I498" s="652">
        <v>0</v>
      </c>
      <c r="J498" s="684">
        <v>0</v>
      </c>
      <c r="K498" s="652">
        <f>SUMIFS(OBE!$H:$H,OBE!$C:$C,'Standalone TB'!$B498,OBE!$B:$B,"A22")</f>
        <v>0</v>
      </c>
      <c r="L498" s="652">
        <f>SUMIFS('Elimination - PL'!I:I,'Elimination - PL'!A:A,"EA22",'Elimination - PL'!D:D,'Standalone TB'!B498)</f>
        <v>0</v>
      </c>
      <c r="M498" s="652">
        <f t="shared" si="57"/>
        <v>0</v>
      </c>
      <c r="N498" s="652">
        <f t="shared" si="62"/>
        <v>0</v>
      </c>
      <c r="O498" s="652">
        <v>0</v>
      </c>
      <c r="P498" s="685">
        <v>0</v>
      </c>
      <c r="Q498" s="684">
        <v>0</v>
      </c>
      <c r="R498" s="652">
        <f>SUMIFS(OBE!$H:$H,OBE!$C:$C,'Standalone TB'!$B498,OBE!$B:$B,"A20")</f>
        <v>0</v>
      </c>
      <c r="S498" s="652">
        <f>SUMIFS('Elimination - PL'!I:I,'Elimination - PL'!A:A,"EA20",'Elimination - PL'!D:D,'Standalone TB'!B498)</f>
        <v>0</v>
      </c>
      <c r="T498" s="652">
        <f t="shared" si="58"/>
        <v>0</v>
      </c>
      <c r="U498" s="652">
        <f t="shared" si="63"/>
        <v>0</v>
      </c>
      <c r="V498" s="652">
        <v>0</v>
      </c>
      <c r="W498" s="685">
        <v>0</v>
      </c>
      <c r="X498" s="689">
        <f t="shared" si="59"/>
        <v>640597.67000000004</v>
      </c>
      <c r="Y498" s="689">
        <f t="shared" si="60"/>
        <v>0</v>
      </c>
      <c r="Z498" s="652" t="s">
        <v>811</v>
      </c>
      <c r="AA498" s="666" t="s">
        <v>152</v>
      </c>
      <c r="AB498" s="666" t="s">
        <v>2314</v>
      </c>
      <c r="AD498" s="665"/>
    </row>
    <row r="499" spans="2:30" hidden="1" x14ac:dyDescent="0.2">
      <c r="B499" s="673" t="s">
        <v>2607</v>
      </c>
      <c r="C499" s="666" t="s">
        <v>2608</v>
      </c>
      <c r="D499" s="666" t="s">
        <v>670</v>
      </c>
      <c r="E499" s="684">
        <v>4157816</v>
      </c>
      <c r="F499" s="652">
        <f>SUMIFS(OBE!$H:$H,OBE!$C:$C,'Standalone TB'!$B499,OBE!$B:$B,"A21")</f>
        <v>0</v>
      </c>
      <c r="G499" s="652">
        <f>SUMIFS('Elimination - PL'!I:I,'Elimination - PL'!A:A,"EA21",'Elimination - PL'!D:D,'Standalone TB'!B499)</f>
        <v>0</v>
      </c>
      <c r="H499" s="652">
        <f t="shared" si="61"/>
        <v>4157816</v>
      </c>
      <c r="I499" s="652">
        <v>4394618</v>
      </c>
      <c r="J499" s="684">
        <v>12800</v>
      </c>
      <c r="K499" s="652">
        <f>SUMIFS(OBE!$H:$H,OBE!$C:$C,'Standalone TB'!$B499,OBE!$B:$B,"A22")</f>
        <v>0</v>
      </c>
      <c r="L499" s="652">
        <f>SUMIFS('Elimination - PL'!I:I,'Elimination - PL'!A:A,"EA22",'Elimination - PL'!D:D,'Standalone TB'!B499)</f>
        <v>0</v>
      </c>
      <c r="M499" s="652">
        <f t="shared" si="57"/>
        <v>12800</v>
      </c>
      <c r="N499" s="652">
        <f t="shared" si="62"/>
        <v>294189.71802252403</v>
      </c>
      <c r="O499" s="652">
        <v>31830.53</v>
      </c>
      <c r="P499" s="685">
        <v>717415.58345799998</v>
      </c>
      <c r="Q499" s="684">
        <v>0</v>
      </c>
      <c r="R499" s="652">
        <f>SUMIFS(OBE!$H:$H,OBE!$C:$C,'Standalone TB'!$B499,OBE!$B:$B,"A20")</f>
        <v>0</v>
      </c>
      <c r="S499" s="652">
        <f>SUMIFS('Elimination - PL'!I:I,'Elimination - PL'!A:A,"EA20",'Elimination - PL'!D:D,'Standalone TB'!B499)</f>
        <v>0</v>
      </c>
      <c r="T499" s="652">
        <f t="shared" si="58"/>
        <v>0</v>
      </c>
      <c r="U499" s="652">
        <f t="shared" si="63"/>
        <v>0</v>
      </c>
      <c r="V499" s="652">
        <v>0</v>
      </c>
      <c r="W499" s="685">
        <v>0</v>
      </c>
      <c r="X499" s="689">
        <f t="shared" si="59"/>
        <v>4452005.7180225244</v>
      </c>
      <c r="Y499" s="689">
        <f t="shared" si="60"/>
        <v>5112033.5834579999</v>
      </c>
      <c r="Z499" s="652" t="s">
        <v>811</v>
      </c>
      <c r="AA499" s="666" t="s">
        <v>152</v>
      </c>
      <c r="AB499" s="666" t="s">
        <v>2314</v>
      </c>
      <c r="AD499" s="665"/>
    </row>
    <row r="500" spans="2:30" hidden="1" x14ac:dyDescent="0.2">
      <c r="B500" s="673" t="s">
        <v>1482</v>
      </c>
      <c r="C500" s="666" t="s">
        <v>1483</v>
      </c>
      <c r="D500" s="666" t="s">
        <v>670</v>
      </c>
      <c r="E500" s="684">
        <v>8666144.2300000004</v>
      </c>
      <c r="F500" s="652">
        <f>SUMIFS(OBE!$H:$H,OBE!$C:$C,'Standalone TB'!$B500,OBE!$B:$B,"A21")</f>
        <v>0</v>
      </c>
      <c r="G500" s="652">
        <f>SUMIFS('Elimination - PL'!I:I,'Elimination - PL'!A:A,"EA21",'Elimination - PL'!D:D,'Standalone TB'!B500)</f>
        <v>-8643699.2300000004</v>
      </c>
      <c r="H500" s="652">
        <f t="shared" si="61"/>
        <v>22445</v>
      </c>
      <c r="I500" s="652">
        <v>95187</v>
      </c>
      <c r="J500" s="684">
        <v>0</v>
      </c>
      <c r="K500" s="652">
        <f>SUMIFS(OBE!$H:$H,OBE!$C:$C,'Standalone TB'!$B500,OBE!$B:$B,"A22")</f>
        <v>0</v>
      </c>
      <c r="L500" s="652">
        <f>SUMIFS('Elimination - PL'!I:I,'Elimination - PL'!A:A,"EA22",'Elimination - PL'!D:D,'Standalone TB'!B500)</f>
        <v>0</v>
      </c>
      <c r="M500" s="652">
        <f t="shared" si="57"/>
        <v>0</v>
      </c>
      <c r="N500" s="652">
        <f t="shared" si="62"/>
        <v>0</v>
      </c>
      <c r="O500" s="652">
        <v>0</v>
      </c>
      <c r="P500" s="685">
        <v>0</v>
      </c>
      <c r="Q500" s="684">
        <v>0</v>
      </c>
      <c r="R500" s="652">
        <f>SUMIFS(OBE!$H:$H,OBE!$C:$C,'Standalone TB'!$B500,OBE!$B:$B,"A20")</f>
        <v>0</v>
      </c>
      <c r="S500" s="652">
        <f>SUMIFS('Elimination - PL'!I:I,'Elimination - PL'!A:A,"EA20",'Elimination - PL'!D:D,'Standalone TB'!B500)</f>
        <v>0</v>
      </c>
      <c r="T500" s="652">
        <f t="shared" si="58"/>
        <v>0</v>
      </c>
      <c r="U500" s="652">
        <f t="shared" si="63"/>
        <v>0</v>
      </c>
      <c r="V500" s="652">
        <v>0</v>
      </c>
      <c r="W500" s="685">
        <v>0</v>
      </c>
      <c r="X500" s="689">
        <f t="shared" si="59"/>
        <v>22445</v>
      </c>
      <c r="Y500" s="689">
        <f t="shared" si="60"/>
        <v>95187</v>
      </c>
      <c r="Z500" s="652" t="s">
        <v>811</v>
      </c>
      <c r="AA500" s="666" t="s">
        <v>152</v>
      </c>
      <c r="AB500" s="666" t="s">
        <v>2314</v>
      </c>
      <c r="AD500" s="665"/>
    </row>
    <row r="501" spans="2:30" hidden="1" x14ac:dyDescent="0.2">
      <c r="B501" s="673" t="s">
        <v>2609</v>
      </c>
      <c r="C501" s="666" t="s">
        <v>2610</v>
      </c>
      <c r="D501" s="666" t="s">
        <v>670</v>
      </c>
      <c r="E501" s="684">
        <v>0</v>
      </c>
      <c r="F501" s="652">
        <f>SUMIFS(OBE!$H:$H,OBE!$C:$C,'Standalone TB'!$B501,OBE!$B:$B,"A21")</f>
        <v>0</v>
      </c>
      <c r="G501" s="652">
        <f>SUMIFS('Elimination - PL'!I:I,'Elimination - PL'!A:A,"EA21",'Elimination - PL'!D:D,'Standalone TB'!B501)</f>
        <v>0</v>
      </c>
      <c r="H501" s="652">
        <f t="shared" si="61"/>
        <v>0</v>
      </c>
      <c r="I501" s="652">
        <v>0</v>
      </c>
      <c r="J501" s="684">
        <v>0</v>
      </c>
      <c r="K501" s="652">
        <f>SUMIFS(OBE!$H:$H,OBE!$C:$C,'Standalone TB'!$B501,OBE!$B:$B,"A22")</f>
        <v>0</v>
      </c>
      <c r="L501" s="652">
        <f>SUMIFS('Elimination - PL'!I:I,'Elimination - PL'!A:A,"EA22",'Elimination - PL'!D:D,'Standalone TB'!B501)</f>
        <v>0</v>
      </c>
      <c r="M501" s="652">
        <f t="shared" si="57"/>
        <v>0</v>
      </c>
      <c r="N501" s="652">
        <f t="shared" si="62"/>
        <v>0</v>
      </c>
      <c r="O501" s="652">
        <v>0</v>
      </c>
      <c r="P501" s="685">
        <v>0</v>
      </c>
      <c r="Q501" s="684">
        <v>0</v>
      </c>
      <c r="R501" s="652">
        <f>SUMIFS(OBE!$H:$H,OBE!$C:$C,'Standalone TB'!$B501,OBE!$B:$B,"A20")</f>
        <v>0</v>
      </c>
      <c r="S501" s="652">
        <f>SUMIFS('Elimination - PL'!I:I,'Elimination - PL'!A:A,"EA20",'Elimination - PL'!D:D,'Standalone TB'!B501)</f>
        <v>0</v>
      </c>
      <c r="T501" s="652">
        <f t="shared" si="58"/>
        <v>0</v>
      </c>
      <c r="U501" s="652">
        <f t="shared" si="63"/>
        <v>0</v>
      </c>
      <c r="V501" s="652">
        <v>0</v>
      </c>
      <c r="W501" s="685">
        <v>0</v>
      </c>
      <c r="X501" s="689">
        <f t="shared" si="59"/>
        <v>0</v>
      </c>
      <c r="Y501" s="689">
        <f t="shared" si="60"/>
        <v>0</v>
      </c>
      <c r="Z501" s="652" t="s">
        <v>811</v>
      </c>
      <c r="AA501" s="666" t="s">
        <v>152</v>
      </c>
      <c r="AB501" s="666" t="s">
        <v>2314</v>
      </c>
      <c r="AD501" s="665"/>
    </row>
    <row r="502" spans="2:30" hidden="1" x14ac:dyDescent="0.2">
      <c r="B502" s="673" t="s">
        <v>1547</v>
      </c>
      <c r="C502" s="666" t="s">
        <v>2533</v>
      </c>
      <c r="D502" s="666" t="s">
        <v>670</v>
      </c>
      <c r="E502" s="684">
        <v>37552459.969999999</v>
      </c>
      <c r="F502" s="652">
        <f>SUMIFS(OBE!$H:$H,OBE!$C:$C,'Standalone TB'!$B502,OBE!$B:$B,"A21")</f>
        <v>-897743.2</v>
      </c>
      <c r="G502" s="652">
        <f>SUMIFS('Elimination - PL'!I:I,'Elimination - PL'!A:A,"EA21",'Elimination - PL'!D:D,'Standalone TB'!B502)</f>
        <v>0</v>
      </c>
      <c r="H502" s="652">
        <f t="shared" si="61"/>
        <v>36654716.769999996</v>
      </c>
      <c r="I502" s="652">
        <v>6257379.2800000003</v>
      </c>
      <c r="J502" s="684">
        <v>221084.71</v>
      </c>
      <c r="K502" s="652">
        <f>SUMIFS(OBE!$H:$H,OBE!$C:$C,'Standalone TB'!$B502,OBE!$B:$B,"A22")</f>
        <v>-233861.67000000004</v>
      </c>
      <c r="L502" s="652">
        <f>SUMIFS('Elimination - PL'!I:I,'Elimination - PL'!A:A,"EA22",'Elimination - PL'!D:D,'Standalone TB'!B502)</f>
        <v>0</v>
      </c>
      <c r="M502" s="652">
        <f t="shared" si="57"/>
        <v>-12776.96000000005</v>
      </c>
      <c r="N502" s="652">
        <f t="shared" si="62"/>
        <v>-293660.17653008463</v>
      </c>
      <c r="O502" s="652">
        <v>1085.849999999999</v>
      </c>
      <c r="P502" s="685">
        <v>24473.538809999976</v>
      </c>
      <c r="Q502" s="684">
        <v>-219058.04</v>
      </c>
      <c r="R502" s="652">
        <f>SUMIFS(OBE!$H:$H,OBE!$C:$C,'Standalone TB'!$B502,OBE!$B:$B,"A20")</f>
        <v>133058.04</v>
      </c>
      <c r="S502" s="652">
        <f>SUMIFS('Elimination - PL'!I:I,'Elimination - PL'!A:A,"EA20",'Elimination - PL'!D:D,'Standalone TB'!B502)</f>
        <v>0</v>
      </c>
      <c r="T502" s="652">
        <f t="shared" si="58"/>
        <v>-86000</v>
      </c>
      <c r="U502" s="652">
        <f t="shared" si="63"/>
        <v>-7260271.2497811876</v>
      </c>
      <c r="V502" s="652">
        <v>342758.04000000004</v>
      </c>
      <c r="W502" s="685">
        <v>28378377.715368003</v>
      </c>
      <c r="X502" s="689">
        <f t="shared" si="59"/>
        <v>29100785.343688723</v>
      </c>
      <c r="Y502" s="689">
        <f t="shared" si="60"/>
        <v>34660230.534178004</v>
      </c>
      <c r="Z502" s="652" t="s">
        <v>811</v>
      </c>
      <c r="AA502" s="666" t="s">
        <v>152</v>
      </c>
      <c r="AB502" s="666" t="s">
        <v>2314</v>
      </c>
      <c r="AD502" s="665"/>
    </row>
    <row r="503" spans="2:30" hidden="1" x14ac:dyDescent="0.2">
      <c r="B503" s="673" t="s">
        <v>2611</v>
      </c>
      <c r="C503" s="666" t="s">
        <v>2612</v>
      </c>
      <c r="D503" s="666" t="s">
        <v>670</v>
      </c>
      <c r="E503" s="684">
        <v>0</v>
      </c>
      <c r="F503" s="652">
        <f>SUMIFS(OBE!$H:$H,OBE!$C:$C,'Standalone TB'!$B503,OBE!$B:$B,"A21")</f>
        <v>0</v>
      </c>
      <c r="G503" s="652">
        <f>SUMIFS('Elimination - PL'!I:I,'Elimination - PL'!A:A,"EA21",'Elimination - PL'!D:D,'Standalone TB'!B503)</f>
        <v>0</v>
      </c>
      <c r="H503" s="652">
        <f t="shared" si="61"/>
        <v>0</v>
      </c>
      <c r="I503" s="652">
        <v>0</v>
      </c>
      <c r="J503" s="684">
        <v>0</v>
      </c>
      <c r="K503" s="652">
        <f>SUMIFS(OBE!$H:$H,OBE!$C:$C,'Standalone TB'!$B503,OBE!$B:$B,"A22")</f>
        <v>0</v>
      </c>
      <c r="L503" s="652">
        <f>SUMIFS('Elimination - PL'!I:I,'Elimination - PL'!A:A,"EA22",'Elimination - PL'!D:D,'Standalone TB'!B503)</f>
        <v>0</v>
      </c>
      <c r="M503" s="652">
        <f t="shared" si="57"/>
        <v>0</v>
      </c>
      <c r="N503" s="652">
        <f t="shared" si="62"/>
        <v>0</v>
      </c>
      <c r="O503" s="652">
        <v>0</v>
      </c>
      <c r="P503" s="685">
        <v>0</v>
      </c>
      <c r="Q503" s="684">
        <v>0</v>
      </c>
      <c r="R503" s="652">
        <f>SUMIFS(OBE!$H:$H,OBE!$C:$C,'Standalone TB'!$B503,OBE!$B:$B,"A20")</f>
        <v>0</v>
      </c>
      <c r="S503" s="652">
        <f>SUMIFS('Elimination - PL'!I:I,'Elimination - PL'!A:A,"EA20",'Elimination - PL'!D:D,'Standalone TB'!B503)</f>
        <v>0</v>
      </c>
      <c r="T503" s="652">
        <f t="shared" si="58"/>
        <v>0</v>
      </c>
      <c r="U503" s="652">
        <f t="shared" si="63"/>
        <v>0</v>
      </c>
      <c r="V503" s="652">
        <v>0</v>
      </c>
      <c r="W503" s="685">
        <v>0</v>
      </c>
      <c r="X503" s="689">
        <f t="shared" si="59"/>
        <v>0</v>
      </c>
      <c r="Y503" s="689">
        <f t="shared" si="60"/>
        <v>0</v>
      </c>
      <c r="Z503" s="652"/>
      <c r="AA503" s="666" t="s">
        <v>152</v>
      </c>
      <c r="AB503" s="666" t="s">
        <v>2314</v>
      </c>
      <c r="AD503" s="665"/>
    </row>
    <row r="504" spans="2:30" hidden="1" x14ac:dyDescent="0.2">
      <c r="B504" s="673" t="s">
        <v>2613</v>
      </c>
      <c r="C504" s="666" t="s">
        <v>2614</v>
      </c>
      <c r="D504" s="666" t="s">
        <v>670</v>
      </c>
      <c r="E504" s="684">
        <v>-6406849</v>
      </c>
      <c r="F504" s="652">
        <f>SUMIFS(OBE!$H:$H,OBE!$C:$C,'Standalone TB'!$B504,OBE!$B:$B,"A21")</f>
        <v>146995</v>
      </c>
      <c r="G504" s="652">
        <f>SUMIFS('Elimination - PL'!I:I,'Elimination - PL'!A:A,"EA21",'Elimination - PL'!D:D,'Standalone TB'!B504)</f>
        <v>0</v>
      </c>
      <c r="H504" s="652">
        <f t="shared" si="61"/>
        <v>-6259854</v>
      </c>
      <c r="I504" s="652">
        <v>0</v>
      </c>
      <c r="J504" s="684">
        <v>0</v>
      </c>
      <c r="K504" s="652">
        <f>SUMIFS(OBE!$H:$H,OBE!$C:$C,'Standalone TB'!$B504,OBE!$B:$B,"A22")</f>
        <v>0</v>
      </c>
      <c r="L504" s="652">
        <f>SUMIFS('Elimination - PL'!I:I,'Elimination - PL'!A:A,"EA22",'Elimination - PL'!D:D,'Standalone TB'!B504)</f>
        <v>0</v>
      </c>
      <c r="M504" s="652">
        <f t="shared" si="57"/>
        <v>0</v>
      </c>
      <c r="N504" s="652">
        <f t="shared" si="62"/>
        <v>0</v>
      </c>
      <c r="O504" s="652">
        <v>0</v>
      </c>
      <c r="P504" s="685">
        <v>0</v>
      </c>
      <c r="Q504" s="684">
        <v>0</v>
      </c>
      <c r="R504" s="652">
        <f>SUMIFS(OBE!$H:$H,OBE!$C:$C,'Standalone TB'!$B504,OBE!$B:$B,"A20")</f>
        <v>0</v>
      </c>
      <c r="S504" s="652">
        <f>SUMIFS('Elimination - PL'!I:I,'Elimination - PL'!A:A,"EA20",'Elimination - PL'!D:D,'Standalone TB'!B504)</f>
        <v>0</v>
      </c>
      <c r="T504" s="652">
        <f t="shared" si="58"/>
        <v>0</v>
      </c>
      <c r="U504" s="652">
        <f t="shared" si="63"/>
        <v>0</v>
      </c>
      <c r="V504" s="652">
        <v>0</v>
      </c>
      <c r="W504" s="685">
        <v>0</v>
      </c>
      <c r="X504" s="689">
        <f t="shared" si="59"/>
        <v>-6259854</v>
      </c>
      <c r="Y504" s="689">
        <f t="shared" si="60"/>
        <v>0</v>
      </c>
      <c r="Z504" s="652" t="s">
        <v>779</v>
      </c>
      <c r="AA504" s="652" t="s">
        <v>2266</v>
      </c>
      <c r="AB504" s="666" t="s">
        <v>150</v>
      </c>
      <c r="AD504" s="665"/>
    </row>
    <row r="505" spans="2:30" hidden="1" x14ac:dyDescent="0.2">
      <c r="B505" s="673" t="s">
        <v>2615</v>
      </c>
      <c r="C505" s="666" t="s">
        <v>2616</v>
      </c>
      <c r="D505" s="666" t="s">
        <v>670</v>
      </c>
      <c r="E505" s="684">
        <v>4262360.12</v>
      </c>
      <c r="F505" s="652">
        <f>SUMIFS(OBE!$H:$H,OBE!$C:$C,'Standalone TB'!$B505,OBE!$B:$B,"A21")</f>
        <v>-105199</v>
      </c>
      <c r="G505" s="652">
        <f>SUMIFS('Elimination - PL'!I:I,'Elimination - PL'!A:A,"EA21",'Elimination - PL'!D:D,'Standalone TB'!B505)</f>
        <v>0</v>
      </c>
      <c r="H505" s="652">
        <f t="shared" si="61"/>
        <v>4157161.12</v>
      </c>
      <c r="I505" s="652">
        <v>-697755.76</v>
      </c>
      <c r="J505" s="684">
        <v>0</v>
      </c>
      <c r="K505" s="652">
        <f>SUMIFS(OBE!$H:$H,OBE!$C:$C,'Standalone TB'!$B505,OBE!$B:$B,"A22")</f>
        <v>0</v>
      </c>
      <c r="L505" s="652">
        <f>SUMIFS('Elimination - PL'!I:I,'Elimination - PL'!A:A,"EA22",'Elimination - PL'!D:D,'Standalone TB'!B505)</f>
        <v>0</v>
      </c>
      <c r="M505" s="652">
        <f t="shared" si="57"/>
        <v>0</v>
      </c>
      <c r="N505" s="652">
        <f t="shared" si="62"/>
        <v>0</v>
      </c>
      <c r="O505" s="652">
        <v>0</v>
      </c>
      <c r="P505" s="685">
        <v>0</v>
      </c>
      <c r="Q505" s="684">
        <v>0</v>
      </c>
      <c r="R505" s="652">
        <f>SUMIFS(OBE!$H:$H,OBE!$C:$C,'Standalone TB'!$B505,OBE!$B:$B,"A20")</f>
        <v>0</v>
      </c>
      <c r="S505" s="652">
        <f>SUMIFS('Elimination - PL'!I:I,'Elimination - PL'!A:A,"EA20",'Elimination - PL'!D:D,'Standalone TB'!B505)</f>
        <v>0</v>
      </c>
      <c r="T505" s="652">
        <f t="shared" si="58"/>
        <v>0</v>
      </c>
      <c r="U505" s="652">
        <f t="shared" si="63"/>
        <v>0</v>
      </c>
      <c r="V505" s="652">
        <v>0</v>
      </c>
      <c r="W505" s="685">
        <v>0</v>
      </c>
      <c r="X505" s="689">
        <f t="shared" si="59"/>
        <v>4157161.12</v>
      </c>
      <c r="Y505" s="689">
        <f t="shared" si="60"/>
        <v>-697755.76</v>
      </c>
      <c r="Z505" s="652" t="s">
        <v>779</v>
      </c>
      <c r="AA505" s="652" t="s">
        <v>2266</v>
      </c>
      <c r="AB505" s="666" t="s">
        <v>150</v>
      </c>
      <c r="AD505" s="665"/>
    </row>
    <row r="506" spans="2:30" hidden="1" x14ac:dyDescent="0.2">
      <c r="B506" s="673" t="s">
        <v>1561</v>
      </c>
      <c r="C506" s="666" t="s">
        <v>1562</v>
      </c>
      <c r="D506" s="666" t="s">
        <v>670</v>
      </c>
      <c r="E506" s="684">
        <v>76088815.010000005</v>
      </c>
      <c r="F506" s="652">
        <f>SUMIFS(OBE!$H:$H,OBE!$C:$C,'Standalone TB'!$B506,OBE!$B:$B,"A21")</f>
        <v>-76088815.010000005</v>
      </c>
      <c r="G506" s="652">
        <f>SUMIFS('Elimination - PL'!I:I,'Elimination - PL'!A:A,"EA21",'Elimination - PL'!D:D,'Standalone TB'!B506)</f>
        <v>0</v>
      </c>
      <c r="H506" s="652">
        <f t="shared" si="61"/>
        <v>0</v>
      </c>
      <c r="I506" s="652">
        <v>0</v>
      </c>
      <c r="J506" s="684">
        <v>0</v>
      </c>
      <c r="K506" s="652">
        <f>SUMIFS(OBE!$H:$H,OBE!$C:$C,'Standalone TB'!$B506,OBE!$B:$B,"A22")</f>
        <v>0</v>
      </c>
      <c r="L506" s="652">
        <f>SUMIFS('Elimination - PL'!I:I,'Elimination - PL'!A:A,"EA22",'Elimination - PL'!D:D,'Standalone TB'!B506)</f>
        <v>0</v>
      </c>
      <c r="M506" s="652">
        <f t="shared" si="57"/>
        <v>0</v>
      </c>
      <c r="N506" s="652">
        <f t="shared" si="62"/>
        <v>0</v>
      </c>
      <c r="O506" s="652">
        <v>0</v>
      </c>
      <c r="P506" s="685">
        <v>0</v>
      </c>
      <c r="Q506" s="684">
        <v>0</v>
      </c>
      <c r="R506" s="652">
        <f>SUMIFS(OBE!$H:$H,OBE!$C:$C,'Standalone TB'!$B506,OBE!$B:$B,"A20")</f>
        <v>0</v>
      </c>
      <c r="S506" s="652">
        <f>SUMIFS('Elimination - PL'!I:I,'Elimination - PL'!A:A,"EA20",'Elimination - PL'!D:D,'Standalone TB'!B506)</f>
        <v>0</v>
      </c>
      <c r="T506" s="652">
        <f t="shared" si="58"/>
        <v>0</v>
      </c>
      <c r="U506" s="652">
        <f t="shared" si="63"/>
        <v>0</v>
      </c>
      <c r="V506" s="652">
        <v>0</v>
      </c>
      <c r="W506" s="685">
        <v>0</v>
      </c>
      <c r="X506" s="689">
        <f t="shared" si="59"/>
        <v>0</v>
      </c>
      <c r="Y506" s="689">
        <f t="shared" si="60"/>
        <v>0</v>
      </c>
      <c r="Z506" s="652" t="s">
        <v>780</v>
      </c>
      <c r="AA506" s="652" t="s">
        <v>2266</v>
      </c>
      <c r="AB506" s="666" t="s">
        <v>150</v>
      </c>
      <c r="AD506" s="665"/>
    </row>
    <row r="507" spans="2:30" hidden="1" x14ac:dyDescent="0.2">
      <c r="B507" s="673" t="s">
        <v>2617</v>
      </c>
      <c r="C507" s="666" t="s">
        <v>2618</v>
      </c>
      <c r="D507" s="666" t="s">
        <v>670</v>
      </c>
      <c r="E507" s="684">
        <v>-65764</v>
      </c>
      <c r="F507" s="652">
        <f>SUMIFS(OBE!$H:$H,OBE!$C:$C,'Standalone TB'!$B507,OBE!$B:$B,"A21")</f>
        <v>-41796</v>
      </c>
      <c r="G507" s="652">
        <f>SUMIFS('Elimination - PL'!I:I,'Elimination - PL'!A:A,"EA21",'Elimination - PL'!D:D,'Standalone TB'!B507)</f>
        <v>0</v>
      </c>
      <c r="H507" s="652">
        <f t="shared" si="61"/>
        <v>-107560</v>
      </c>
      <c r="I507" s="652">
        <v>85813</v>
      </c>
      <c r="J507" s="684">
        <v>0</v>
      </c>
      <c r="K507" s="652">
        <f>SUMIFS(OBE!$H:$H,OBE!$C:$C,'Standalone TB'!$B507,OBE!$B:$B,"A22")</f>
        <v>0</v>
      </c>
      <c r="L507" s="652">
        <f>SUMIFS('Elimination - PL'!I:I,'Elimination - PL'!A:A,"EA22",'Elimination - PL'!D:D,'Standalone TB'!B507)</f>
        <v>0</v>
      </c>
      <c r="M507" s="652">
        <f t="shared" si="57"/>
        <v>0</v>
      </c>
      <c r="N507" s="652">
        <f t="shared" si="62"/>
        <v>0</v>
      </c>
      <c r="O507" s="652">
        <v>0</v>
      </c>
      <c r="P507" s="685">
        <v>0</v>
      </c>
      <c r="Q507" s="684">
        <v>0</v>
      </c>
      <c r="R507" s="652">
        <f>SUMIFS(OBE!$H:$H,OBE!$C:$C,'Standalone TB'!$B507,OBE!$B:$B,"A20")</f>
        <v>0</v>
      </c>
      <c r="S507" s="652">
        <f>SUMIFS('Elimination - PL'!I:I,'Elimination - PL'!A:A,"EA20",'Elimination - PL'!D:D,'Standalone TB'!B507)</f>
        <v>0</v>
      </c>
      <c r="T507" s="652">
        <f t="shared" si="58"/>
        <v>0</v>
      </c>
      <c r="U507" s="652">
        <f t="shared" si="63"/>
        <v>0</v>
      </c>
      <c r="V507" s="652">
        <v>0</v>
      </c>
      <c r="W507" s="685">
        <v>0</v>
      </c>
      <c r="X507" s="689">
        <f t="shared" si="59"/>
        <v>-107560</v>
      </c>
      <c r="Y507" s="689">
        <f t="shared" si="60"/>
        <v>85813</v>
      </c>
      <c r="Z507" s="652" t="s">
        <v>823</v>
      </c>
      <c r="AA507" s="666" t="s">
        <v>152</v>
      </c>
      <c r="AB507" s="666" t="s">
        <v>2314</v>
      </c>
      <c r="AD507" s="665"/>
    </row>
    <row r="508" spans="2:30" hidden="1" x14ac:dyDescent="0.2">
      <c r="B508" s="673" t="s">
        <v>2619</v>
      </c>
      <c r="C508" s="666" t="s">
        <v>2620</v>
      </c>
      <c r="D508" s="666" t="s">
        <v>670</v>
      </c>
      <c r="E508" s="684">
        <v>1156900.8999999999</v>
      </c>
      <c r="F508" s="652">
        <f>SUMIFS(OBE!$H:$H,OBE!$C:$C,'Standalone TB'!$B508,OBE!$B:$B,"A21")</f>
        <v>-1037300.9</v>
      </c>
      <c r="G508" s="652">
        <f>SUMIFS('Elimination - PL'!I:I,'Elimination - PL'!A:A,"EA21",'Elimination - PL'!D:D,'Standalone TB'!B508)</f>
        <v>0</v>
      </c>
      <c r="H508" s="652">
        <f t="shared" si="61"/>
        <v>119599.99999999988</v>
      </c>
      <c r="I508" s="652">
        <v>64737</v>
      </c>
      <c r="J508" s="684">
        <v>-7775</v>
      </c>
      <c r="K508" s="652">
        <f>SUMIFS(OBE!$H:$H,OBE!$C:$C,'Standalone TB'!$B508,OBE!$B:$B,"A22")</f>
        <v>0</v>
      </c>
      <c r="L508" s="652">
        <f>SUMIFS('Elimination - PL'!I:I,'Elimination - PL'!A:A,"EA22",'Elimination - PL'!D:D,'Standalone TB'!B508)</f>
        <v>0</v>
      </c>
      <c r="M508" s="652">
        <f t="shared" si="57"/>
        <v>-7775</v>
      </c>
      <c r="N508" s="652">
        <f t="shared" si="62"/>
        <v>-178697.27012696283</v>
      </c>
      <c r="O508" s="652">
        <v>0</v>
      </c>
      <c r="P508" s="685">
        <v>0</v>
      </c>
      <c r="Q508" s="684">
        <v>0</v>
      </c>
      <c r="R508" s="652">
        <f>SUMIFS(OBE!$H:$H,OBE!$C:$C,'Standalone TB'!$B508,OBE!$B:$B,"A20")</f>
        <v>0</v>
      </c>
      <c r="S508" s="652">
        <f>SUMIFS('Elimination - PL'!I:I,'Elimination - PL'!A:A,"EA20",'Elimination - PL'!D:D,'Standalone TB'!B508)</f>
        <v>0</v>
      </c>
      <c r="T508" s="652">
        <f t="shared" si="58"/>
        <v>0</v>
      </c>
      <c r="U508" s="652">
        <f t="shared" si="63"/>
        <v>0</v>
      </c>
      <c r="V508" s="652">
        <v>0</v>
      </c>
      <c r="W508" s="685">
        <v>0</v>
      </c>
      <c r="X508" s="689">
        <f t="shared" si="59"/>
        <v>-59097.270126962947</v>
      </c>
      <c r="Y508" s="689">
        <f t="shared" si="60"/>
        <v>64737</v>
      </c>
      <c r="Z508" s="652" t="s">
        <v>825</v>
      </c>
      <c r="AA508" s="666" t="s">
        <v>152</v>
      </c>
      <c r="AB508" s="666" t="s">
        <v>2314</v>
      </c>
      <c r="AD508" s="665"/>
    </row>
    <row r="509" spans="2:30" hidden="1" x14ac:dyDescent="0.2">
      <c r="B509" s="673" t="s">
        <v>1612</v>
      </c>
      <c r="C509" s="666" t="s">
        <v>2621</v>
      </c>
      <c r="D509" s="666" t="s">
        <v>670</v>
      </c>
      <c r="E509" s="684">
        <v>15076303.119999999</v>
      </c>
      <c r="F509" s="652">
        <f>SUMIFS(OBE!$H:$H,OBE!$C:$C,'Standalone TB'!$B509,OBE!$B:$B,"A21")</f>
        <v>1970460</v>
      </c>
      <c r="G509" s="652">
        <f>SUMIFS('Elimination - PL'!I:I,'Elimination - PL'!A:A,"EA21",'Elimination - PL'!D:D,'Standalone TB'!B509)</f>
        <v>0</v>
      </c>
      <c r="H509" s="652">
        <f t="shared" si="61"/>
        <v>17046763.119999997</v>
      </c>
      <c r="I509" s="652">
        <v>8874766.9199999999</v>
      </c>
      <c r="J509" s="684">
        <v>0</v>
      </c>
      <c r="K509" s="652">
        <f>SUMIFS(OBE!$H:$H,OBE!$C:$C,'Standalone TB'!$B509,OBE!$B:$B,"A22")</f>
        <v>0</v>
      </c>
      <c r="L509" s="652">
        <f>SUMIFS('Elimination - PL'!I:I,'Elimination - PL'!A:A,"EA22",'Elimination - PL'!D:D,'Standalone TB'!B509)</f>
        <v>0</v>
      </c>
      <c r="M509" s="652">
        <f t="shared" si="57"/>
        <v>0</v>
      </c>
      <c r="N509" s="652">
        <f t="shared" si="62"/>
        <v>0</v>
      </c>
      <c r="O509" s="652">
        <v>0</v>
      </c>
      <c r="P509" s="685">
        <v>0</v>
      </c>
      <c r="Q509" s="684">
        <v>4700</v>
      </c>
      <c r="R509" s="652">
        <f>SUMIFS(OBE!$H:$H,OBE!$C:$C,'Standalone TB'!$B509,OBE!$B:$B,"A20")</f>
        <v>-3153.17</v>
      </c>
      <c r="S509" s="652">
        <f>SUMIFS('Elimination - PL'!I:I,'Elimination - PL'!A:A,"EA20",'Elimination - PL'!D:D,'Standalone TB'!B509)</f>
        <v>0</v>
      </c>
      <c r="T509" s="652">
        <f t="shared" si="58"/>
        <v>1546.83</v>
      </c>
      <c r="U509" s="652">
        <f t="shared" si="63"/>
        <v>130586.10903836085</v>
      </c>
      <c r="V509" s="652">
        <v>0</v>
      </c>
      <c r="W509" s="685">
        <v>0</v>
      </c>
      <c r="X509" s="689">
        <f t="shared" si="59"/>
        <v>17177349.229038358</v>
      </c>
      <c r="Y509" s="689">
        <f t="shared" si="60"/>
        <v>8874766.9199999999</v>
      </c>
      <c r="Z509" s="652" t="s">
        <v>825</v>
      </c>
      <c r="AA509" s="666" t="s">
        <v>152</v>
      </c>
      <c r="AB509" s="666" t="s">
        <v>2314</v>
      </c>
      <c r="AD509" s="665"/>
    </row>
    <row r="510" spans="2:30" hidden="1" x14ac:dyDescent="0.2">
      <c r="B510" s="673" t="s">
        <v>2622</v>
      </c>
      <c r="C510" s="911" t="s">
        <v>2623</v>
      </c>
      <c r="D510" s="666" t="s">
        <v>670</v>
      </c>
      <c r="E510" s="684">
        <v>70747.81</v>
      </c>
      <c r="F510" s="652">
        <f>SUMIFS(OBE!$H:$H,OBE!$C:$C,'Standalone TB'!$B510,OBE!$B:$B,"A21")</f>
        <v>0</v>
      </c>
      <c r="G510" s="652">
        <f>SUMIFS('Elimination - PL'!I:I,'Elimination - PL'!A:A,"EA21",'Elimination - PL'!D:D,'Standalone TB'!B510)</f>
        <v>0</v>
      </c>
      <c r="H510" s="652">
        <f t="shared" si="61"/>
        <v>70747.81</v>
      </c>
      <c r="I510" s="652">
        <v>18507.620000000003</v>
      </c>
      <c r="J510" s="684">
        <v>0</v>
      </c>
      <c r="K510" s="652">
        <f>SUMIFS(OBE!$H:$H,OBE!$C:$C,'Standalone TB'!$B510,OBE!$B:$B,"A22")</f>
        <v>0</v>
      </c>
      <c r="L510" s="652">
        <f>SUMIFS('Elimination - PL'!I:I,'Elimination - PL'!A:A,"EA22",'Elimination - PL'!D:D,'Standalone TB'!B510)</f>
        <v>0</v>
      </c>
      <c r="M510" s="652">
        <f t="shared" si="57"/>
        <v>0</v>
      </c>
      <c r="N510" s="652">
        <f t="shared" si="62"/>
        <v>0</v>
      </c>
      <c r="O510" s="652">
        <v>0</v>
      </c>
      <c r="P510" s="685">
        <v>0</v>
      </c>
      <c r="Q510" s="684">
        <v>0</v>
      </c>
      <c r="R510" s="652">
        <f>SUMIFS(OBE!$H:$H,OBE!$C:$C,'Standalone TB'!$B510,OBE!$B:$B,"A20")</f>
        <v>0</v>
      </c>
      <c r="S510" s="652">
        <f>SUMIFS('Elimination - PL'!I:I,'Elimination - PL'!A:A,"EA20",'Elimination - PL'!D:D,'Standalone TB'!B510)</f>
        <v>0</v>
      </c>
      <c r="T510" s="652">
        <f t="shared" si="58"/>
        <v>0</v>
      </c>
      <c r="U510" s="652">
        <f t="shared" si="63"/>
        <v>0</v>
      </c>
      <c r="V510" s="652">
        <v>0</v>
      </c>
      <c r="W510" s="685">
        <v>0</v>
      </c>
      <c r="X510" s="689">
        <f t="shared" si="59"/>
        <v>70747.81</v>
      </c>
      <c r="Y510" s="689">
        <f t="shared" si="60"/>
        <v>18507.620000000003</v>
      </c>
      <c r="Z510" s="652" t="s">
        <v>825</v>
      </c>
      <c r="AA510" s="666" t="s">
        <v>152</v>
      </c>
      <c r="AB510" s="666" t="s">
        <v>2314</v>
      </c>
      <c r="AD510" s="665"/>
    </row>
    <row r="511" spans="2:30" hidden="1" x14ac:dyDescent="0.2">
      <c r="B511" s="673" t="s">
        <v>1673</v>
      </c>
      <c r="C511" s="911" t="s">
        <v>2624</v>
      </c>
      <c r="D511" s="666" t="s">
        <v>670</v>
      </c>
      <c r="E511" s="684">
        <v>85296.16</v>
      </c>
      <c r="F511" s="652">
        <f>SUMIFS(OBE!$H:$H,OBE!$C:$C,'Standalone TB'!$B511,OBE!$B:$B,"A21")</f>
        <v>0</v>
      </c>
      <c r="G511" s="652">
        <f>SUMIFS('Elimination - PL'!I:I,'Elimination - PL'!A:A,"EA21",'Elimination - PL'!D:D,'Standalone TB'!B511)</f>
        <v>0</v>
      </c>
      <c r="H511" s="652">
        <f t="shared" si="61"/>
        <v>85296.16</v>
      </c>
      <c r="I511" s="652">
        <v>37149.910000000003</v>
      </c>
      <c r="J511" s="684">
        <v>973</v>
      </c>
      <c r="K511" s="652">
        <f>SUMIFS(OBE!$H:$H,OBE!$C:$C,'Standalone TB'!$B511,OBE!$B:$B,"A22")</f>
        <v>0</v>
      </c>
      <c r="L511" s="652">
        <f>SUMIFS('Elimination - PL'!I:I,'Elimination - PL'!A:A,"EA22",'Elimination - PL'!D:D,'Standalone TB'!B511)</f>
        <v>0</v>
      </c>
      <c r="M511" s="652">
        <f t="shared" si="57"/>
        <v>973</v>
      </c>
      <c r="N511" s="652">
        <f t="shared" si="62"/>
        <v>22363.015284055928</v>
      </c>
      <c r="O511" s="652">
        <v>262.5</v>
      </c>
      <c r="P511" s="685">
        <v>5916.3824999999997</v>
      </c>
      <c r="Q511" s="684">
        <v>34878.039999999994</v>
      </c>
      <c r="R511" s="652">
        <f>SUMIFS(OBE!$H:$H,OBE!$C:$C,'Standalone TB'!$B511,OBE!$B:$B,"A20")</f>
        <v>-23399.25</v>
      </c>
      <c r="S511" s="652">
        <f>SUMIFS('Elimination - PL'!I:I,'Elimination - PL'!A:A,"EA20",'Elimination - PL'!D:D,'Standalone TB'!B511)</f>
        <v>0</v>
      </c>
      <c r="T511" s="652">
        <f t="shared" si="58"/>
        <v>11478.789999999994</v>
      </c>
      <c r="U511" s="652">
        <f t="shared" si="63"/>
        <v>969059.63975902041</v>
      </c>
      <c r="V511" s="652">
        <v>34681.85</v>
      </c>
      <c r="W511" s="685">
        <v>2871456.0252700001</v>
      </c>
      <c r="X511" s="689">
        <f t="shared" si="59"/>
        <v>1076718.8150430764</v>
      </c>
      <c r="Y511" s="689">
        <f t="shared" si="60"/>
        <v>2914522.3177700001</v>
      </c>
      <c r="Z511" s="652" t="s">
        <v>825</v>
      </c>
      <c r="AA511" s="666" t="s">
        <v>152</v>
      </c>
      <c r="AB511" s="666" t="s">
        <v>2314</v>
      </c>
      <c r="AD511" s="665"/>
    </row>
    <row r="512" spans="2:30" hidden="1" x14ac:dyDescent="0.2">
      <c r="B512" s="673" t="s">
        <v>2625</v>
      </c>
      <c r="C512" s="911" t="s">
        <v>2626</v>
      </c>
      <c r="D512" s="666" t="s">
        <v>670</v>
      </c>
      <c r="E512" s="684">
        <v>0</v>
      </c>
      <c r="F512" s="652">
        <f>SUMIFS(OBE!$H:$H,OBE!$C:$C,'Standalone TB'!$B512,OBE!$B:$B,"A21")</f>
        <v>0</v>
      </c>
      <c r="G512" s="652">
        <f>SUMIFS('Elimination - PL'!I:I,'Elimination - PL'!A:A,"EA21",'Elimination - PL'!D:D,'Standalone TB'!B512)</f>
        <v>0</v>
      </c>
      <c r="H512" s="652">
        <f t="shared" si="61"/>
        <v>0</v>
      </c>
      <c r="I512" s="652">
        <v>0</v>
      </c>
      <c r="J512" s="684">
        <v>0</v>
      </c>
      <c r="K512" s="652">
        <f>SUMIFS(OBE!$H:$H,OBE!$C:$C,'Standalone TB'!$B512,OBE!$B:$B,"A22")</f>
        <v>0</v>
      </c>
      <c r="L512" s="652">
        <f>SUMIFS('Elimination - PL'!I:I,'Elimination - PL'!A:A,"EA22",'Elimination - PL'!D:D,'Standalone TB'!B512)</f>
        <v>0</v>
      </c>
      <c r="M512" s="652">
        <f t="shared" si="57"/>
        <v>0</v>
      </c>
      <c r="N512" s="652">
        <f t="shared" si="62"/>
        <v>0</v>
      </c>
      <c r="O512" s="652">
        <v>0</v>
      </c>
      <c r="P512" s="685">
        <v>0</v>
      </c>
      <c r="Q512" s="684">
        <v>0</v>
      </c>
      <c r="R512" s="652">
        <f>SUMIFS(OBE!$H:$H,OBE!$C:$C,'Standalone TB'!$B512,OBE!$B:$B,"A20")</f>
        <v>0</v>
      </c>
      <c r="S512" s="652">
        <f>SUMIFS('Elimination - PL'!I:I,'Elimination - PL'!A:A,"EA20",'Elimination - PL'!D:D,'Standalone TB'!B512)</f>
        <v>0</v>
      </c>
      <c r="T512" s="652">
        <f t="shared" si="58"/>
        <v>0</v>
      </c>
      <c r="U512" s="652">
        <f t="shared" si="63"/>
        <v>0</v>
      </c>
      <c r="V512" s="652">
        <v>0</v>
      </c>
      <c r="W512" s="685">
        <v>0</v>
      </c>
      <c r="X512" s="689">
        <f t="shared" si="59"/>
        <v>0</v>
      </c>
      <c r="Y512" s="689">
        <f t="shared" si="60"/>
        <v>0</v>
      </c>
      <c r="Z512" s="652" t="s">
        <v>825</v>
      </c>
      <c r="AA512" s="666" t="s">
        <v>152</v>
      </c>
      <c r="AB512" s="666" t="s">
        <v>2314</v>
      </c>
      <c r="AD512" s="665"/>
    </row>
    <row r="513" spans="2:30" hidden="1" x14ac:dyDescent="0.2">
      <c r="B513" s="673" t="s">
        <v>2627</v>
      </c>
      <c r="C513" s="666" t="s">
        <v>2628</v>
      </c>
      <c r="D513" s="666" t="s">
        <v>670</v>
      </c>
      <c r="E513" s="684">
        <v>1250042.7</v>
      </c>
      <c r="F513" s="652">
        <f>SUMIFS(OBE!$H:$H,OBE!$C:$C,'Standalone TB'!$B513,OBE!$B:$B,"A21")</f>
        <v>0</v>
      </c>
      <c r="G513" s="652">
        <f>SUMIFS('Elimination - PL'!I:I,'Elimination - PL'!A:A,"EA21",'Elimination - PL'!D:D,'Standalone TB'!B513)</f>
        <v>0</v>
      </c>
      <c r="H513" s="652">
        <f t="shared" si="61"/>
        <v>1250042.7</v>
      </c>
      <c r="I513" s="652">
        <v>5439994.4299999997</v>
      </c>
      <c r="J513" s="684">
        <v>0</v>
      </c>
      <c r="K513" s="652">
        <f>SUMIFS(OBE!$H:$H,OBE!$C:$C,'Standalone TB'!$B513,OBE!$B:$B,"A22")</f>
        <v>0</v>
      </c>
      <c r="L513" s="652">
        <f>SUMIFS('Elimination - PL'!I:I,'Elimination - PL'!A:A,"EA22",'Elimination - PL'!D:D,'Standalone TB'!B513)</f>
        <v>0</v>
      </c>
      <c r="M513" s="652">
        <f t="shared" si="57"/>
        <v>0</v>
      </c>
      <c r="N513" s="652">
        <f t="shared" si="62"/>
        <v>0</v>
      </c>
      <c r="O513" s="652">
        <v>0</v>
      </c>
      <c r="P513" s="685">
        <v>0</v>
      </c>
      <c r="Q513" s="684">
        <v>0</v>
      </c>
      <c r="R513" s="652">
        <f>SUMIFS(OBE!$H:$H,OBE!$C:$C,'Standalone TB'!$B513,OBE!$B:$B,"A20")</f>
        <v>0</v>
      </c>
      <c r="S513" s="652">
        <f>SUMIFS('Elimination - PL'!I:I,'Elimination - PL'!A:A,"EA20",'Elimination - PL'!D:D,'Standalone TB'!B513)</f>
        <v>0</v>
      </c>
      <c r="T513" s="652">
        <f t="shared" si="58"/>
        <v>0</v>
      </c>
      <c r="U513" s="652">
        <f t="shared" si="63"/>
        <v>0</v>
      </c>
      <c r="V513" s="652">
        <v>0</v>
      </c>
      <c r="W513" s="685">
        <v>0</v>
      </c>
      <c r="X513" s="689">
        <f t="shared" si="59"/>
        <v>1250042.7</v>
      </c>
      <c r="Y513" s="689">
        <f t="shared" si="60"/>
        <v>5439994.4299999997</v>
      </c>
      <c r="Z513" s="652" t="s">
        <v>825</v>
      </c>
      <c r="AA513" s="666" t="s">
        <v>152</v>
      </c>
      <c r="AB513" s="666" t="s">
        <v>2314</v>
      </c>
      <c r="AD513" s="665"/>
    </row>
    <row r="514" spans="2:30" hidden="1" x14ac:dyDescent="0.2">
      <c r="B514" s="673" t="s">
        <v>2629</v>
      </c>
      <c r="C514" s="666" t="s">
        <v>2630</v>
      </c>
      <c r="D514" s="666" t="s">
        <v>670</v>
      </c>
      <c r="E514" s="684">
        <v>5030637.3999999994</v>
      </c>
      <c r="F514" s="652">
        <f>SUMIFS(OBE!$H:$H,OBE!$C:$C,'Standalone TB'!$B514,OBE!$B:$B,"A21")</f>
        <v>0</v>
      </c>
      <c r="G514" s="652">
        <f>SUMIFS('Elimination - PL'!I:I,'Elimination - PL'!A:A,"EA21",'Elimination - PL'!D:D,'Standalone TB'!B514)</f>
        <v>0</v>
      </c>
      <c r="H514" s="652">
        <f t="shared" si="61"/>
        <v>5030637.3999999994</v>
      </c>
      <c r="I514" s="652">
        <v>3938799.7299999995</v>
      </c>
      <c r="J514" s="684">
        <v>0</v>
      </c>
      <c r="K514" s="652">
        <f>SUMIFS(OBE!$H:$H,OBE!$C:$C,'Standalone TB'!$B514,OBE!$B:$B,"A22")</f>
        <v>0</v>
      </c>
      <c r="L514" s="652">
        <f>SUMIFS('Elimination - PL'!I:I,'Elimination - PL'!A:A,"EA22",'Elimination - PL'!D:D,'Standalone TB'!B514)</f>
        <v>0</v>
      </c>
      <c r="M514" s="652">
        <f t="shared" si="57"/>
        <v>0</v>
      </c>
      <c r="N514" s="652">
        <f t="shared" si="62"/>
        <v>0</v>
      </c>
      <c r="O514" s="652">
        <v>0</v>
      </c>
      <c r="P514" s="685">
        <v>0</v>
      </c>
      <c r="Q514" s="684">
        <v>0</v>
      </c>
      <c r="R514" s="652">
        <f>SUMIFS(OBE!$H:$H,OBE!$C:$C,'Standalone TB'!$B514,OBE!$B:$B,"A20")</f>
        <v>0</v>
      </c>
      <c r="S514" s="652">
        <f>SUMIFS('Elimination - PL'!I:I,'Elimination - PL'!A:A,"EA20",'Elimination - PL'!D:D,'Standalone TB'!B514)</f>
        <v>0</v>
      </c>
      <c r="T514" s="652">
        <f t="shared" si="58"/>
        <v>0</v>
      </c>
      <c r="U514" s="652">
        <f t="shared" si="63"/>
        <v>0</v>
      </c>
      <c r="V514" s="652">
        <v>0</v>
      </c>
      <c r="W514" s="685">
        <v>0</v>
      </c>
      <c r="X514" s="689">
        <f t="shared" si="59"/>
        <v>5030637.3999999994</v>
      </c>
      <c r="Y514" s="689">
        <f t="shared" si="60"/>
        <v>3938799.7299999995</v>
      </c>
      <c r="Z514" s="652" t="s">
        <v>825</v>
      </c>
      <c r="AA514" s="666" t="s">
        <v>152</v>
      </c>
      <c r="AB514" s="666" t="s">
        <v>2314</v>
      </c>
      <c r="AD514" s="665"/>
    </row>
    <row r="515" spans="2:30" hidden="1" x14ac:dyDescent="0.2">
      <c r="B515" s="673" t="s">
        <v>2631</v>
      </c>
      <c r="C515" s="666" t="s">
        <v>2632</v>
      </c>
      <c r="D515" s="666" t="s">
        <v>670</v>
      </c>
      <c r="E515" s="684">
        <v>0</v>
      </c>
      <c r="F515" s="652">
        <f>SUMIFS(OBE!$H:$H,OBE!$C:$C,'Standalone TB'!$B515,OBE!$B:$B,"A21")</f>
        <v>0</v>
      </c>
      <c r="G515" s="652">
        <f>SUMIFS('Elimination - PL'!I:I,'Elimination - PL'!A:A,"EA21",'Elimination - PL'!D:D,'Standalone TB'!B515)</f>
        <v>0</v>
      </c>
      <c r="H515" s="652">
        <f t="shared" si="61"/>
        <v>0</v>
      </c>
      <c r="I515" s="652">
        <v>13792</v>
      </c>
      <c r="J515" s="684">
        <v>0</v>
      </c>
      <c r="K515" s="652">
        <f>SUMIFS(OBE!$H:$H,OBE!$C:$C,'Standalone TB'!$B515,OBE!$B:$B,"A22")</f>
        <v>0</v>
      </c>
      <c r="L515" s="652">
        <f>SUMIFS('Elimination - PL'!I:I,'Elimination - PL'!A:A,"EA22",'Elimination - PL'!D:D,'Standalone TB'!B515)</f>
        <v>0</v>
      </c>
      <c r="M515" s="652">
        <f t="shared" si="57"/>
        <v>0</v>
      </c>
      <c r="N515" s="652">
        <f t="shared" si="62"/>
        <v>0</v>
      </c>
      <c r="O515" s="652">
        <v>0</v>
      </c>
      <c r="P515" s="685">
        <v>0</v>
      </c>
      <c r="Q515" s="684">
        <v>0</v>
      </c>
      <c r="R515" s="652">
        <f>SUMIFS(OBE!$H:$H,OBE!$C:$C,'Standalone TB'!$B515,OBE!$B:$B,"A20")</f>
        <v>0</v>
      </c>
      <c r="S515" s="652">
        <f>SUMIFS('Elimination - PL'!I:I,'Elimination - PL'!A:A,"EA20",'Elimination - PL'!D:D,'Standalone TB'!B515)</f>
        <v>0</v>
      </c>
      <c r="T515" s="652">
        <f t="shared" si="58"/>
        <v>0</v>
      </c>
      <c r="U515" s="652">
        <f t="shared" si="63"/>
        <v>0</v>
      </c>
      <c r="V515" s="652">
        <v>0</v>
      </c>
      <c r="W515" s="685">
        <v>0</v>
      </c>
      <c r="X515" s="689">
        <f t="shared" si="59"/>
        <v>0</v>
      </c>
      <c r="Y515" s="689">
        <f t="shared" si="60"/>
        <v>13792</v>
      </c>
      <c r="Z515" s="652" t="s">
        <v>825</v>
      </c>
      <c r="AA515" s="666" t="s">
        <v>152</v>
      </c>
      <c r="AB515" s="666" t="s">
        <v>2314</v>
      </c>
      <c r="AD515" s="665"/>
    </row>
    <row r="516" spans="2:30" hidden="1" x14ac:dyDescent="0.2">
      <c r="B516" s="673" t="s">
        <v>2633</v>
      </c>
      <c r="C516" s="911" t="s">
        <v>2634</v>
      </c>
      <c r="D516" s="666" t="s">
        <v>670</v>
      </c>
      <c r="E516" s="684">
        <v>2880</v>
      </c>
      <c r="F516" s="652">
        <f>SUMIFS(OBE!$H:$H,OBE!$C:$C,'Standalone TB'!$B516,OBE!$B:$B,"A21")</f>
        <v>0</v>
      </c>
      <c r="G516" s="652">
        <f>SUMIFS('Elimination - PL'!I:I,'Elimination - PL'!A:A,"EA21",'Elimination - PL'!D:D,'Standalone TB'!B516)</f>
        <v>0</v>
      </c>
      <c r="H516" s="652">
        <f t="shared" si="61"/>
        <v>2880</v>
      </c>
      <c r="I516" s="652">
        <v>2780</v>
      </c>
      <c r="J516" s="684">
        <v>0</v>
      </c>
      <c r="K516" s="652">
        <f>SUMIFS(OBE!$H:$H,OBE!$C:$C,'Standalone TB'!$B516,OBE!$B:$B,"A22")</f>
        <v>0</v>
      </c>
      <c r="L516" s="652">
        <f>SUMIFS('Elimination - PL'!I:I,'Elimination - PL'!A:A,"EA22",'Elimination - PL'!D:D,'Standalone TB'!B516)</f>
        <v>0</v>
      </c>
      <c r="M516" s="652">
        <f t="shared" si="57"/>
        <v>0</v>
      </c>
      <c r="N516" s="652">
        <f t="shared" si="62"/>
        <v>0</v>
      </c>
      <c r="O516" s="652">
        <v>0</v>
      </c>
      <c r="P516" s="685">
        <v>0</v>
      </c>
      <c r="Q516" s="684">
        <v>0</v>
      </c>
      <c r="R516" s="652">
        <f>SUMIFS(OBE!$H:$H,OBE!$C:$C,'Standalone TB'!$B516,OBE!$B:$B,"A20")</f>
        <v>0</v>
      </c>
      <c r="S516" s="652">
        <f>SUMIFS('Elimination - PL'!I:I,'Elimination - PL'!A:A,"EA20",'Elimination - PL'!D:D,'Standalone TB'!B516)</f>
        <v>0</v>
      </c>
      <c r="T516" s="652">
        <f t="shared" si="58"/>
        <v>0</v>
      </c>
      <c r="U516" s="652">
        <f t="shared" si="63"/>
        <v>0</v>
      </c>
      <c r="V516" s="652">
        <v>0</v>
      </c>
      <c r="W516" s="685">
        <v>0</v>
      </c>
      <c r="X516" s="689">
        <f t="shared" si="59"/>
        <v>2880</v>
      </c>
      <c r="Y516" s="689">
        <f t="shared" si="60"/>
        <v>2780</v>
      </c>
      <c r="Z516" s="652" t="s">
        <v>825</v>
      </c>
      <c r="AA516" s="666" t="s">
        <v>152</v>
      </c>
      <c r="AB516" s="666" t="s">
        <v>2314</v>
      </c>
      <c r="AD516" s="665"/>
    </row>
    <row r="517" spans="2:30" hidden="1" x14ac:dyDescent="0.2">
      <c r="B517" s="673" t="s">
        <v>2635</v>
      </c>
      <c r="C517" s="666" t="s">
        <v>2636</v>
      </c>
      <c r="D517" s="666" t="s">
        <v>670</v>
      </c>
      <c r="E517" s="684">
        <v>0</v>
      </c>
      <c r="F517" s="652">
        <f>SUMIFS(OBE!$H:$H,OBE!$C:$C,'Standalone TB'!$B517,OBE!$B:$B,"A21")</f>
        <v>0</v>
      </c>
      <c r="G517" s="652">
        <f>SUMIFS('Elimination - PL'!I:I,'Elimination - PL'!A:A,"EA21",'Elimination - PL'!D:D,'Standalone TB'!B517)</f>
        <v>0</v>
      </c>
      <c r="H517" s="652">
        <f t="shared" si="61"/>
        <v>0</v>
      </c>
      <c r="I517" s="652">
        <v>563866</v>
      </c>
      <c r="J517" s="684">
        <v>0</v>
      </c>
      <c r="K517" s="652">
        <f>SUMIFS(OBE!$H:$H,OBE!$C:$C,'Standalone TB'!$B517,OBE!$B:$B,"A22")</f>
        <v>0</v>
      </c>
      <c r="L517" s="652">
        <f>SUMIFS('Elimination - PL'!I:I,'Elimination - PL'!A:A,"EA22",'Elimination - PL'!D:D,'Standalone TB'!B517)</f>
        <v>0</v>
      </c>
      <c r="M517" s="652">
        <f t="shared" si="57"/>
        <v>0</v>
      </c>
      <c r="N517" s="652">
        <f t="shared" si="62"/>
        <v>0</v>
      </c>
      <c r="O517" s="652">
        <v>0</v>
      </c>
      <c r="P517" s="685">
        <v>0</v>
      </c>
      <c r="Q517" s="684">
        <v>0</v>
      </c>
      <c r="R517" s="652">
        <f>SUMIFS(OBE!$H:$H,OBE!$C:$C,'Standalone TB'!$B517,OBE!$B:$B,"A20")</f>
        <v>0</v>
      </c>
      <c r="S517" s="652">
        <f>SUMIFS('Elimination - PL'!I:I,'Elimination - PL'!A:A,"EA20",'Elimination - PL'!D:D,'Standalone TB'!B517)</f>
        <v>0</v>
      </c>
      <c r="T517" s="652">
        <f t="shared" si="58"/>
        <v>0</v>
      </c>
      <c r="U517" s="652">
        <f t="shared" si="63"/>
        <v>0</v>
      </c>
      <c r="V517" s="652">
        <v>0</v>
      </c>
      <c r="W517" s="685">
        <v>0</v>
      </c>
      <c r="X517" s="689">
        <f t="shared" si="59"/>
        <v>0</v>
      </c>
      <c r="Y517" s="689">
        <f t="shared" si="60"/>
        <v>563866</v>
      </c>
      <c r="Z517" s="652" t="s">
        <v>834</v>
      </c>
      <c r="AA517" s="666" t="s">
        <v>152</v>
      </c>
      <c r="AD517" s="665"/>
    </row>
    <row r="518" spans="2:30" hidden="1" x14ac:dyDescent="0.2">
      <c r="B518" s="673" t="s">
        <v>2637</v>
      </c>
      <c r="C518" s="666" t="s">
        <v>2638</v>
      </c>
      <c r="D518" s="666" t="s">
        <v>670</v>
      </c>
      <c r="E518" s="684">
        <v>0</v>
      </c>
      <c r="F518" s="652">
        <f>SUMIFS(OBE!$H:$H,OBE!$C:$C,'Standalone TB'!$B518,OBE!$B:$B,"A21")</f>
        <v>0</v>
      </c>
      <c r="G518" s="652">
        <f>SUMIFS('Elimination - PL'!I:I,'Elimination - PL'!A:A,"EA21",'Elimination - PL'!D:D,'Standalone TB'!B518)</f>
        <v>0</v>
      </c>
      <c r="H518" s="652">
        <f t="shared" si="61"/>
        <v>0</v>
      </c>
      <c r="I518" s="652">
        <v>0</v>
      </c>
      <c r="J518" s="684">
        <v>0</v>
      </c>
      <c r="K518" s="652">
        <f>SUMIFS(OBE!$H:$H,OBE!$C:$C,'Standalone TB'!$B518,OBE!$B:$B,"A22")</f>
        <v>0</v>
      </c>
      <c r="L518" s="652">
        <f>SUMIFS('Elimination - PL'!I:I,'Elimination - PL'!A:A,"EA22",'Elimination - PL'!D:D,'Standalone TB'!B518)</f>
        <v>0</v>
      </c>
      <c r="M518" s="652">
        <f t="shared" si="57"/>
        <v>0</v>
      </c>
      <c r="N518" s="652">
        <f t="shared" si="62"/>
        <v>0</v>
      </c>
      <c r="O518" s="652">
        <v>0</v>
      </c>
      <c r="P518" s="685">
        <v>0</v>
      </c>
      <c r="Q518" s="684">
        <v>0</v>
      </c>
      <c r="R518" s="652">
        <f>SUMIFS(OBE!$H:$H,OBE!$C:$C,'Standalone TB'!$B518,OBE!$B:$B,"A20")</f>
        <v>0</v>
      </c>
      <c r="S518" s="652">
        <f>SUMIFS('Elimination - PL'!I:I,'Elimination - PL'!A:A,"EA20",'Elimination - PL'!D:D,'Standalone TB'!B518)</f>
        <v>0</v>
      </c>
      <c r="T518" s="652">
        <f t="shared" si="58"/>
        <v>0</v>
      </c>
      <c r="U518" s="652">
        <f t="shared" si="63"/>
        <v>0</v>
      </c>
      <c r="V518" s="652">
        <v>0</v>
      </c>
      <c r="W518" s="685">
        <v>0</v>
      </c>
      <c r="X518" s="689">
        <f t="shared" si="59"/>
        <v>0</v>
      </c>
      <c r="Y518" s="689">
        <f t="shared" si="60"/>
        <v>0</v>
      </c>
      <c r="Z518" s="652"/>
      <c r="AA518" s="666" t="s">
        <v>152</v>
      </c>
      <c r="AD518" s="665"/>
    </row>
    <row r="519" spans="2:30" hidden="1" x14ac:dyDescent="0.2">
      <c r="B519" s="673" t="s">
        <v>1489</v>
      </c>
      <c r="C519" s="666" t="s">
        <v>2538</v>
      </c>
      <c r="D519" s="666" t="s">
        <v>670</v>
      </c>
      <c r="E519" s="684">
        <v>2174005.7500000005</v>
      </c>
      <c r="F519" s="652">
        <f>SUMIFS(OBE!$H:$H,OBE!$C:$C,'Standalone TB'!$B519,OBE!$B:$B,"A21")</f>
        <v>-289685.21000000008</v>
      </c>
      <c r="G519" s="652">
        <f>SUMIFS('Elimination - PL'!I:I,'Elimination - PL'!A:A,"EA21",'Elimination - PL'!D:D,'Standalone TB'!B519)</f>
        <v>0</v>
      </c>
      <c r="H519" s="652">
        <f t="shared" si="61"/>
        <v>1884320.5400000005</v>
      </c>
      <c r="I519" s="652">
        <v>-4364107.8899999997</v>
      </c>
      <c r="J519" s="684">
        <v>0</v>
      </c>
      <c r="K519" s="652">
        <f>SUMIFS(OBE!$H:$H,OBE!$C:$C,'Standalone TB'!$B519,OBE!$B:$B,"A22")</f>
        <v>0</v>
      </c>
      <c r="L519" s="652">
        <f>SUMIFS('Elimination - PL'!I:I,'Elimination - PL'!A:A,"EA22",'Elimination - PL'!D:D,'Standalone TB'!B519)</f>
        <v>0</v>
      </c>
      <c r="M519" s="652">
        <f t="shared" si="57"/>
        <v>0</v>
      </c>
      <c r="N519" s="652">
        <f t="shared" si="62"/>
        <v>0</v>
      </c>
      <c r="O519" s="652">
        <v>0</v>
      </c>
      <c r="P519" s="685">
        <v>0</v>
      </c>
      <c r="Q519" s="684">
        <v>1508.25</v>
      </c>
      <c r="R519" s="652">
        <f>SUMIFS(OBE!$H:$H,OBE!$C:$C,'Standalone TB'!$B519,OBE!$B:$B,"A20")</f>
        <v>0</v>
      </c>
      <c r="S519" s="652">
        <f>SUMIFS('Elimination - PL'!I:I,'Elimination - PL'!A:A,"EA20",'Elimination - PL'!D:D,'Standalone TB'!B519)</f>
        <v>-1508.25</v>
      </c>
      <c r="T519" s="652">
        <f t="shared" si="58"/>
        <v>0</v>
      </c>
      <c r="U519" s="652">
        <f t="shared" si="63"/>
        <v>0</v>
      </c>
      <c r="V519" s="652">
        <v>0</v>
      </c>
      <c r="W519" s="685">
        <v>0</v>
      </c>
      <c r="X519" s="689">
        <f t="shared" si="59"/>
        <v>1884320.5400000005</v>
      </c>
      <c r="Y519" s="689">
        <f t="shared" si="60"/>
        <v>-4364107.8899999997</v>
      </c>
      <c r="Z519" s="666" t="s">
        <v>784</v>
      </c>
      <c r="AA519" s="666" t="s">
        <v>152</v>
      </c>
      <c r="AB519" s="666" t="s">
        <v>784</v>
      </c>
      <c r="AD519" s="665"/>
    </row>
    <row r="520" spans="2:30" hidden="1" x14ac:dyDescent="0.2">
      <c r="B520" s="673" t="s">
        <v>1466</v>
      </c>
      <c r="C520" s="666" t="s">
        <v>1467</v>
      </c>
      <c r="D520" s="666" t="s">
        <v>670</v>
      </c>
      <c r="E520" s="684">
        <v>33503803.230000004</v>
      </c>
      <c r="F520" s="652">
        <f>SUMIFS(OBE!$H:$H,OBE!$C:$C,'Standalone TB'!$B520,OBE!$B:$B,"A21")</f>
        <v>0</v>
      </c>
      <c r="G520" s="652">
        <f>SUMIFS('Elimination - PL'!I:I,'Elimination - PL'!A:A,"EA21",'Elimination - PL'!D:D,'Standalone TB'!B520)</f>
        <v>-3456.9599999990314</v>
      </c>
      <c r="H520" s="652">
        <f t="shared" si="61"/>
        <v>33500346.270000003</v>
      </c>
      <c r="I520" s="652">
        <v>74501988.019999996</v>
      </c>
      <c r="J520" s="684">
        <v>2513654.8300000005</v>
      </c>
      <c r="K520" s="652">
        <f>SUMIFS(OBE!$H:$H,OBE!$C:$C,'Standalone TB'!$B520,OBE!$B:$B,"A22")</f>
        <v>-581787</v>
      </c>
      <c r="L520" s="652">
        <f>SUMIFS('Elimination - PL'!I:I,'Elimination - PL'!A:A,"EA22",'Elimination - PL'!D:D,'Standalone TB'!B520)</f>
        <v>-1717266.0899999996</v>
      </c>
      <c r="M520" s="652">
        <f t="shared" ref="M520:M586" si="64">SUM(J520:L520)</f>
        <v>214601.74000000092</v>
      </c>
      <c r="N520" s="652">
        <f t="shared" si="62"/>
        <v>4932314.4826361947</v>
      </c>
      <c r="O520" s="652">
        <v>155741.28999999911</v>
      </c>
      <c r="P520" s="685">
        <v>3510190.6387939798</v>
      </c>
      <c r="Q520" s="684">
        <v>0</v>
      </c>
      <c r="R520" s="652">
        <f>SUMIFS(OBE!$H:$H,OBE!$C:$C,'Standalone TB'!$B520,OBE!$B:$B,"A20")</f>
        <v>0</v>
      </c>
      <c r="S520" s="652">
        <f>SUMIFS('Elimination - PL'!I:I,'Elimination - PL'!A:A,"EA20",'Elimination - PL'!D:D,'Standalone TB'!B520)</f>
        <v>0</v>
      </c>
      <c r="T520" s="652">
        <f t="shared" ref="T520:T586" si="65">SUM(Q520:S520)</f>
        <v>0</v>
      </c>
      <c r="U520" s="652">
        <f t="shared" si="63"/>
        <v>0</v>
      </c>
      <c r="V520" s="652">
        <v>158720.63</v>
      </c>
      <c r="W520" s="685">
        <v>13141147.584346</v>
      </c>
      <c r="X520" s="689">
        <f t="shared" ref="X520:X583" si="66">H520+N520+U520</f>
        <v>38432660.752636194</v>
      </c>
      <c r="Y520" s="689">
        <f t="shared" ref="Y520:Y586" si="67">I520+P520+W520</f>
        <v>91153326.243139967</v>
      </c>
      <c r="Z520" s="666" t="s">
        <v>784</v>
      </c>
      <c r="AA520" s="666" t="s">
        <v>152</v>
      </c>
      <c r="AB520" s="666" t="s">
        <v>784</v>
      </c>
      <c r="AD520" s="652" t="s">
        <v>2639</v>
      </c>
    </row>
    <row r="521" spans="2:30" hidden="1" x14ac:dyDescent="0.2">
      <c r="B521" s="673" t="s">
        <v>1487</v>
      </c>
      <c r="C521" s="666" t="s">
        <v>2539</v>
      </c>
      <c r="D521" s="666" t="s">
        <v>670</v>
      </c>
      <c r="E521" s="684">
        <v>5750426.9000000004</v>
      </c>
      <c r="F521" s="652">
        <f>SUMIFS(OBE!$H:$H,OBE!$C:$C,'Standalone TB'!$B521,OBE!$B:$B,"A21")</f>
        <v>-3502596.48</v>
      </c>
      <c r="G521" s="652">
        <f>SUMIFS('Elimination - PL'!I:I,'Elimination - PL'!A:A,"EA21",'Elimination - PL'!D:D,'Standalone TB'!B521)</f>
        <v>0</v>
      </c>
      <c r="H521" s="652">
        <f t="shared" si="61"/>
        <v>2247830.4200000004</v>
      </c>
      <c r="I521" s="652">
        <v>31785597.289999999</v>
      </c>
      <c r="J521" s="684">
        <v>78901.350000000006</v>
      </c>
      <c r="K521" s="652">
        <f>SUMIFS(OBE!$H:$H,OBE!$C:$C,'Standalone TB'!$B521,OBE!$B:$B,"A22")</f>
        <v>-78901.350000000006</v>
      </c>
      <c r="L521" s="652">
        <f>SUMIFS('Elimination - PL'!I:I,'Elimination - PL'!A:A,"EA22",'Elimination - PL'!D:D,'Standalone TB'!B521)</f>
        <v>0</v>
      </c>
      <c r="M521" s="652">
        <f t="shared" si="64"/>
        <v>0</v>
      </c>
      <c r="N521" s="652">
        <f t="shared" si="62"/>
        <v>0</v>
      </c>
      <c r="O521" s="652">
        <v>0</v>
      </c>
      <c r="P521" s="685">
        <v>0</v>
      </c>
      <c r="Q521" s="684">
        <v>85606.829999999987</v>
      </c>
      <c r="R521" s="652">
        <f>SUMIFS(OBE!$H:$H,OBE!$C:$C,'Standalone TB'!$B521,OBE!$B:$B,"A20")</f>
        <v>-140808.05999999997</v>
      </c>
      <c r="S521" s="652">
        <f>SUMIFS('Elimination - PL'!I:I,'Elimination - PL'!A:A,"EA20",'Elimination - PL'!D:D,'Standalone TB'!B521)</f>
        <v>-175637.72999999986</v>
      </c>
      <c r="T521" s="652">
        <f t="shared" si="65"/>
        <v>-230838.95999999985</v>
      </c>
      <c r="U521" s="652">
        <f t="shared" si="63"/>
        <v>-19487830.983923122</v>
      </c>
      <c r="V521" s="652">
        <v>2.0954757928848267E-9</v>
      </c>
      <c r="W521" s="685">
        <v>1.7349324189126493E-7</v>
      </c>
      <c r="X521" s="689">
        <f t="shared" si="66"/>
        <v>-17240000.56392312</v>
      </c>
      <c r="Y521" s="689">
        <f t="shared" si="67"/>
        <v>31785597.290000174</v>
      </c>
      <c r="Z521" s="666" t="s">
        <v>784</v>
      </c>
      <c r="AA521" s="666" t="s">
        <v>152</v>
      </c>
      <c r="AB521" s="666" t="s">
        <v>784</v>
      </c>
      <c r="AD521" s="652"/>
    </row>
    <row r="522" spans="2:30" hidden="1" x14ac:dyDescent="0.2">
      <c r="B522" s="673" t="s">
        <v>2640</v>
      </c>
      <c r="C522" s="666" t="s">
        <v>2641</v>
      </c>
      <c r="D522" s="666" t="s">
        <v>670</v>
      </c>
      <c r="E522" s="684">
        <v>0</v>
      </c>
      <c r="F522" s="652">
        <f>SUMIFS(OBE!$H:$H,OBE!$C:$C,'Standalone TB'!$B522,OBE!$B:$B,"A21")</f>
        <v>0</v>
      </c>
      <c r="G522" s="652">
        <f>SUMIFS('Elimination - PL'!I:I,'Elimination - PL'!A:A,"EA21",'Elimination - PL'!D:D,'Standalone TB'!B522)</f>
        <v>0</v>
      </c>
      <c r="H522" s="652">
        <f t="shared" si="61"/>
        <v>0</v>
      </c>
      <c r="I522" s="652">
        <v>0</v>
      </c>
      <c r="J522" s="684">
        <v>0</v>
      </c>
      <c r="K522" s="652">
        <f>SUMIFS(OBE!$H:$H,OBE!$C:$C,'Standalone TB'!$B522,OBE!$B:$B,"A22")</f>
        <v>0</v>
      </c>
      <c r="L522" s="652">
        <f>SUMIFS('Elimination - PL'!I:I,'Elimination - PL'!A:A,"EA22",'Elimination - PL'!D:D,'Standalone TB'!B522)</f>
        <v>0</v>
      </c>
      <c r="M522" s="652">
        <f t="shared" si="64"/>
        <v>0</v>
      </c>
      <c r="N522" s="652">
        <f t="shared" si="62"/>
        <v>0</v>
      </c>
      <c r="O522" s="652">
        <v>0</v>
      </c>
      <c r="P522" s="685">
        <v>0</v>
      </c>
      <c r="Q522" s="684">
        <v>0</v>
      </c>
      <c r="R522" s="652">
        <f>SUMIFS(OBE!$H:$H,OBE!$C:$C,'Standalone TB'!$B522,OBE!$B:$B,"A20")</f>
        <v>0</v>
      </c>
      <c r="S522" s="652">
        <f>SUMIFS('Elimination - PL'!I:I,'Elimination - PL'!A:A,"EA20",'Elimination - PL'!D:D,'Standalone TB'!B522)</f>
        <v>0</v>
      </c>
      <c r="T522" s="652">
        <f t="shared" si="65"/>
        <v>0</v>
      </c>
      <c r="U522" s="652">
        <f t="shared" si="63"/>
        <v>0</v>
      </c>
      <c r="V522" s="652">
        <v>0</v>
      </c>
      <c r="W522" s="685">
        <v>0</v>
      </c>
      <c r="X522" s="689">
        <f t="shared" si="66"/>
        <v>0</v>
      </c>
      <c r="Y522" s="689">
        <f t="shared" si="67"/>
        <v>0</v>
      </c>
      <c r="Z522" s="666" t="s">
        <v>784</v>
      </c>
      <c r="AA522" s="666" t="s">
        <v>152</v>
      </c>
      <c r="AB522" s="666" t="s">
        <v>784</v>
      </c>
      <c r="AD522" s="652"/>
    </row>
    <row r="523" spans="2:30" hidden="1" x14ac:dyDescent="0.2">
      <c r="B523" s="673" t="s">
        <v>2642</v>
      </c>
      <c r="C523" s="666" t="s">
        <v>2643</v>
      </c>
      <c r="D523" s="666" t="s">
        <v>670</v>
      </c>
      <c r="E523" s="684">
        <v>0</v>
      </c>
      <c r="F523" s="652">
        <f>SUMIFS(OBE!$H:$H,OBE!$C:$C,'Standalone TB'!$B523,OBE!$B:$B,"A21")</f>
        <v>0</v>
      </c>
      <c r="G523" s="652">
        <f>SUMIFS('Elimination - PL'!I:I,'Elimination - PL'!A:A,"EA21",'Elimination - PL'!D:D,'Standalone TB'!B523)</f>
        <v>0</v>
      </c>
      <c r="H523" s="652">
        <f t="shared" si="61"/>
        <v>0</v>
      </c>
      <c r="I523" s="652">
        <v>0</v>
      </c>
      <c r="J523" s="684">
        <v>0</v>
      </c>
      <c r="K523" s="652">
        <f>SUMIFS(OBE!$H:$H,OBE!$C:$C,'Standalone TB'!$B523,OBE!$B:$B,"A22")</f>
        <v>0</v>
      </c>
      <c r="L523" s="652">
        <f>SUMIFS('Elimination - PL'!I:I,'Elimination - PL'!A:A,"EA22",'Elimination - PL'!D:D,'Standalone TB'!B523)</f>
        <v>0</v>
      </c>
      <c r="M523" s="652">
        <f t="shared" si="64"/>
        <v>0</v>
      </c>
      <c r="N523" s="652">
        <f t="shared" si="62"/>
        <v>0</v>
      </c>
      <c r="O523" s="652">
        <v>0</v>
      </c>
      <c r="P523" s="685">
        <v>0</v>
      </c>
      <c r="Q523" s="684">
        <v>0</v>
      </c>
      <c r="R523" s="652">
        <f>SUMIFS(OBE!$H:$H,OBE!$C:$C,'Standalone TB'!$B523,OBE!$B:$B,"A20")</f>
        <v>0</v>
      </c>
      <c r="S523" s="652">
        <f>SUMIFS('Elimination - PL'!I:I,'Elimination - PL'!A:A,"EA20",'Elimination - PL'!D:D,'Standalone TB'!B523)</f>
        <v>0</v>
      </c>
      <c r="T523" s="652">
        <f t="shared" si="65"/>
        <v>0</v>
      </c>
      <c r="U523" s="652">
        <f t="shared" si="63"/>
        <v>0</v>
      </c>
      <c r="V523" s="652">
        <v>0</v>
      </c>
      <c r="W523" s="685">
        <v>0</v>
      </c>
      <c r="X523" s="689">
        <f t="shared" si="66"/>
        <v>0</v>
      </c>
      <c r="Y523" s="689">
        <f t="shared" si="67"/>
        <v>0</v>
      </c>
      <c r="Z523" s="666" t="s">
        <v>784</v>
      </c>
      <c r="AA523" s="666" t="s">
        <v>152</v>
      </c>
      <c r="AB523" s="666" t="s">
        <v>784</v>
      </c>
      <c r="AD523" s="652"/>
    </row>
    <row r="524" spans="2:30" hidden="1" x14ac:dyDescent="0.2">
      <c r="B524" s="673" t="s">
        <v>1441</v>
      </c>
      <c r="C524" s="666" t="s">
        <v>1442</v>
      </c>
      <c r="D524" s="666" t="s">
        <v>670</v>
      </c>
      <c r="E524" s="684">
        <v>146193394.09999999</v>
      </c>
      <c r="F524" s="652">
        <f>SUMIFS(OBE!$H:$H,OBE!$C:$C,'Standalone TB'!$B524,OBE!$B:$B,"A21")</f>
        <v>0</v>
      </c>
      <c r="G524" s="652">
        <f>SUMIFS('Elimination - PL'!I:I,'Elimination - PL'!A:A,"EA21",'Elimination - PL'!D:D,'Standalone TB'!B524)</f>
        <v>-203000.05</v>
      </c>
      <c r="H524" s="652">
        <f t="shared" si="61"/>
        <v>145990394.04999998</v>
      </c>
      <c r="I524" s="652">
        <v>339116617.82999998</v>
      </c>
      <c r="J524" s="684">
        <v>946488.76</v>
      </c>
      <c r="K524" s="652">
        <f>SUMIFS(OBE!$H:$H,OBE!$C:$C,'Standalone TB'!$B524,OBE!$B:$B,"A22")</f>
        <v>328783.24</v>
      </c>
      <c r="L524" s="652">
        <f>SUMIFS('Elimination - PL'!I:I,'Elimination - PL'!A:A,"EA22",'Elimination - PL'!D:D,'Standalone TB'!B524)</f>
        <v>-63631.270000000004</v>
      </c>
      <c r="M524" s="652">
        <f t="shared" si="64"/>
        <v>1211640.73</v>
      </c>
      <c r="N524" s="652">
        <f t="shared" si="62"/>
        <v>27847831.617445718</v>
      </c>
      <c r="O524" s="652">
        <v>1279268.75</v>
      </c>
      <c r="P524" s="685">
        <v>28832926.64875</v>
      </c>
      <c r="Q524" s="684">
        <v>1258464</v>
      </c>
      <c r="R524" s="652">
        <f>SUMIFS(OBE!$H:$H,OBE!$C:$C,'Standalone TB'!$B524,OBE!$B:$B,"A20")</f>
        <v>-790430.45175000001</v>
      </c>
      <c r="S524" s="652">
        <f>SUMIFS('Elimination - PL'!I:I,'Elimination - PL'!A:A,"EA20",'Elimination - PL'!D:D,'Standalone TB'!B524)</f>
        <v>-80278.080000000016</v>
      </c>
      <c r="T524" s="652">
        <f t="shared" si="65"/>
        <v>387755.46824999998</v>
      </c>
      <c r="U524" s="652">
        <f t="shared" si="63"/>
        <v>32734998.582336243</v>
      </c>
      <c r="V524" s="652">
        <v>3621460.96</v>
      </c>
      <c r="W524" s="685">
        <v>299835963.01443201</v>
      </c>
      <c r="X524" s="689">
        <f t="shared" si="66"/>
        <v>206573224.24978194</v>
      </c>
      <c r="Y524" s="689">
        <f t="shared" si="67"/>
        <v>667785507.49318194</v>
      </c>
      <c r="Z524" s="666" t="s">
        <v>784</v>
      </c>
      <c r="AA524" s="666" t="s">
        <v>152</v>
      </c>
      <c r="AB524" s="666" t="s">
        <v>784</v>
      </c>
      <c r="AD524" s="652"/>
    </row>
    <row r="525" spans="2:30" hidden="1" x14ac:dyDescent="0.2">
      <c r="B525" s="673" t="s">
        <v>1563</v>
      </c>
      <c r="C525" s="666" t="s">
        <v>1564</v>
      </c>
      <c r="D525" s="666" t="s">
        <v>670</v>
      </c>
      <c r="E525" s="684">
        <v>-265150657</v>
      </c>
      <c r="F525" s="652">
        <f>SUMIFS(OBE!$H:$H,OBE!$C:$C,'Standalone TB'!$B525,OBE!$B:$B,"A21")</f>
        <v>58877497</v>
      </c>
      <c r="G525" s="652">
        <f>SUMIFS('Elimination - PL'!I:I,'Elimination - PL'!A:A,"EA21",'Elimination - PL'!D:D,'Standalone TB'!B525)</f>
        <v>0</v>
      </c>
      <c r="H525" s="652">
        <f t="shared" si="61"/>
        <v>-206273160</v>
      </c>
      <c r="I525" s="652">
        <v>-214247570.27000004</v>
      </c>
      <c r="J525" s="684">
        <v>0</v>
      </c>
      <c r="K525" s="652">
        <f>SUMIFS(OBE!$H:$H,OBE!$C:$C,'Standalone TB'!$B525,OBE!$B:$B,"A22")</f>
        <v>0</v>
      </c>
      <c r="L525" s="652">
        <f>SUMIFS('Elimination - PL'!I:I,'Elimination - PL'!A:A,"EA22",'Elimination - PL'!D:D,'Standalone TB'!B525)</f>
        <v>0</v>
      </c>
      <c r="M525" s="652">
        <f t="shared" si="64"/>
        <v>0</v>
      </c>
      <c r="N525" s="652">
        <f t="shared" si="62"/>
        <v>0</v>
      </c>
      <c r="O525" s="652">
        <v>0</v>
      </c>
      <c r="P525" s="685">
        <v>0</v>
      </c>
      <c r="Q525" s="684">
        <v>0</v>
      </c>
      <c r="R525" s="652">
        <f>SUMIFS(OBE!$H:$H,OBE!$C:$C,'Standalone TB'!$B525,OBE!$B:$B,"A20")</f>
        <v>0</v>
      </c>
      <c r="S525" s="652">
        <f>SUMIFS('Elimination - PL'!I:I,'Elimination - PL'!A:A,"EA20",'Elimination - PL'!D:D,'Standalone TB'!B525)</f>
        <v>0</v>
      </c>
      <c r="T525" s="652">
        <f t="shared" si="65"/>
        <v>0</v>
      </c>
      <c r="U525" s="652">
        <f t="shared" si="63"/>
        <v>0</v>
      </c>
      <c r="V525" s="652">
        <v>0</v>
      </c>
      <c r="W525" s="685">
        <v>0</v>
      </c>
      <c r="X525" s="689">
        <f t="shared" si="66"/>
        <v>-206273160</v>
      </c>
      <c r="Y525" s="689">
        <f t="shared" si="67"/>
        <v>-214247570.27000004</v>
      </c>
      <c r="Z525" s="666" t="s">
        <v>787</v>
      </c>
      <c r="AA525" s="666" t="s">
        <v>152</v>
      </c>
      <c r="AB525" s="666" t="s">
        <v>2644</v>
      </c>
      <c r="AD525" s="652"/>
    </row>
    <row r="526" spans="2:30" hidden="1" x14ac:dyDescent="0.2">
      <c r="B526" s="673" t="s">
        <v>2645</v>
      </c>
      <c r="C526" s="666" t="s">
        <v>2646</v>
      </c>
      <c r="D526" s="666" t="s">
        <v>670</v>
      </c>
      <c r="E526" s="684">
        <v>0</v>
      </c>
      <c r="F526" s="652">
        <f>SUMIFS(OBE!$H:$H,OBE!$C:$C,'Standalone TB'!$B526,OBE!$B:$B,"A21")</f>
        <v>0</v>
      </c>
      <c r="G526" s="652">
        <f>SUMIFS('Elimination - PL'!I:I,'Elimination - PL'!A:A,"EA21",'Elimination - PL'!D:D,'Standalone TB'!B526)</f>
        <v>0</v>
      </c>
      <c r="H526" s="652">
        <f t="shared" si="61"/>
        <v>0</v>
      </c>
      <c r="I526" s="652">
        <v>0</v>
      </c>
      <c r="J526" s="684">
        <v>0</v>
      </c>
      <c r="K526" s="652">
        <f>SUMIFS(OBE!$H:$H,OBE!$C:$C,'Standalone TB'!$B526,OBE!$B:$B,"A22")</f>
        <v>0</v>
      </c>
      <c r="L526" s="652">
        <f>SUMIFS('Elimination - PL'!I:I,'Elimination - PL'!A:A,"EA22",'Elimination - PL'!D:D,'Standalone TB'!B526)</f>
        <v>0</v>
      </c>
      <c r="M526" s="652">
        <f t="shared" si="64"/>
        <v>0</v>
      </c>
      <c r="N526" s="652">
        <f t="shared" si="62"/>
        <v>0</v>
      </c>
      <c r="O526" s="652">
        <v>0</v>
      </c>
      <c r="P526" s="685">
        <v>0</v>
      </c>
      <c r="Q526" s="684">
        <v>0</v>
      </c>
      <c r="R526" s="652">
        <f>SUMIFS(OBE!$H:$H,OBE!$C:$C,'Standalone TB'!$B526,OBE!$B:$B,"A20")</f>
        <v>0</v>
      </c>
      <c r="S526" s="652">
        <f>SUMIFS('Elimination - PL'!I:I,'Elimination - PL'!A:A,"EA20",'Elimination - PL'!D:D,'Standalone TB'!B526)</f>
        <v>0</v>
      </c>
      <c r="T526" s="652">
        <f t="shared" si="65"/>
        <v>0</v>
      </c>
      <c r="U526" s="652">
        <f t="shared" si="63"/>
        <v>0</v>
      </c>
      <c r="V526" s="652">
        <v>0</v>
      </c>
      <c r="W526" s="685">
        <v>0</v>
      </c>
      <c r="X526" s="689">
        <f t="shared" si="66"/>
        <v>0</v>
      </c>
      <c r="Y526" s="689">
        <f t="shared" si="67"/>
        <v>0</v>
      </c>
      <c r="Z526" s="666" t="s">
        <v>784</v>
      </c>
      <c r="AA526" s="666" t="s">
        <v>152</v>
      </c>
      <c r="AB526" s="666" t="s">
        <v>784</v>
      </c>
      <c r="AD526" s="652"/>
    </row>
    <row r="527" spans="2:30" hidden="1" x14ac:dyDescent="0.2">
      <c r="B527" s="673" t="s">
        <v>1468</v>
      </c>
      <c r="C527" s="666" t="s">
        <v>1469</v>
      </c>
      <c r="D527" s="666" t="s">
        <v>670</v>
      </c>
      <c r="E527" s="684">
        <v>439582745.09999996</v>
      </c>
      <c r="F527" s="652">
        <f>SUMIFS(OBE!$H:$H,OBE!$C:$C,'Standalone TB'!$B527,OBE!$B:$B,"A21")</f>
        <v>0</v>
      </c>
      <c r="G527" s="652">
        <f>SUMIFS('Elimination - PL'!I:I,'Elimination - PL'!A:A,"EA21",'Elimination - PL'!D:D,'Standalone TB'!B527)</f>
        <v>0</v>
      </c>
      <c r="H527" s="652">
        <f t="shared" si="61"/>
        <v>439582745.09999996</v>
      </c>
      <c r="I527" s="652">
        <v>61710031.789999999</v>
      </c>
      <c r="J527" s="684">
        <v>-8708.3599999999988</v>
      </c>
      <c r="K527" s="652">
        <f>SUMIFS(OBE!$H:$H,OBE!$C:$C,'Standalone TB'!$B527,OBE!$B:$B,"A22")</f>
        <v>0</v>
      </c>
      <c r="L527" s="652">
        <f>SUMIFS('Elimination - PL'!I:I,'Elimination - PL'!A:A,"EA22",'Elimination - PL'!D:D,'Standalone TB'!B527)</f>
        <v>17634.73</v>
      </c>
      <c r="M527" s="652">
        <f t="shared" si="64"/>
        <v>8926.3700000000008</v>
      </c>
      <c r="N527" s="652">
        <f t="shared" si="62"/>
        <v>205159.8650988061</v>
      </c>
      <c r="O527" s="652">
        <v>2467.2800000000025</v>
      </c>
      <c r="P527" s="685">
        <v>55609.03700800005</v>
      </c>
      <c r="Q527" s="684">
        <v>0</v>
      </c>
      <c r="R527" s="652">
        <f>SUMIFS(OBE!$H:$H,OBE!$C:$C,'Standalone TB'!$B527,OBE!$B:$B,"A20")</f>
        <v>0</v>
      </c>
      <c r="S527" s="652">
        <f>SUMIFS('Elimination - PL'!I:I,'Elimination - PL'!A:A,"EA20",'Elimination - PL'!D:D,'Standalone TB'!B527)</f>
        <v>0</v>
      </c>
      <c r="T527" s="652">
        <f t="shared" si="65"/>
        <v>0</v>
      </c>
      <c r="U527" s="652">
        <f t="shared" si="63"/>
        <v>0</v>
      </c>
      <c r="V527" s="652">
        <v>0</v>
      </c>
      <c r="W527" s="685">
        <v>0</v>
      </c>
      <c r="X527" s="689">
        <f t="shared" si="66"/>
        <v>439787904.9650988</v>
      </c>
      <c r="Y527" s="689">
        <f t="shared" si="67"/>
        <v>61765640.827008002</v>
      </c>
      <c r="Z527" s="666" t="s">
        <v>784</v>
      </c>
      <c r="AA527" s="666" t="s">
        <v>152</v>
      </c>
      <c r="AB527" s="666" t="s">
        <v>784</v>
      </c>
      <c r="AD527" s="652"/>
    </row>
    <row r="528" spans="2:30" hidden="1" x14ac:dyDescent="0.2">
      <c r="B528" s="673" t="s">
        <v>2647</v>
      </c>
      <c r="C528" s="666" t="s">
        <v>2648</v>
      </c>
      <c r="D528" s="666" t="s">
        <v>670</v>
      </c>
      <c r="E528" s="684">
        <v>0</v>
      </c>
      <c r="F528" s="652">
        <f>SUMIFS(OBE!$H:$H,OBE!$C:$C,'Standalone TB'!$B528,OBE!$B:$B,"A21")</f>
        <v>0</v>
      </c>
      <c r="G528" s="652">
        <f>SUMIFS('Elimination - PL'!I:I,'Elimination - PL'!A:A,"EA21",'Elimination - PL'!D:D,'Standalone TB'!B528)</f>
        <v>0</v>
      </c>
      <c r="H528" s="652">
        <f t="shared" si="61"/>
        <v>0</v>
      </c>
      <c r="I528" s="652">
        <v>0</v>
      </c>
      <c r="J528" s="684">
        <v>0</v>
      </c>
      <c r="K528" s="652">
        <f>SUMIFS(OBE!$H:$H,OBE!$C:$C,'Standalone TB'!$B528,OBE!$B:$B,"A22")</f>
        <v>0</v>
      </c>
      <c r="L528" s="652">
        <f>SUMIFS('Elimination - PL'!I:I,'Elimination - PL'!A:A,"EA22",'Elimination - PL'!D:D,'Standalone TB'!B528)</f>
        <v>0</v>
      </c>
      <c r="M528" s="652">
        <f t="shared" si="64"/>
        <v>0</v>
      </c>
      <c r="N528" s="652">
        <f t="shared" si="62"/>
        <v>0</v>
      </c>
      <c r="O528" s="652">
        <v>0</v>
      </c>
      <c r="P528" s="685">
        <v>0</v>
      </c>
      <c r="Q528" s="684">
        <v>0</v>
      </c>
      <c r="R528" s="652">
        <f>SUMIFS(OBE!$H:$H,OBE!$C:$C,'Standalone TB'!$B528,OBE!$B:$B,"A20")</f>
        <v>0</v>
      </c>
      <c r="S528" s="652">
        <f>SUMIFS('Elimination - PL'!I:I,'Elimination - PL'!A:A,"EA20",'Elimination - PL'!D:D,'Standalone TB'!B528)</f>
        <v>0</v>
      </c>
      <c r="T528" s="652">
        <f t="shared" si="65"/>
        <v>0</v>
      </c>
      <c r="U528" s="652">
        <f t="shared" si="63"/>
        <v>0</v>
      </c>
      <c r="V528" s="652">
        <v>0</v>
      </c>
      <c r="W528" s="685">
        <v>0</v>
      </c>
      <c r="X528" s="689">
        <f t="shared" si="66"/>
        <v>0</v>
      </c>
      <c r="Y528" s="689">
        <f t="shared" si="67"/>
        <v>0</v>
      </c>
      <c r="Z528" s="666" t="s">
        <v>784</v>
      </c>
      <c r="AA528" s="666" t="s">
        <v>152</v>
      </c>
      <c r="AB528" s="666" t="s">
        <v>784</v>
      </c>
      <c r="AD528" s="652"/>
    </row>
    <row r="529" spans="2:30" hidden="1" x14ac:dyDescent="0.2">
      <c r="B529" s="673" t="s">
        <v>1674</v>
      </c>
      <c r="C529" s="666" t="s">
        <v>2649</v>
      </c>
      <c r="D529" s="666" t="s">
        <v>670</v>
      </c>
      <c r="E529" s="684">
        <v>8761652.0999999978</v>
      </c>
      <c r="F529" s="652">
        <f>SUMIFS(OBE!$H:$H,OBE!$C:$C,'Standalone TB'!$B529,OBE!$B:$B,"A21")</f>
        <v>0</v>
      </c>
      <c r="G529" s="652">
        <f>SUMIFS('Elimination - PL'!I:I,'Elimination - PL'!A:A,"EA21",'Elimination - PL'!D:D,'Standalone TB'!B529)</f>
        <v>0</v>
      </c>
      <c r="H529" s="652">
        <f t="shared" si="61"/>
        <v>8761652.0999999978</v>
      </c>
      <c r="I529" s="652">
        <v>14279343.860000001</v>
      </c>
      <c r="J529" s="684">
        <v>264437.5</v>
      </c>
      <c r="K529" s="652">
        <f>SUMIFS(OBE!$H:$H,OBE!$C:$C,'Standalone TB'!$B529,OBE!$B:$B,"A22")</f>
        <v>0</v>
      </c>
      <c r="L529" s="652">
        <f>SUMIFS('Elimination - PL'!I:I,'Elimination - PL'!A:A,"EA22",'Elimination - PL'!D:D,'Standalone TB'!B529)</f>
        <v>0</v>
      </c>
      <c r="M529" s="652">
        <f t="shared" si="64"/>
        <v>264437.5</v>
      </c>
      <c r="N529" s="652">
        <f t="shared" si="62"/>
        <v>6077718.246842281</v>
      </c>
      <c r="O529" s="652">
        <v>18677.189999999999</v>
      </c>
      <c r="P529" s="685">
        <v>420957.71453399997</v>
      </c>
      <c r="Q529" s="684">
        <v>36963.53</v>
      </c>
      <c r="R529" s="652">
        <f>SUMIFS(OBE!$H:$H,OBE!$C:$C,'Standalone TB'!$B529,OBE!$B:$B,"A20")</f>
        <v>-216.82999999999197</v>
      </c>
      <c r="S529" s="652">
        <f>SUMIFS('Elimination - PL'!I:I,'Elimination - PL'!A:A,"EA20",'Elimination - PL'!D:D,'Standalone TB'!B529)</f>
        <v>0</v>
      </c>
      <c r="T529" s="652">
        <f t="shared" si="65"/>
        <v>36746.700000000004</v>
      </c>
      <c r="U529" s="652">
        <f t="shared" si="63"/>
        <v>3102221.0410969118</v>
      </c>
      <c r="V529" s="652">
        <v>156515.45000000001</v>
      </c>
      <c r="W529" s="685">
        <v>12958571.470390001</v>
      </c>
      <c r="X529" s="689">
        <f t="shared" si="66"/>
        <v>17941591.387939189</v>
      </c>
      <c r="Y529" s="689">
        <f t="shared" si="67"/>
        <v>27658873.044924002</v>
      </c>
      <c r="Z529" s="666" t="s">
        <v>784</v>
      </c>
      <c r="AA529" s="666" t="s">
        <v>152</v>
      </c>
      <c r="AB529" s="666" t="s">
        <v>784</v>
      </c>
      <c r="AD529" s="652"/>
    </row>
    <row r="530" spans="2:30" hidden="1" x14ac:dyDescent="0.2">
      <c r="B530" s="673" t="s">
        <v>2650</v>
      </c>
      <c r="C530" s="666" t="s">
        <v>2651</v>
      </c>
      <c r="D530" s="666" t="s">
        <v>670</v>
      </c>
      <c r="E530" s="684">
        <v>14148001.52</v>
      </c>
      <c r="F530" s="652">
        <f>SUMIFS(OBE!$H:$H,OBE!$C:$C,'Standalone TB'!$B530,OBE!$B:$B,"A21")</f>
        <v>0</v>
      </c>
      <c r="G530" s="652">
        <f>SUMIFS('Elimination - PL'!I:I,'Elimination - PL'!A:A,"EA21",'Elimination - PL'!D:D,'Standalone TB'!B530)</f>
        <v>0</v>
      </c>
      <c r="H530" s="652">
        <f t="shared" si="61"/>
        <v>14148001.52</v>
      </c>
      <c r="I530" s="652">
        <v>22510852.350000001</v>
      </c>
      <c r="J530" s="684">
        <v>65124.829999999987</v>
      </c>
      <c r="K530" s="652">
        <f>SUMIFS(OBE!$H:$H,OBE!$C:$C,'Standalone TB'!$B530,OBE!$B:$B,"A22")</f>
        <v>14113.34</v>
      </c>
      <c r="L530" s="652">
        <f>SUMIFS('Elimination - PL'!I:I,'Elimination - PL'!A:A,"EA22",'Elimination - PL'!D:D,'Standalone TB'!B530)</f>
        <v>0</v>
      </c>
      <c r="M530" s="652">
        <f t="shared" si="64"/>
        <v>79238.169999999984</v>
      </c>
      <c r="N530" s="652">
        <f t="shared" si="62"/>
        <v>1821176.163196939</v>
      </c>
      <c r="O530" s="652">
        <v>231608.83</v>
      </c>
      <c r="P530" s="685">
        <v>5220138.7758379998</v>
      </c>
      <c r="Q530" s="684">
        <v>0</v>
      </c>
      <c r="R530" s="652">
        <f>SUMIFS(OBE!$H:$H,OBE!$C:$C,'Standalone TB'!$B530,OBE!$B:$B,"A20")</f>
        <v>0</v>
      </c>
      <c r="S530" s="652">
        <f>SUMIFS('Elimination - PL'!I:I,'Elimination - PL'!A:A,"EA20",'Elimination - PL'!D:D,'Standalone TB'!B530)</f>
        <v>0</v>
      </c>
      <c r="T530" s="652">
        <f t="shared" si="65"/>
        <v>0</v>
      </c>
      <c r="U530" s="652">
        <f t="shared" si="63"/>
        <v>0</v>
      </c>
      <c r="V530" s="652">
        <v>0</v>
      </c>
      <c r="W530" s="685">
        <v>0</v>
      </c>
      <c r="X530" s="689">
        <f t="shared" si="66"/>
        <v>15969177.68319694</v>
      </c>
      <c r="Y530" s="689">
        <f t="shared" si="67"/>
        <v>27730991.125838</v>
      </c>
      <c r="Z530" s="666" t="s">
        <v>784</v>
      </c>
      <c r="AA530" s="666" t="s">
        <v>152</v>
      </c>
      <c r="AB530" s="666" t="s">
        <v>784</v>
      </c>
      <c r="AD530" s="652" t="s">
        <v>2652</v>
      </c>
    </row>
    <row r="531" spans="2:30" hidden="1" x14ac:dyDescent="0.2">
      <c r="B531" s="673" t="s">
        <v>2653</v>
      </c>
      <c r="C531" s="666" t="s">
        <v>2654</v>
      </c>
      <c r="D531" s="666" t="s">
        <v>670</v>
      </c>
      <c r="E531" s="684">
        <v>0</v>
      </c>
      <c r="F531" s="652">
        <f>SUMIFS(OBE!$H:$H,OBE!$C:$C,'Standalone TB'!$B531,OBE!$B:$B,"A21")</f>
        <v>0</v>
      </c>
      <c r="G531" s="652">
        <f>SUMIFS('Elimination - PL'!I:I,'Elimination - PL'!A:A,"EA21",'Elimination - PL'!D:D,'Standalone TB'!B531)</f>
        <v>0</v>
      </c>
      <c r="H531" s="652">
        <f t="shared" si="61"/>
        <v>0</v>
      </c>
      <c r="I531" s="652">
        <v>0</v>
      </c>
      <c r="J531" s="684">
        <v>10000</v>
      </c>
      <c r="K531" s="652">
        <f>SUMIFS(OBE!$H:$H,OBE!$C:$C,'Standalone TB'!$B531,OBE!$B:$B,"A22")</f>
        <v>0</v>
      </c>
      <c r="L531" s="652">
        <f>SUMIFS('Elimination - PL'!I:I,'Elimination - PL'!A:A,"EA22",'Elimination - PL'!D:D,'Standalone TB'!B531)</f>
        <v>0</v>
      </c>
      <c r="M531" s="652">
        <f t="shared" si="64"/>
        <v>10000</v>
      </c>
      <c r="N531" s="652">
        <f t="shared" si="62"/>
        <v>229835.71720509691</v>
      </c>
      <c r="O531" s="652">
        <v>6000</v>
      </c>
      <c r="P531" s="685">
        <v>135231.6</v>
      </c>
      <c r="Q531" s="684">
        <v>0</v>
      </c>
      <c r="R531" s="652">
        <f>SUMIFS(OBE!$H:$H,OBE!$C:$C,'Standalone TB'!$B531,OBE!$B:$B,"A20")</f>
        <v>0</v>
      </c>
      <c r="S531" s="652">
        <f>SUMIFS('Elimination - PL'!I:I,'Elimination - PL'!A:A,"EA20",'Elimination - PL'!D:D,'Standalone TB'!B531)</f>
        <v>0</v>
      </c>
      <c r="T531" s="652">
        <f t="shared" si="65"/>
        <v>0</v>
      </c>
      <c r="U531" s="652">
        <f t="shared" si="63"/>
        <v>0</v>
      </c>
      <c r="V531" s="652">
        <v>0</v>
      </c>
      <c r="W531" s="685">
        <v>0</v>
      </c>
      <c r="X531" s="689">
        <f t="shared" si="66"/>
        <v>229835.71720509691</v>
      </c>
      <c r="Y531" s="689">
        <f t="shared" si="67"/>
        <v>135231.6</v>
      </c>
      <c r="Z531" s="666" t="s">
        <v>784</v>
      </c>
      <c r="AA531" s="666" t="s">
        <v>152</v>
      </c>
      <c r="AB531" s="666" t="s">
        <v>784</v>
      </c>
      <c r="AD531" s="652"/>
    </row>
    <row r="532" spans="2:30" hidden="1" x14ac:dyDescent="0.2">
      <c r="B532" s="673" t="s">
        <v>2655</v>
      </c>
      <c r="C532" s="666" t="s">
        <v>2656</v>
      </c>
      <c r="D532" s="666" t="s">
        <v>670</v>
      </c>
      <c r="E532" s="684">
        <v>0</v>
      </c>
      <c r="F532" s="652">
        <f>SUMIFS(OBE!$H:$H,OBE!$C:$C,'Standalone TB'!$B532,OBE!$B:$B,"A21")</f>
        <v>0</v>
      </c>
      <c r="G532" s="652">
        <f>SUMIFS('Elimination - PL'!I:I,'Elimination - PL'!A:A,"EA21",'Elimination - PL'!D:D,'Standalone TB'!B532)</f>
        <v>0</v>
      </c>
      <c r="H532" s="652">
        <f t="shared" si="61"/>
        <v>0</v>
      </c>
      <c r="I532" s="652">
        <v>168544415.94</v>
      </c>
      <c r="J532" s="684">
        <v>0</v>
      </c>
      <c r="K532" s="652">
        <f>SUMIFS(OBE!$H:$H,OBE!$C:$C,'Standalone TB'!$B532,OBE!$B:$B,"A22")</f>
        <v>0</v>
      </c>
      <c r="L532" s="652">
        <f>SUMIFS('Elimination - PL'!I:I,'Elimination - PL'!A:A,"EA22",'Elimination - PL'!D:D,'Standalone TB'!B532)</f>
        <v>0</v>
      </c>
      <c r="M532" s="652">
        <f t="shared" si="64"/>
        <v>0</v>
      </c>
      <c r="N532" s="652">
        <f t="shared" si="62"/>
        <v>0</v>
      </c>
      <c r="O532" s="652">
        <v>0</v>
      </c>
      <c r="P532" s="685">
        <v>0</v>
      </c>
      <c r="Q532" s="684">
        <v>0</v>
      </c>
      <c r="R532" s="652">
        <f>SUMIFS(OBE!$H:$H,OBE!$C:$C,'Standalone TB'!$B532,OBE!$B:$B,"A20")</f>
        <v>0</v>
      </c>
      <c r="S532" s="652">
        <f>SUMIFS('Elimination - PL'!I:I,'Elimination - PL'!A:A,"EA20",'Elimination - PL'!D:D,'Standalone TB'!B532)</f>
        <v>0</v>
      </c>
      <c r="T532" s="652">
        <f t="shared" si="65"/>
        <v>0</v>
      </c>
      <c r="U532" s="652">
        <f t="shared" si="63"/>
        <v>0</v>
      </c>
      <c r="V532" s="652">
        <v>0</v>
      </c>
      <c r="W532" s="685">
        <v>0</v>
      </c>
      <c r="X532" s="689">
        <f t="shared" si="66"/>
        <v>0</v>
      </c>
      <c r="Y532" s="689">
        <f t="shared" si="67"/>
        <v>168544415.94</v>
      </c>
      <c r="Z532" s="666" t="s">
        <v>784</v>
      </c>
      <c r="AA532" s="666" t="s">
        <v>152</v>
      </c>
      <c r="AB532" s="666" t="s">
        <v>784</v>
      </c>
      <c r="AD532" s="652" t="s">
        <v>2657</v>
      </c>
    </row>
    <row r="533" spans="2:30" hidden="1" x14ac:dyDescent="0.2">
      <c r="B533" s="673" t="s">
        <v>2658</v>
      </c>
      <c r="C533" s="666" t="s">
        <v>2659</v>
      </c>
      <c r="D533" s="666" t="s">
        <v>670</v>
      </c>
      <c r="E533" s="684">
        <v>0</v>
      </c>
      <c r="F533" s="652">
        <f>SUMIFS(OBE!$H:$H,OBE!$C:$C,'Standalone TB'!$B533,OBE!$B:$B,"A21")</f>
        <v>0</v>
      </c>
      <c r="G533" s="652">
        <f>SUMIFS('Elimination - PL'!I:I,'Elimination - PL'!A:A,"EA21",'Elimination - PL'!D:D,'Standalone TB'!B533)</f>
        <v>0</v>
      </c>
      <c r="H533" s="652">
        <f t="shared" si="61"/>
        <v>0</v>
      </c>
      <c r="I533" s="652">
        <v>0</v>
      </c>
      <c r="J533" s="684">
        <v>0</v>
      </c>
      <c r="K533" s="652">
        <f>SUMIFS(OBE!$H:$H,OBE!$C:$C,'Standalone TB'!$B533,OBE!$B:$B,"A22")</f>
        <v>0</v>
      </c>
      <c r="L533" s="652">
        <f>SUMIFS('Elimination - PL'!I:I,'Elimination - PL'!A:A,"EA22",'Elimination - PL'!D:D,'Standalone TB'!B533)</f>
        <v>0</v>
      </c>
      <c r="M533" s="652">
        <f t="shared" si="64"/>
        <v>0</v>
      </c>
      <c r="N533" s="652">
        <f t="shared" si="62"/>
        <v>0</v>
      </c>
      <c r="O533" s="652">
        <v>0</v>
      </c>
      <c r="P533" s="685">
        <v>0</v>
      </c>
      <c r="Q533" s="684">
        <v>7667.88</v>
      </c>
      <c r="R533" s="652">
        <f>SUMIFS(OBE!$H:$H,OBE!$C:$C,'Standalone TB'!$B533,OBE!$B:$B,"A20")</f>
        <v>0</v>
      </c>
      <c r="S533" s="652">
        <f>SUMIFS('Elimination - PL'!I:I,'Elimination - PL'!A:A,"EA20",'Elimination - PL'!D:D,'Standalone TB'!B533)</f>
        <v>0</v>
      </c>
      <c r="T533" s="652">
        <f t="shared" si="65"/>
        <v>7667.88</v>
      </c>
      <c r="U533" s="652">
        <f t="shared" si="63"/>
        <v>647335.91524153692</v>
      </c>
      <c r="V533" s="652">
        <v>0</v>
      </c>
      <c r="W533" s="685">
        <v>0</v>
      </c>
      <c r="X533" s="689">
        <f t="shared" si="66"/>
        <v>647335.91524153692</v>
      </c>
      <c r="Y533" s="689">
        <f t="shared" si="67"/>
        <v>0</v>
      </c>
      <c r="Z533" s="666" t="s">
        <v>784</v>
      </c>
      <c r="AA533" s="666" t="s">
        <v>152</v>
      </c>
      <c r="AB533" s="666" t="s">
        <v>784</v>
      </c>
      <c r="AD533" s="665"/>
    </row>
    <row r="534" spans="2:30" hidden="1" x14ac:dyDescent="0.2">
      <c r="B534" s="673" t="s">
        <v>2660</v>
      </c>
      <c r="C534" s="666" t="s">
        <v>1471</v>
      </c>
      <c r="D534" s="666" t="s">
        <v>670</v>
      </c>
      <c r="E534" s="684">
        <v>0</v>
      </c>
      <c r="F534" s="652">
        <f>SUMIFS(OBE!$H:$H,OBE!$C:$C,'Standalone TB'!$B534,OBE!$B:$B,"A21")</f>
        <v>0</v>
      </c>
      <c r="G534" s="652">
        <f>SUMIFS('Elimination - PL'!I:I,'Elimination - PL'!A:A,"EA21",'Elimination - PL'!D:D,'Standalone TB'!B534)</f>
        <v>0</v>
      </c>
      <c r="H534" s="652">
        <f t="shared" si="61"/>
        <v>0</v>
      </c>
      <c r="I534" s="652">
        <v>0</v>
      </c>
      <c r="J534" s="684">
        <v>275297.88</v>
      </c>
      <c r="K534" s="652">
        <f>SUMIFS(OBE!$H:$H,OBE!$C:$C,'Standalone TB'!$B534,OBE!$B:$B,"A22")</f>
        <v>-275297.88</v>
      </c>
      <c r="L534" s="652">
        <f>SUMIFS('Elimination - PL'!I:I,'Elimination - PL'!A:A,"EA22",'Elimination - PL'!D:D,'Standalone TB'!B534)</f>
        <v>0</v>
      </c>
      <c r="M534" s="652">
        <f t="shared" si="64"/>
        <v>0</v>
      </c>
      <c r="N534" s="652">
        <f t="shared" si="62"/>
        <v>0</v>
      </c>
      <c r="O534" s="652">
        <v>38031</v>
      </c>
      <c r="P534" s="685">
        <v>857165.49659999995</v>
      </c>
      <c r="Q534" s="684">
        <v>0</v>
      </c>
      <c r="R534" s="652">
        <f>SUMIFS(OBE!$H:$H,OBE!$C:$C,'Standalone TB'!$B534,OBE!$B:$B,"A20")</f>
        <v>0</v>
      </c>
      <c r="S534" s="652">
        <f>SUMIFS('Elimination - PL'!I:I,'Elimination - PL'!A:A,"EA20",'Elimination - PL'!D:D,'Standalone TB'!B534)</f>
        <v>0</v>
      </c>
      <c r="T534" s="652">
        <f t="shared" si="65"/>
        <v>0</v>
      </c>
      <c r="U534" s="652">
        <f t="shared" si="63"/>
        <v>0</v>
      </c>
      <c r="V534" s="652">
        <v>0</v>
      </c>
      <c r="W534" s="685">
        <v>0</v>
      </c>
      <c r="X534" s="689">
        <f t="shared" si="66"/>
        <v>0</v>
      </c>
      <c r="Y534" s="689">
        <f t="shared" si="67"/>
        <v>857165.49659999995</v>
      </c>
      <c r="Z534" s="666" t="s">
        <v>784</v>
      </c>
      <c r="AA534" s="666" t="s">
        <v>152</v>
      </c>
      <c r="AB534" s="666" t="s">
        <v>784</v>
      </c>
      <c r="AD534" s="665"/>
    </row>
    <row r="535" spans="2:30" hidden="1" x14ac:dyDescent="0.2">
      <c r="B535" s="673" t="s">
        <v>2896</v>
      </c>
      <c r="C535" s="666" t="s">
        <v>2899</v>
      </c>
      <c r="D535" s="666" t="s">
        <v>670</v>
      </c>
      <c r="E535" s="684">
        <v>0</v>
      </c>
      <c r="F535" s="652">
        <f>SUMIFS(OBE!$H:$H,OBE!$C:$C,'Standalone TB'!$B535,OBE!$B:$B,"A21")</f>
        <v>0</v>
      </c>
      <c r="G535" s="652">
        <f>SUMIFS('Elimination - PL'!I:I,'Elimination - PL'!A:A,"EA21",'Elimination - PL'!D:D,'Standalone TB'!B535)</f>
        <v>0</v>
      </c>
      <c r="H535" s="652">
        <f t="shared" ref="H535:H537" si="68">SUM(E535:G535)</f>
        <v>0</v>
      </c>
      <c r="I535" s="652">
        <v>0</v>
      </c>
      <c r="J535" s="684"/>
      <c r="K535" s="652">
        <f>SUMIFS(OBE!$H:$H,OBE!$C:$C,'Standalone TB'!$B535,OBE!$B:$B,"A22")</f>
        <v>171107.11</v>
      </c>
      <c r="L535" s="652">
        <f>SUMIFS('Elimination - PL'!I:I,'Elimination - PL'!A:A,"EA22",'Elimination - PL'!D:D,'Standalone TB'!B535)</f>
        <v>0</v>
      </c>
      <c r="M535" s="652">
        <f t="shared" ref="M535:M537" si="69">SUM(J535:L535)</f>
        <v>171107.11</v>
      </c>
      <c r="N535" s="652">
        <f t="shared" ref="N535:N537" si="70">M535*$O$3</f>
        <v>3932652.5345741403</v>
      </c>
      <c r="P535" s="685"/>
      <c r="Q535" s="684"/>
      <c r="W535" s="685"/>
      <c r="X535" s="689">
        <f t="shared" si="66"/>
        <v>3932652.5345741403</v>
      </c>
      <c r="Y535" s="689"/>
      <c r="Z535" s="666" t="s">
        <v>811</v>
      </c>
      <c r="AA535" s="666" t="s">
        <v>152</v>
      </c>
      <c r="AB535" s="666" t="s">
        <v>2314</v>
      </c>
      <c r="AD535" s="665"/>
    </row>
    <row r="536" spans="2:30" hidden="1" x14ac:dyDescent="0.2">
      <c r="B536" s="673" t="s">
        <v>2897</v>
      </c>
      <c r="C536" s="666" t="s">
        <v>2900</v>
      </c>
      <c r="D536" s="666" t="s">
        <v>670</v>
      </c>
      <c r="E536" s="684">
        <v>0</v>
      </c>
      <c r="F536" s="652">
        <f>SUMIFS(OBE!$H:$H,OBE!$C:$C,'Standalone TB'!$B536,OBE!$B:$B,"A21")</f>
        <v>0</v>
      </c>
      <c r="G536" s="652">
        <f>SUMIFS('Elimination - PL'!I:I,'Elimination - PL'!A:A,"EA21",'Elimination - PL'!D:D,'Standalone TB'!B536)</f>
        <v>0</v>
      </c>
      <c r="H536" s="652">
        <f t="shared" si="68"/>
        <v>0</v>
      </c>
      <c r="I536" s="652">
        <v>0</v>
      </c>
      <c r="J536" s="684"/>
      <c r="K536" s="652">
        <f>SUMIFS(OBE!$H:$H,OBE!$C:$C,'Standalone TB'!$B536,OBE!$B:$B,"A22")</f>
        <v>179415.15</v>
      </c>
      <c r="L536" s="652">
        <f>SUMIFS('Elimination - PL'!I:I,'Elimination - PL'!A:A,"EA22",'Elimination - PL'!D:D,'Standalone TB'!B536)</f>
        <v>0</v>
      </c>
      <c r="M536" s="652">
        <f t="shared" si="69"/>
        <v>179415.15</v>
      </c>
      <c r="N536" s="652">
        <f t="shared" si="70"/>
        <v>4123600.967771004</v>
      </c>
      <c r="P536" s="685"/>
      <c r="Q536" s="684"/>
      <c r="W536" s="685"/>
      <c r="X536" s="689">
        <f t="shared" si="66"/>
        <v>4123600.967771004</v>
      </c>
      <c r="Y536" s="689"/>
      <c r="Z536" s="666" t="s">
        <v>815</v>
      </c>
      <c r="AA536" s="666" t="s">
        <v>152</v>
      </c>
      <c r="AB536" s="666" t="s">
        <v>2314</v>
      </c>
      <c r="AD536" s="665"/>
    </row>
    <row r="537" spans="2:30" hidden="1" x14ac:dyDescent="0.2">
      <c r="B537" s="673" t="s">
        <v>2898</v>
      </c>
      <c r="C537" s="666" t="s">
        <v>2901</v>
      </c>
      <c r="D537" s="666" t="s">
        <v>670</v>
      </c>
      <c r="E537" s="684">
        <v>0</v>
      </c>
      <c r="F537" s="652">
        <f>SUMIFS(OBE!$H:$H,OBE!$C:$C,'Standalone TB'!$B537,OBE!$B:$B,"A21")</f>
        <v>0</v>
      </c>
      <c r="G537" s="652">
        <f>SUMIFS('Elimination - PL'!I:I,'Elimination - PL'!A:A,"EA21",'Elimination - PL'!D:D,'Standalone TB'!B537)</f>
        <v>0</v>
      </c>
      <c r="H537" s="652">
        <f t="shared" si="68"/>
        <v>0</v>
      </c>
      <c r="I537" s="652">
        <v>0</v>
      </c>
      <c r="J537" s="684"/>
      <c r="K537" s="652">
        <f>SUMIFS(OBE!$H:$H,OBE!$C:$C,'Standalone TB'!$B537,OBE!$B:$B,"A22")</f>
        <v>11755.62</v>
      </c>
      <c r="L537" s="652">
        <f>SUMIFS('Elimination - PL'!I:I,'Elimination - PL'!A:A,"EA22",'Elimination - PL'!D:D,'Standalone TB'!B537)</f>
        <v>0</v>
      </c>
      <c r="M537" s="652">
        <f t="shared" si="69"/>
        <v>11755.62</v>
      </c>
      <c r="N537" s="652">
        <f t="shared" si="70"/>
        <v>270186.13538905815</v>
      </c>
      <c r="P537" s="685"/>
      <c r="Q537" s="684"/>
      <c r="W537" s="685"/>
      <c r="X537" s="689">
        <f t="shared" si="66"/>
        <v>270186.13538905815</v>
      </c>
      <c r="Y537" s="689"/>
      <c r="Z537" s="666" t="s">
        <v>818</v>
      </c>
      <c r="AA537" s="666" t="s">
        <v>152</v>
      </c>
      <c r="AB537" s="666" t="s">
        <v>2314</v>
      </c>
      <c r="AD537" s="665"/>
    </row>
    <row r="538" spans="2:30" hidden="1" x14ac:dyDescent="0.2">
      <c r="B538" s="673" t="s">
        <v>1636</v>
      </c>
      <c r="C538" s="666" t="s">
        <v>2661</v>
      </c>
      <c r="D538" s="666" t="s">
        <v>670</v>
      </c>
      <c r="E538" s="684">
        <v>352132756</v>
      </c>
      <c r="F538" s="652">
        <f>SUMIFS(OBE!$H:$H,OBE!$C:$C,'Standalone TB'!$B538,OBE!$B:$B,"A21")</f>
        <v>87783</v>
      </c>
      <c r="G538" s="652">
        <f>SUMIFS('Elimination - PL'!I:I,'Elimination - PL'!A:A,"EA21",'Elimination - PL'!D:D,'Standalone TB'!B538)</f>
        <v>0</v>
      </c>
      <c r="H538" s="652">
        <f t="shared" si="61"/>
        <v>352220539</v>
      </c>
      <c r="I538" s="652">
        <v>237902932.29000002</v>
      </c>
      <c r="J538" s="684">
        <v>3368106.8600000003</v>
      </c>
      <c r="K538" s="652">
        <f>SUMIFS(OBE!$H:$H,OBE!$C:$C,'Standalone TB'!$B538,OBE!$B:$B,"A22")</f>
        <v>0</v>
      </c>
      <c r="L538" s="652">
        <f>SUMIFS('Elimination - PL'!I:I,'Elimination - PL'!A:A,"EA22",'Elimination - PL'!D:D,'Standalone TB'!B538)</f>
        <v>0</v>
      </c>
      <c r="M538" s="652">
        <f t="shared" si="64"/>
        <v>3368106.8600000003</v>
      </c>
      <c r="N538" s="652">
        <f t="shared" si="62"/>
        <v>77411125.579150707</v>
      </c>
      <c r="O538" s="652">
        <v>2095658.9000000001</v>
      </c>
      <c r="P538" s="685">
        <v>47233217.683540002</v>
      </c>
      <c r="Q538" s="684">
        <v>0</v>
      </c>
      <c r="R538" s="652">
        <f>SUMIFS(OBE!$H:$H,OBE!$C:$C,'Standalone TB'!$B538,OBE!$B:$B,"A20")</f>
        <v>0</v>
      </c>
      <c r="S538" s="652">
        <f>SUMIFS('Elimination - PL'!I:I,'Elimination - PL'!A:A,"EA20",'Elimination - PL'!D:D,'Standalone TB'!B538)</f>
        <v>0</v>
      </c>
      <c r="T538" s="652">
        <f t="shared" si="65"/>
        <v>0</v>
      </c>
      <c r="U538" s="652">
        <f t="shared" si="63"/>
        <v>0</v>
      </c>
      <c r="V538" s="652">
        <v>0</v>
      </c>
      <c r="W538" s="685">
        <v>0</v>
      </c>
      <c r="X538" s="689">
        <f t="shared" si="66"/>
        <v>429631664.57915068</v>
      </c>
      <c r="Y538" s="689">
        <f t="shared" si="67"/>
        <v>285136149.97354001</v>
      </c>
      <c r="Z538" s="666" t="s">
        <v>787</v>
      </c>
      <c r="AA538" s="666" t="s">
        <v>152</v>
      </c>
      <c r="AB538" s="666" t="s">
        <v>2644</v>
      </c>
      <c r="AD538" s="665"/>
    </row>
    <row r="539" spans="2:30" hidden="1" x14ac:dyDescent="0.2">
      <c r="B539" s="673" t="s">
        <v>2662</v>
      </c>
      <c r="C539" s="666" t="s">
        <v>2663</v>
      </c>
      <c r="D539" s="666" t="s">
        <v>670</v>
      </c>
      <c r="E539" s="684">
        <v>0</v>
      </c>
      <c r="F539" s="652">
        <f>SUMIFS(OBE!$H:$H,OBE!$C:$C,'Standalone TB'!$B539,OBE!$B:$B,"A21")</f>
        <v>0</v>
      </c>
      <c r="G539" s="652">
        <f>SUMIFS('Elimination - PL'!I:I,'Elimination - PL'!A:A,"EA21",'Elimination - PL'!D:D,'Standalone TB'!B539)</f>
        <v>0</v>
      </c>
      <c r="H539" s="652">
        <f t="shared" si="61"/>
        <v>0</v>
      </c>
      <c r="I539" s="652">
        <v>0</v>
      </c>
      <c r="J539" s="684">
        <v>0</v>
      </c>
      <c r="K539" s="652">
        <f>SUMIFS(OBE!$H:$H,OBE!$C:$C,'Standalone TB'!$B539,OBE!$B:$B,"A22")</f>
        <v>0</v>
      </c>
      <c r="L539" s="652">
        <f>SUMIFS('Elimination - PL'!I:I,'Elimination - PL'!A:A,"EA22",'Elimination - PL'!D:D,'Standalone TB'!B539)</f>
        <v>0</v>
      </c>
      <c r="M539" s="652">
        <f t="shared" si="64"/>
        <v>0</v>
      </c>
      <c r="N539" s="652">
        <f t="shared" si="62"/>
        <v>0</v>
      </c>
      <c r="O539" s="652">
        <v>0</v>
      </c>
      <c r="P539" s="685">
        <v>0</v>
      </c>
      <c r="Q539" s="684">
        <v>0</v>
      </c>
      <c r="R539" s="652">
        <f>SUMIFS(OBE!$H:$H,OBE!$C:$C,'Standalone TB'!$B539,OBE!$B:$B,"A20")</f>
        <v>0</v>
      </c>
      <c r="S539" s="652">
        <f>SUMIFS('Elimination - PL'!I:I,'Elimination - PL'!A:A,"EA20",'Elimination - PL'!D:D,'Standalone TB'!B539)</f>
        <v>0</v>
      </c>
      <c r="T539" s="652">
        <f t="shared" si="65"/>
        <v>0</v>
      </c>
      <c r="U539" s="652">
        <f t="shared" si="63"/>
        <v>0</v>
      </c>
      <c r="V539" s="652">
        <v>0</v>
      </c>
      <c r="W539" s="685">
        <v>0</v>
      </c>
      <c r="X539" s="689">
        <f t="shared" si="66"/>
        <v>0</v>
      </c>
      <c r="Y539" s="689">
        <f t="shared" si="67"/>
        <v>0</v>
      </c>
      <c r="Z539" s="666" t="s">
        <v>787</v>
      </c>
      <c r="AA539" s="666" t="s">
        <v>152</v>
      </c>
      <c r="AB539" s="666" t="s">
        <v>2644</v>
      </c>
      <c r="AD539" s="665"/>
    </row>
    <row r="540" spans="2:30" ht="11.5" hidden="1" x14ac:dyDescent="0.25">
      <c r="B540" s="673" t="s">
        <v>2664</v>
      </c>
      <c r="C540" s="703" t="s">
        <v>2665</v>
      </c>
      <c r="D540" s="666" t="s">
        <v>670</v>
      </c>
      <c r="E540" s="684">
        <v>0</v>
      </c>
      <c r="F540" s="652">
        <f>SUMIFS(OBE!$H:$H,OBE!$C:$C,'Standalone TB'!$B540,OBE!$B:$B,"A21")</f>
        <v>0</v>
      </c>
      <c r="G540" s="652">
        <f>SUMIFS('Elimination - PL'!I:I,'Elimination - PL'!A:A,"EA21",'Elimination - PL'!D:D,'Standalone TB'!B540)</f>
        <v>0</v>
      </c>
      <c r="H540" s="652">
        <f t="shared" si="61"/>
        <v>0</v>
      </c>
      <c r="I540" s="652">
        <v>0</v>
      </c>
      <c r="J540" s="684">
        <v>0</v>
      </c>
      <c r="K540" s="652">
        <f>SUMIFS(OBE!$H:$H,OBE!$C:$C,'Standalone TB'!$B540,OBE!$B:$B,"A22")</f>
        <v>199687.93000000002</v>
      </c>
      <c r="L540" s="652">
        <f>SUMIFS('Elimination - PL'!I:I,'Elimination - PL'!A:A,"EA22",'Elimination - PL'!D:D,'Standalone TB'!B540)</f>
        <v>0</v>
      </c>
      <c r="M540" s="652">
        <f t="shared" si="64"/>
        <v>199687.93000000002</v>
      </c>
      <c r="N540" s="652">
        <f t="shared" si="62"/>
        <v>4589541.8608751195</v>
      </c>
      <c r="O540" s="652">
        <v>0</v>
      </c>
      <c r="P540" s="685">
        <v>0</v>
      </c>
      <c r="Q540" s="684">
        <v>0</v>
      </c>
      <c r="R540" s="652">
        <f>SUMIFS(OBE!$H:$H,OBE!$C:$C,'Standalone TB'!$B540,OBE!$B:$B,"A20")</f>
        <v>0</v>
      </c>
      <c r="S540" s="652">
        <f>SUMIFS('Elimination - PL'!I:I,'Elimination - PL'!A:A,"EA20",'Elimination - PL'!D:D,'Standalone TB'!B540)</f>
        <v>0</v>
      </c>
      <c r="T540" s="652">
        <f t="shared" si="65"/>
        <v>0</v>
      </c>
      <c r="U540" s="652">
        <f t="shared" si="63"/>
        <v>0</v>
      </c>
      <c r="V540" s="652">
        <v>0</v>
      </c>
      <c r="W540" s="685">
        <v>0</v>
      </c>
      <c r="X540" s="689">
        <f t="shared" si="66"/>
        <v>4589541.8608751195</v>
      </c>
      <c r="Y540" s="689">
        <f t="shared" si="67"/>
        <v>0</v>
      </c>
      <c r="Z540" s="666" t="s">
        <v>784</v>
      </c>
      <c r="AA540" s="666" t="s">
        <v>152</v>
      </c>
      <c r="AB540" s="666" t="s">
        <v>784</v>
      </c>
      <c r="AD540" s="665"/>
    </row>
    <row r="541" spans="2:30" hidden="1" x14ac:dyDescent="0.2">
      <c r="B541" s="673" t="s">
        <v>2666</v>
      </c>
      <c r="C541" s="666" t="s">
        <v>2667</v>
      </c>
      <c r="D541" s="666" t="s">
        <v>670</v>
      </c>
      <c r="E541" s="684">
        <v>0</v>
      </c>
      <c r="F541" s="652">
        <f>SUMIFS(OBE!$H:$H,OBE!$C:$C,'Standalone TB'!$B541,OBE!$B:$B,"A21")</f>
        <v>0</v>
      </c>
      <c r="G541" s="652">
        <f>SUMIFS('Elimination - PL'!I:I,'Elimination - PL'!A:A,"EA21",'Elimination - PL'!D:D,'Standalone TB'!B541)</f>
        <v>0</v>
      </c>
      <c r="H541" s="652">
        <f t="shared" si="61"/>
        <v>0</v>
      </c>
      <c r="I541" s="652">
        <v>0</v>
      </c>
      <c r="J541" s="684">
        <v>10389.029999999999</v>
      </c>
      <c r="K541" s="652">
        <f>SUMIFS(OBE!$H:$H,OBE!$C:$C,'Standalone TB'!$B541,OBE!$B:$B,"A22")</f>
        <v>0</v>
      </c>
      <c r="L541" s="652">
        <f>SUMIFS('Elimination - PL'!I:I,'Elimination - PL'!A:A,"EA22",'Elimination - PL'!D:D,'Standalone TB'!B541)</f>
        <v>0</v>
      </c>
      <c r="M541" s="652">
        <f t="shared" si="64"/>
        <v>10389.029999999999</v>
      </c>
      <c r="N541" s="652">
        <f t="shared" si="62"/>
        <v>238777.01611152675</v>
      </c>
      <c r="O541" s="652">
        <v>715.92</v>
      </c>
      <c r="P541" s="685">
        <v>16135.834511999998</v>
      </c>
      <c r="Q541" s="684">
        <v>0</v>
      </c>
      <c r="R541" s="652">
        <f>SUMIFS(OBE!$H:$H,OBE!$C:$C,'Standalone TB'!$B541,OBE!$B:$B,"A20")</f>
        <v>0</v>
      </c>
      <c r="S541" s="652">
        <f>SUMIFS('Elimination - PL'!I:I,'Elimination - PL'!A:A,"EA20",'Elimination - PL'!D:D,'Standalone TB'!B541)</f>
        <v>0</v>
      </c>
      <c r="T541" s="652">
        <f t="shared" si="65"/>
        <v>0</v>
      </c>
      <c r="U541" s="652">
        <f t="shared" si="63"/>
        <v>0</v>
      </c>
      <c r="V541" s="652">
        <v>0</v>
      </c>
      <c r="W541" s="685">
        <v>0</v>
      </c>
      <c r="X541" s="689">
        <f t="shared" si="66"/>
        <v>238777.01611152675</v>
      </c>
      <c r="Y541" s="689">
        <f t="shared" si="67"/>
        <v>16135.834511999998</v>
      </c>
      <c r="Z541" s="666" t="s">
        <v>787</v>
      </c>
      <c r="AA541" s="666" t="s">
        <v>152</v>
      </c>
      <c r="AB541" s="666" t="s">
        <v>2644</v>
      </c>
      <c r="AD541" s="665"/>
    </row>
    <row r="542" spans="2:30" hidden="1" x14ac:dyDescent="0.2">
      <c r="B542" s="673" t="s">
        <v>1638</v>
      </c>
      <c r="C542" s="666" t="s">
        <v>2668</v>
      </c>
      <c r="D542" s="666" t="s">
        <v>670</v>
      </c>
      <c r="E542" s="684">
        <v>420702133</v>
      </c>
      <c r="F542" s="652">
        <f>SUMIFS(OBE!$H:$H,OBE!$C:$C,'Standalone TB'!$B542,OBE!$B:$B,"A21")</f>
        <v>-6362834</v>
      </c>
      <c r="G542" s="652">
        <f>SUMIFS('Elimination - PL'!I:I,'Elimination - PL'!A:A,"EA21",'Elimination - PL'!D:D,'Standalone TB'!B542)</f>
        <v>0</v>
      </c>
      <c r="H542" s="652">
        <f>SUM(E542:G542)</f>
        <v>414339299</v>
      </c>
      <c r="I542" s="652">
        <v>541072156</v>
      </c>
      <c r="J542" s="684">
        <v>0</v>
      </c>
      <c r="K542" s="652">
        <f>SUMIFS(OBE!$H:$H,OBE!$C:$C,'Standalone TB'!$B542,OBE!$B:$B,"A22")</f>
        <v>0</v>
      </c>
      <c r="L542" s="652">
        <f>SUMIFS('Elimination - PL'!I:I,'Elimination - PL'!A:A,"EA22",'Elimination - PL'!D:D,'Standalone TB'!B542)</f>
        <v>0</v>
      </c>
      <c r="M542" s="652">
        <f t="shared" si="64"/>
        <v>0</v>
      </c>
      <c r="N542" s="652">
        <f t="shared" si="62"/>
        <v>0</v>
      </c>
      <c r="O542" s="652">
        <v>0</v>
      </c>
      <c r="P542" s="685">
        <v>0</v>
      </c>
      <c r="Q542" s="684">
        <v>0</v>
      </c>
      <c r="R542" s="652">
        <f>SUMIFS(OBE!$H:$H,OBE!$C:$C,'Standalone TB'!$B542,OBE!$B:$B,"A20")</f>
        <v>0</v>
      </c>
      <c r="S542" s="652">
        <f>SUMIFS('Elimination - PL'!I:I,'Elimination - PL'!A:A,"EA20",'Elimination - PL'!D:D,'Standalone TB'!B542)</f>
        <v>0</v>
      </c>
      <c r="T542" s="652">
        <f t="shared" si="65"/>
        <v>0</v>
      </c>
      <c r="U542" s="652">
        <f t="shared" si="63"/>
        <v>0</v>
      </c>
      <c r="V542" s="652">
        <v>0</v>
      </c>
      <c r="W542" s="685">
        <v>0</v>
      </c>
      <c r="X542" s="689">
        <f t="shared" si="66"/>
        <v>414339299</v>
      </c>
      <c r="Y542" s="689">
        <f t="shared" si="67"/>
        <v>541072156</v>
      </c>
      <c r="Z542" s="666" t="s">
        <v>787</v>
      </c>
      <c r="AA542" s="666" t="s">
        <v>152</v>
      </c>
      <c r="AB542" s="666" t="s">
        <v>2644</v>
      </c>
      <c r="AD542" s="665">
        <v>1000491</v>
      </c>
    </row>
    <row r="543" spans="2:30" hidden="1" x14ac:dyDescent="0.2">
      <c r="B543" s="673" t="s">
        <v>2669</v>
      </c>
      <c r="C543" s="666" t="s">
        <v>2670</v>
      </c>
      <c r="D543" s="666" t="s">
        <v>670</v>
      </c>
      <c r="E543" s="684">
        <v>31417124</v>
      </c>
      <c r="F543" s="652">
        <f>SUMIFS(OBE!$H:$H,OBE!$C:$C,'Standalone TB'!$B543,OBE!$B:$B,"A21")</f>
        <v>2644855</v>
      </c>
      <c r="G543" s="652">
        <f>SUMIFS('Elimination - PL'!I:I,'Elimination - PL'!A:A,"EA21",'Elimination - PL'!D:D,'Standalone TB'!B543)</f>
        <v>0</v>
      </c>
      <c r="H543" s="652">
        <f t="shared" si="61"/>
        <v>34061979</v>
      </c>
      <c r="I543" s="652">
        <v>-665000</v>
      </c>
      <c r="J543" s="684">
        <v>8382.9500000000007</v>
      </c>
      <c r="K543" s="652">
        <f>SUMIFS(OBE!$H:$H,OBE!$C:$C,'Standalone TB'!$B543,OBE!$B:$B,"A22")</f>
        <v>0</v>
      </c>
      <c r="L543" s="652">
        <f>SUMIFS('Elimination - PL'!I:I,'Elimination - PL'!A:A,"EA22",'Elimination - PL'!D:D,'Standalone TB'!B543)</f>
        <v>0</v>
      </c>
      <c r="M543" s="652">
        <f t="shared" si="64"/>
        <v>8382.9500000000007</v>
      </c>
      <c r="N543" s="652">
        <f t="shared" si="62"/>
        <v>192670.13255444673</v>
      </c>
      <c r="O543" s="652">
        <v>0</v>
      </c>
      <c r="P543" s="685">
        <v>0</v>
      </c>
      <c r="Q543" s="684">
        <v>0</v>
      </c>
      <c r="R543" s="652">
        <f>SUMIFS(OBE!$H:$H,OBE!$C:$C,'Standalone TB'!$B543,OBE!$B:$B,"A20")</f>
        <v>0</v>
      </c>
      <c r="S543" s="652">
        <f>SUMIFS('Elimination - PL'!I:I,'Elimination - PL'!A:A,"EA20",'Elimination - PL'!D:D,'Standalone TB'!B543)</f>
        <v>0</v>
      </c>
      <c r="T543" s="652">
        <f t="shared" si="65"/>
        <v>0</v>
      </c>
      <c r="U543" s="652">
        <f t="shared" si="63"/>
        <v>0</v>
      </c>
      <c r="V543" s="652">
        <v>0</v>
      </c>
      <c r="W543" s="685">
        <v>0</v>
      </c>
      <c r="X543" s="689">
        <f t="shared" si="66"/>
        <v>34254649.132554449</v>
      </c>
      <c r="Y543" s="689">
        <f t="shared" si="67"/>
        <v>-665000</v>
      </c>
      <c r="Z543" s="666" t="s">
        <v>787</v>
      </c>
      <c r="AA543" s="666" t="s">
        <v>152</v>
      </c>
      <c r="AB543" s="666" t="s">
        <v>2644</v>
      </c>
      <c r="AD543" s="665"/>
    </row>
    <row r="544" spans="2:30" hidden="1" x14ac:dyDescent="0.2">
      <c r="B544" s="673" t="s">
        <v>2671</v>
      </c>
      <c r="C544" s="666" t="s">
        <v>2672</v>
      </c>
      <c r="D544" s="666" t="s">
        <v>670</v>
      </c>
      <c r="E544" s="684">
        <v>0</v>
      </c>
      <c r="F544" s="652">
        <f>SUMIFS(OBE!$H:$H,OBE!$C:$C,'Standalone TB'!$B544,OBE!$B:$B,"A21")</f>
        <v>0</v>
      </c>
      <c r="G544" s="652">
        <f>SUMIFS('Elimination - PL'!I:I,'Elimination - PL'!A:A,"EA21",'Elimination - PL'!D:D,'Standalone TB'!B544)</f>
        <v>0</v>
      </c>
      <c r="H544" s="652">
        <f t="shared" si="61"/>
        <v>0</v>
      </c>
      <c r="I544" s="652">
        <v>0</v>
      </c>
      <c r="J544" s="684">
        <v>0</v>
      </c>
      <c r="K544" s="652">
        <f>SUMIFS(OBE!$H:$H,OBE!$C:$C,'Standalone TB'!$B544,OBE!$B:$B,"A22")</f>
        <v>0</v>
      </c>
      <c r="L544" s="652">
        <f>SUMIFS('Elimination - PL'!I:I,'Elimination - PL'!A:A,"EA22",'Elimination - PL'!D:D,'Standalone TB'!B544)</f>
        <v>0</v>
      </c>
      <c r="M544" s="652">
        <f t="shared" si="64"/>
        <v>0</v>
      </c>
      <c r="N544" s="652">
        <f t="shared" si="62"/>
        <v>0</v>
      </c>
      <c r="O544" s="652">
        <v>0</v>
      </c>
      <c r="P544" s="685">
        <v>0</v>
      </c>
      <c r="Q544" s="684">
        <v>0</v>
      </c>
      <c r="R544" s="652">
        <f>SUMIFS(OBE!$H:$H,OBE!$C:$C,'Standalone TB'!$B544,OBE!$B:$B,"A20")</f>
        <v>0</v>
      </c>
      <c r="S544" s="652">
        <f>SUMIFS('Elimination - PL'!I:I,'Elimination - PL'!A:A,"EA20",'Elimination - PL'!D:D,'Standalone TB'!B544)</f>
        <v>0</v>
      </c>
      <c r="T544" s="652">
        <f t="shared" si="65"/>
        <v>0</v>
      </c>
      <c r="U544" s="652">
        <f t="shared" si="63"/>
        <v>0</v>
      </c>
      <c r="V544" s="652">
        <v>0</v>
      </c>
      <c r="W544" s="685">
        <v>0</v>
      </c>
      <c r="X544" s="689">
        <f t="shared" si="66"/>
        <v>0</v>
      </c>
      <c r="Y544" s="689">
        <f t="shared" si="67"/>
        <v>0</v>
      </c>
      <c r="Z544" s="666" t="s">
        <v>787</v>
      </c>
      <c r="AA544" s="666" t="s">
        <v>152</v>
      </c>
      <c r="AB544" s="666" t="s">
        <v>2644</v>
      </c>
      <c r="AD544" s="665"/>
    </row>
    <row r="545" spans="2:30" hidden="1" x14ac:dyDescent="0.2">
      <c r="B545" s="673" t="s">
        <v>1639</v>
      </c>
      <c r="C545" s="666" t="s">
        <v>2673</v>
      </c>
      <c r="D545" s="666" t="s">
        <v>670</v>
      </c>
      <c r="E545" s="684">
        <v>2982876</v>
      </c>
      <c r="F545" s="652">
        <f>SUMIFS(OBE!$H:$H,OBE!$C:$C,'Standalone TB'!$B545,OBE!$B:$B,"A21")</f>
        <v>134163</v>
      </c>
      <c r="G545" s="652">
        <f>SUMIFS('Elimination - PL'!I:I,'Elimination - PL'!A:A,"EA21",'Elimination - PL'!D:D,'Standalone TB'!B545)</f>
        <v>0</v>
      </c>
      <c r="H545" s="652">
        <f t="shared" si="61"/>
        <v>3117039</v>
      </c>
      <c r="I545" s="652">
        <v>4820765</v>
      </c>
      <c r="J545" s="684">
        <v>0</v>
      </c>
      <c r="K545" s="652">
        <f>SUMIFS(OBE!$H:$H,OBE!$C:$C,'Standalone TB'!$B545,OBE!$B:$B,"A22")</f>
        <v>0</v>
      </c>
      <c r="L545" s="652">
        <f>SUMIFS('Elimination - PL'!I:I,'Elimination - PL'!A:A,"EA22",'Elimination - PL'!D:D,'Standalone TB'!B545)</f>
        <v>0</v>
      </c>
      <c r="M545" s="652">
        <f t="shared" si="64"/>
        <v>0</v>
      </c>
      <c r="N545" s="652">
        <f t="shared" si="62"/>
        <v>0</v>
      </c>
      <c r="O545" s="652">
        <v>0</v>
      </c>
      <c r="P545" s="685">
        <v>0</v>
      </c>
      <c r="Q545" s="684">
        <v>0</v>
      </c>
      <c r="R545" s="652">
        <f>SUMIFS(OBE!$H:$H,OBE!$C:$C,'Standalone TB'!$B545,OBE!$B:$B,"A20")</f>
        <v>0</v>
      </c>
      <c r="S545" s="652">
        <f>SUMIFS('Elimination - PL'!I:I,'Elimination - PL'!A:A,"EA20",'Elimination - PL'!D:D,'Standalone TB'!B545)</f>
        <v>0</v>
      </c>
      <c r="T545" s="652">
        <f t="shared" si="65"/>
        <v>0</v>
      </c>
      <c r="U545" s="652">
        <f t="shared" si="63"/>
        <v>0</v>
      </c>
      <c r="V545" s="652">
        <v>0</v>
      </c>
      <c r="W545" s="685">
        <v>0</v>
      </c>
      <c r="X545" s="689">
        <f t="shared" si="66"/>
        <v>3117039</v>
      </c>
      <c r="Y545" s="689">
        <f t="shared" si="67"/>
        <v>4820765</v>
      </c>
      <c r="Z545" s="666" t="s">
        <v>787</v>
      </c>
      <c r="AA545" s="666" t="s">
        <v>152</v>
      </c>
      <c r="AB545" s="666" t="s">
        <v>2644</v>
      </c>
      <c r="AD545" s="665"/>
    </row>
    <row r="546" spans="2:30" hidden="1" x14ac:dyDescent="0.2">
      <c r="B546" s="673" t="s">
        <v>2674</v>
      </c>
      <c r="C546" s="666" t="s">
        <v>2675</v>
      </c>
      <c r="D546" s="666" t="s">
        <v>670</v>
      </c>
      <c r="E546" s="684">
        <v>3349966.0000000019</v>
      </c>
      <c r="F546" s="652">
        <f>SUMIFS(OBE!$H:$H,OBE!$C:$C,'Standalone TB'!$B546,OBE!$B:$B,"A21")</f>
        <v>0</v>
      </c>
      <c r="G546" s="652">
        <f>SUMIFS('Elimination - PL'!I:I,'Elimination - PL'!A:A,"EA21",'Elimination - PL'!D:D,'Standalone TB'!B546)</f>
        <v>0</v>
      </c>
      <c r="H546" s="652">
        <f t="shared" si="61"/>
        <v>3349966.0000000019</v>
      </c>
      <c r="I546" s="652">
        <v>43392445.369999997</v>
      </c>
      <c r="J546" s="684">
        <v>385048.06</v>
      </c>
      <c r="K546" s="652">
        <f>SUMIFS(OBE!$H:$H,OBE!$C:$C,'Standalone TB'!$B546,OBE!$B:$B,"A22")</f>
        <v>0</v>
      </c>
      <c r="L546" s="652">
        <f>SUMIFS('Elimination - PL'!I:I,'Elimination - PL'!A:A,"EA22",'Elimination - PL'!D:D,'Standalone TB'!B546)</f>
        <v>0</v>
      </c>
      <c r="M546" s="652">
        <f t="shared" si="64"/>
        <v>385048.06</v>
      </c>
      <c r="N546" s="652">
        <f t="shared" si="62"/>
        <v>8849779.702853119</v>
      </c>
      <c r="O546" s="652">
        <v>208989.88</v>
      </c>
      <c r="P546" s="685">
        <v>4710339.3093679994</v>
      </c>
      <c r="Q546" s="684">
        <v>0</v>
      </c>
      <c r="R546" s="652">
        <f>SUMIFS(OBE!$H:$H,OBE!$C:$C,'Standalone TB'!$B546,OBE!$B:$B,"A20")</f>
        <v>0</v>
      </c>
      <c r="S546" s="652">
        <f>SUMIFS('Elimination - PL'!I:I,'Elimination - PL'!A:A,"EA20",'Elimination - PL'!D:D,'Standalone TB'!B546)</f>
        <v>0</v>
      </c>
      <c r="T546" s="652">
        <f t="shared" si="65"/>
        <v>0</v>
      </c>
      <c r="U546" s="652">
        <f t="shared" si="63"/>
        <v>0</v>
      </c>
      <c r="V546" s="652">
        <v>0</v>
      </c>
      <c r="W546" s="685">
        <v>0</v>
      </c>
      <c r="X546" s="689">
        <f t="shared" si="66"/>
        <v>12199745.702853121</v>
      </c>
      <c r="Y546" s="689">
        <f t="shared" si="67"/>
        <v>48102784.679367997</v>
      </c>
      <c r="Z546" s="666" t="s">
        <v>787</v>
      </c>
      <c r="AA546" s="666" t="s">
        <v>152</v>
      </c>
      <c r="AB546" s="666" t="s">
        <v>2644</v>
      </c>
      <c r="AD546" s="665"/>
    </row>
    <row r="547" spans="2:30" hidden="1" x14ac:dyDescent="0.2">
      <c r="B547" s="673" t="s">
        <v>2676</v>
      </c>
      <c r="C547" s="666" t="s">
        <v>2677</v>
      </c>
      <c r="D547" s="666" t="s">
        <v>670</v>
      </c>
      <c r="E547" s="684">
        <v>20689712</v>
      </c>
      <c r="F547" s="652">
        <f>SUMIFS(OBE!$H:$H,OBE!$C:$C,'Standalone TB'!$B547,OBE!$B:$B,"A21")</f>
        <v>-1425318</v>
      </c>
      <c r="G547" s="652">
        <f>SUMIFS('Elimination - PL'!I:I,'Elimination - PL'!A:A,"EA21",'Elimination - PL'!D:D,'Standalone TB'!B547)</f>
        <v>0</v>
      </c>
      <c r="H547" s="652">
        <f t="shared" si="61"/>
        <v>19264394</v>
      </c>
      <c r="I547" s="652">
        <v>32441950</v>
      </c>
      <c r="J547" s="684">
        <v>0</v>
      </c>
      <c r="K547" s="652">
        <f>SUMIFS(OBE!$H:$H,OBE!$C:$C,'Standalone TB'!$B547,OBE!$B:$B,"A22")</f>
        <v>0</v>
      </c>
      <c r="L547" s="652">
        <f>SUMIFS('Elimination - PL'!I:I,'Elimination - PL'!A:A,"EA22",'Elimination - PL'!D:D,'Standalone TB'!B547)</f>
        <v>0</v>
      </c>
      <c r="M547" s="652">
        <f t="shared" si="64"/>
        <v>0</v>
      </c>
      <c r="N547" s="652">
        <f t="shared" si="62"/>
        <v>0</v>
      </c>
      <c r="O547" s="652">
        <v>0</v>
      </c>
      <c r="P547" s="685">
        <v>0</v>
      </c>
      <c r="Q547" s="684">
        <v>0</v>
      </c>
      <c r="R547" s="652">
        <f>SUMIFS(OBE!$H:$H,OBE!$C:$C,'Standalone TB'!$B547,OBE!$B:$B,"A20")</f>
        <v>0</v>
      </c>
      <c r="S547" s="652">
        <f>SUMIFS('Elimination - PL'!I:I,'Elimination - PL'!A:A,"EA20",'Elimination - PL'!D:D,'Standalone TB'!B547)</f>
        <v>0</v>
      </c>
      <c r="T547" s="652">
        <f t="shared" si="65"/>
        <v>0</v>
      </c>
      <c r="U547" s="652">
        <f t="shared" si="63"/>
        <v>0</v>
      </c>
      <c r="V547" s="652">
        <v>0</v>
      </c>
      <c r="W547" s="685">
        <v>0</v>
      </c>
      <c r="X547" s="689">
        <f t="shared" si="66"/>
        <v>19264394</v>
      </c>
      <c r="Y547" s="689">
        <f t="shared" si="67"/>
        <v>32441950</v>
      </c>
      <c r="Z547" s="666" t="s">
        <v>787</v>
      </c>
      <c r="AA547" s="666" t="s">
        <v>152</v>
      </c>
      <c r="AB547" s="666" t="s">
        <v>2644</v>
      </c>
      <c r="AD547" s="665"/>
    </row>
    <row r="548" spans="2:30" hidden="1" x14ac:dyDescent="0.2">
      <c r="B548" s="673" t="s">
        <v>2678</v>
      </c>
      <c r="C548" s="666" t="s">
        <v>2679</v>
      </c>
      <c r="D548" s="666" t="s">
        <v>670</v>
      </c>
      <c r="E548" s="684">
        <v>0</v>
      </c>
      <c r="F548" s="652">
        <f>SUMIFS(OBE!$H:$H,OBE!$C:$C,'Standalone TB'!$B548,OBE!$B:$B,"A21")</f>
        <v>0</v>
      </c>
      <c r="G548" s="652">
        <f>SUMIFS('Elimination - PL'!I:I,'Elimination - PL'!A:A,"EA21",'Elimination - PL'!D:D,'Standalone TB'!B548)</f>
        <v>0</v>
      </c>
      <c r="H548" s="652">
        <f t="shared" si="61"/>
        <v>0</v>
      </c>
      <c r="I548" s="652">
        <v>0</v>
      </c>
      <c r="J548" s="684">
        <v>277580.02</v>
      </c>
      <c r="K548" s="652">
        <f>SUMIFS(OBE!$H:$H,OBE!$C:$C,'Standalone TB'!$B548,OBE!$B:$B,"A22")</f>
        <v>0</v>
      </c>
      <c r="L548" s="652">
        <f>SUMIFS('Elimination - PL'!I:I,'Elimination - PL'!A:A,"EA22",'Elimination - PL'!D:D,'Standalone TB'!B548)</f>
        <v>0</v>
      </c>
      <c r="M548" s="652">
        <f t="shared" si="64"/>
        <v>277580.02</v>
      </c>
      <c r="N548" s="652">
        <f t="shared" si="62"/>
        <v>6379780.2978505148</v>
      </c>
      <c r="O548" s="652">
        <v>76349.64</v>
      </c>
      <c r="P548" s="685">
        <v>1720813.9961039999</v>
      </c>
      <c r="Q548" s="684">
        <v>0</v>
      </c>
      <c r="R548" s="652">
        <f>SUMIFS(OBE!$H:$H,OBE!$C:$C,'Standalone TB'!$B548,OBE!$B:$B,"A20")</f>
        <v>0</v>
      </c>
      <c r="S548" s="652">
        <f>SUMIFS('Elimination - PL'!I:I,'Elimination - PL'!A:A,"EA20",'Elimination - PL'!D:D,'Standalone TB'!B548)</f>
        <v>0</v>
      </c>
      <c r="T548" s="652">
        <f t="shared" si="65"/>
        <v>0</v>
      </c>
      <c r="U548" s="652">
        <f t="shared" si="63"/>
        <v>0</v>
      </c>
      <c r="V548" s="652">
        <v>0</v>
      </c>
      <c r="W548" s="685">
        <v>0</v>
      </c>
      <c r="X548" s="689">
        <f t="shared" si="66"/>
        <v>6379780.2978505148</v>
      </c>
      <c r="Y548" s="689">
        <f t="shared" si="67"/>
        <v>1720813.9961039999</v>
      </c>
      <c r="Z548" s="666" t="s">
        <v>787</v>
      </c>
      <c r="AA548" s="666" t="s">
        <v>152</v>
      </c>
      <c r="AB548" s="666" t="s">
        <v>2644</v>
      </c>
      <c r="AD548" s="665"/>
    </row>
    <row r="549" spans="2:30" hidden="1" x14ac:dyDescent="0.2">
      <c r="B549" s="673" t="s">
        <v>2680</v>
      </c>
      <c r="C549" s="666" t="s">
        <v>2681</v>
      </c>
      <c r="D549" s="666" t="s">
        <v>670</v>
      </c>
      <c r="E549" s="684">
        <v>0</v>
      </c>
      <c r="F549" s="652">
        <f>SUMIFS(OBE!$H:$H,OBE!$C:$C,'Standalone TB'!$B549,OBE!$B:$B,"A21")</f>
        <v>0</v>
      </c>
      <c r="G549" s="652">
        <f>SUMIFS('Elimination - PL'!I:I,'Elimination - PL'!A:A,"EA21",'Elimination - PL'!D:D,'Standalone TB'!B549)</f>
        <v>0</v>
      </c>
      <c r="H549" s="652">
        <f t="shared" si="61"/>
        <v>0</v>
      </c>
      <c r="I549" s="652">
        <v>-3000000</v>
      </c>
      <c r="J549" s="684">
        <v>0</v>
      </c>
      <c r="K549" s="652">
        <f>SUMIFS(OBE!$H:$H,OBE!$C:$C,'Standalone TB'!$B549,OBE!$B:$B,"A22")</f>
        <v>0</v>
      </c>
      <c r="L549" s="652">
        <f>SUMIFS('Elimination - PL'!I:I,'Elimination - PL'!A:A,"EA22",'Elimination - PL'!D:D,'Standalone TB'!B549)</f>
        <v>0</v>
      </c>
      <c r="M549" s="652">
        <f t="shared" si="64"/>
        <v>0</v>
      </c>
      <c r="N549" s="652">
        <f t="shared" si="62"/>
        <v>0</v>
      </c>
      <c r="O549" s="652">
        <v>-30516.38</v>
      </c>
      <c r="P549" s="685">
        <v>-687796.48226800002</v>
      </c>
      <c r="Q549" s="684">
        <v>0</v>
      </c>
      <c r="R549" s="652">
        <f>SUMIFS(OBE!$H:$H,OBE!$C:$C,'Standalone TB'!$B549,OBE!$B:$B,"A20")</f>
        <v>0</v>
      </c>
      <c r="S549" s="652">
        <f>SUMIFS('Elimination - PL'!I:I,'Elimination - PL'!A:A,"EA20",'Elimination - PL'!D:D,'Standalone TB'!B549)</f>
        <v>0</v>
      </c>
      <c r="T549" s="652">
        <f t="shared" si="65"/>
        <v>0</v>
      </c>
      <c r="U549" s="652">
        <f t="shared" si="63"/>
        <v>0</v>
      </c>
      <c r="V549" s="652">
        <v>0</v>
      </c>
      <c r="W549" s="685">
        <v>0</v>
      </c>
      <c r="X549" s="689">
        <f t="shared" si="66"/>
        <v>0</v>
      </c>
      <c r="Y549" s="689">
        <f t="shared" si="67"/>
        <v>-3687796.482268</v>
      </c>
      <c r="Z549" s="666" t="s">
        <v>787</v>
      </c>
      <c r="AA549" s="666" t="s">
        <v>152</v>
      </c>
      <c r="AB549" s="666" t="s">
        <v>2644</v>
      </c>
      <c r="AD549" s="665"/>
    </row>
    <row r="550" spans="2:30" hidden="1" x14ac:dyDescent="0.2">
      <c r="B550" s="673" t="s">
        <v>2682</v>
      </c>
      <c r="C550" s="666" t="s">
        <v>2683</v>
      </c>
      <c r="D550" s="666" t="s">
        <v>670</v>
      </c>
      <c r="E550" s="684">
        <v>0</v>
      </c>
      <c r="F550" s="652">
        <f>SUMIFS(OBE!$H:$H,OBE!$C:$C,'Standalone TB'!$B550,OBE!$B:$B,"A21")</f>
        <v>0</v>
      </c>
      <c r="G550" s="652">
        <f>SUMIFS('Elimination - PL'!I:I,'Elimination - PL'!A:A,"EA21",'Elimination - PL'!D:D,'Standalone TB'!B550)</f>
        <v>0</v>
      </c>
      <c r="H550" s="652">
        <f t="shared" si="61"/>
        <v>0</v>
      </c>
      <c r="I550" s="652">
        <v>0</v>
      </c>
      <c r="J550" s="684">
        <v>0</v>
      </c>
      <c r="K550" s="652">
        <f>SUMIFS(OBE!$H:$H,OBE!$C:$C,'Standalone TB'!$B550,OBE!$B:$B,"A22")</f>
        <v>0</v>
      </c>
      <c r="L550" s="652">
        <f>SUMIFS('Elimination - PL'!I:I,'Elimination - PL'!A:A,"EA22",'Elimination - PL'!D:D,'Standalone TB'!B550)</f>
        <v>0</v>
      </c>
      <c r="M550" s="652">
        <f t="shared" si="64"/>
        <v>0</v>
      </c>
      <c r="N550" s="652">
        <f t="shared" si="62"/>
        <v>0</v>
      </c>
      <c r="O550" s="652">
        <v>0</v>
      </c>
      <c r="P550" s="685">
        <v>0</v>
      </c>
      <c r="Q550" s="684">
        <v>0</v>
      </c>
      <c r="R550" s="652">
        <f>SUMIFS(OBE!$H:$H,OBE!$C:$C,'Standalone TB'!$B550,OBE!$B:$B,"A20")</f>
        <v>0</v>
      </c>
      <c r="S550" s="652">
        <f>SUMIFS('Elimination - PL'!I:I,'Elimination - PL'!A:A,"EA20",'Elimination - PL'!D:D,'Standalone TB'!B550)</f>
        <v>0</v>
      </c>
      <c r="T550" s="652">
        <f t="shared" si="65"/>
        <v>0</v>
      </c>
      <c r="U550" s="652">
        <f t="shared" si="63"/>
        <v>0</v>
      </c>
      <c r="V550" s="652">
        <v>0</v>
      </c>
      <c r="W550" s="685">
        <v>0</v>
      </c>
      <c r="X550" s="689">
        <f t="shared" si="66"/>
        <v>0</v>
      </c>
      <c r="Y550" s="689">
        <f t="shared" si="67"/>
        <v>0</v>
      </c>
      <c r="Z550" s="666" t="s">
        <v>787</v>
      </c>
      <c r="AA550" s="666" t="s">
        <v>152</v>
      </c>
      <c r="AB550" s="666" t="s">
        <v>2644</v>
      </c>
      <c r="AD550" s="665"/>
    </row>
    <row r="551" spans="2:30" hidden="1" x14ac:dyDescent="0.2">
      <c r="B551" s="673" t="s">
        <v>2684</v>
      </c>
      <c r="C551" s="666" t="s">
        <v>2685</v>
      </c>
      <c r="D551" s="666" t="s">
        <v>670</v>
      </c>
      <c r="E551" s="684">
        <v>-1552341</v>
      </c>
      <c r="F551" s="652">
        <f>SUMIFS(OBE!$H:$H,OBE!$C:$C,'Standalone TB'!$B551,OBE!$B:$B,"A21")</f>
        <v>0</v>
      </c>
      <c r="G551" s="652">
        <f>SUMIFS('Elimination - PL'!I:I,'Elimination - PL'!A:A,"EA21",'Elimination - PL'!D:D,'Standalone TB'!B551)</f>
        <v>0</v>
      </c>
      <c r="H551" s="652">
        <f t="shared" ref="H551:H614" si="71">SUM(E551:G551)</f>
        <v>-1552341</v>
      </c>
      <c r="I551" s="652">
        <v>-2084678</v>
      </c>
      <c r="J551" s="684">
        <v>0</v>
      </c>
      <c r="K551" s="652">
        <f>SUMIFS(OBE!$H:$H,OBE!$C:$C,'Standalone TB'!$B551,OBE!$B:$B,"A22")</f>
        <v>0</v>
      </c>
      <c r="L551" s="652">
        <f>SUMIFS('Elimination - PL'!I:I,'Elimination - PL'!A:A,"EA22",'Elimination - PL'!D:D,'Standalone TB'!B551)</f>
        <v>0</v>
      </c>
      <c r="M551" s="652">
        <f t="shared" si="64"/>
        <v>0</v>
      </c>
      <c r="N551" s="652">
        <f t="shared" si="62"/>
        <v>0</v>
      </c>
      <c r="O551" s="652">
        <v>0</v>
      </c>
      <c r="P551" s="685">
        <v>0</v>
      </c>
      <c r="Q551" s="684">
        <v>0</v>
      </c>
      <c r="R551" s="652">
        <f>SUMIFS(OBE!$H:$H,OBE!$C:$C,'Standalone TB'!$B551,OBE!$B:$B,"A20")</f>
        <v>0</v>
      </c>
      <c r="S551" s="652">
        <f>SUMIFS('Elimination - PL'!I:I,'Elimination - PL'!A:A,"EA20",'Elimination - PL'!D:D,'Standalone TB'!B551)</f>
        <v>0</v>
      </c>
      <c r="T551" s="652">
        <f t="shared" si="65"/>
        <v>0</v>
      </c>
      <c r="U551" s="652">
        <f t="shared" si="63"/>
        <v>0</v>
      </c>
      <c r="V551" s="652">
        <v>0</v>
      </c>
      <c r="W551" s="685">
        <v>0</v>
      </c>
      <c r="X551" s="689">
        <f t="shared" si="66"/>
        <v>-1552341</v>
      </c>
      <c r="Y551" s="689">
        <f t="shared" si="67"/>
        <v>-2084678</v>
      </c>
      <c r="Z551" s="666" t="s">
        <v>787</v>
      </c>
      <c r="AA551" s="666" t="s">
        <v>152</v>
      </c>
      <c r="AB551" s="666" t="s">
        <v>2644</v>
      </c>
      <c r="AD551" s="665"/>
    </row>
    <row r="552" spans="2:30" hidden="1" x14ac:dyDescent="0.2">
      <c r="B552" s="673" t="s">
        <v>2686</v>
      </c>
      <c r="C552" s="666" t="s">
        <v>2687</v>
      </c>
      <c r="D552" s="666" t="s">
        <v>670</v>
      </c>
      <c r="E552" s="684">
        <v>-7200</v>
      </c>
      <c r="F552" s="652">
        <f>SUMIFS(OBE!$H:$H,OBE!$C:$C,'Standalone TB'!$B552,OBE!$B:$B,"A21")</f>
        <v>0</v>
      </c>
      <c r="G552" s="652">
        <f>SUMIFS('Elimination - PL'!I:I,'Elimination - PL'!A:A,"EA21",'Elimination - PL'!D:D,'Standalone TB'!B552)</f>
        <v>0</v>
      </c>
      <c r="H552" s="652">
        <f t="shared" si="71"/>
        <v>-7200</v>
      </c>
      <c r="I552" s="652">
        <v>419200</v>
      </c>
      <c r="J552" s="684">
        <v>0</v>
      </c>
      <c r="K552" s="652">
        <f>SUMIFS(OBE!$H:$H,OBE!$C:$C,'Standalone TB'!$B552,OBE!$B:$B,"A22")</f>
        <v>0</v>
      </c>
      <c r="L552" s="652">
        <f>SUMIFS('Elimination - PL'!I:I,'Elimination - PL'!A:A,"EA22",'Elimination - PL'!D:D,'Standalone TB'!B552)</f>
        <v>0</v>
      </c>
      <c r="M552" s="652">
        <f t="shared" si="64"/>
        <v>0</v>
      </c>
      <c r="N552" s="652">
        <f t="shared" si="62"/>
        <v>0</v>
      </c>
      <c r="O552" s="652">
        <v>0</v>
      </c>
      <c r="P552" s="685">
        <v>0</v>
      </c>
      <c r="Q552" s="684">
        <v>0</v>
      </c>
      <c r="R552" s="652">
        <f>SUMIFS(OBE!$H:$H,OBE!$C:$C,'Standalone TB'!$B552,OBE!$B:$B,"A20")</f>
        <v>0</v>
      </c>
      <c r="S552" s="652">
        <f>SUMIFS('Elimination - PL'!I:I,'Elimination - PL'!A:A,"EA20",'Elimination - PL'!D:D,'Standalone TB'!B552)</f>
        <v>0</v>
      </c>
      <c r="T552" s="652">
        <f t="shared" si="65"/>
        <v>0</v>
      </c>
      <c r="U552" s="652">
        <f t="shared" si="63"/>
        <v>0</v>
      </c>
      <c r="V552" s="652">
        <v>0</v>
      </c>
      <c r="W552" s="685">
        <v>0</v>
      </c>
      <c r="X552" s="689">
        <f t="shared" si="66"/>
        <v>-7200</v>
      </c>
      <c r="Y552" s="689">
        <f t="shared" si="67"/>
        <v>419200</v>
      </c>
      <c r="Z552" s="666" t="s">
        <v>787</v>
      </c>
      <c r="AA552" s="666" t="s">
        <v>152</v>
      </c>
      <c r="AB552" s="666" t="s">
        <v>2644</v>
      </c>
      <c r="AD552" s="665"/>
    </row>
    <row r="553" spans="2:30" hidden="1" x14ac:dyDescent="0.2">
      <c r="B553" s="673" t="s">
        <v>1637</v>
      </c>
      <c r="C553" s="666" t="s">
        <v>2688</v>
      </c>
      <c r="D553" s="666" t="s">
        <v>670</v>
      </c>
      <c r="E553" s="684">
        <v>51565915</v>
      </c>
      <c r="F553" s="652">
        <f>SUMIFS(OBE!$H:$H,OBE!$C:$C,'Standalone TB'!$B553,OBE!$B:$B,"A21")</f>
        <v>39190</v>
      </c>
      <c r="G553" s="652">
        <f>SUMIFS('Elimination - PL'!I:I,'Elimination - PL'!A:A,"EA21",'Elimination - PL'!D:D,'Standalone TB'!B553)</f>
        <v>0</v>
      </c>
      <c r="H553" s="652">
        <f t="shared" si="71"/>
        <v>51605105</v>
      </c>
      <c r="I553" s="652">
        <v>56261887</v>
      </c>
      <c r="J553" s="684">
        <v>0</v>
      </c>
      <c r="K553" s="652">
        <f>SUMIFS(OBE!$H:$H,OBE!$C:$C,'Standalone TB'!$B553,OBE!$B:$B,"A22")</f>
        <v>0</v>
      </c>
      <c r="L553" s="652">
        <f>SUMIFS('Elimination - PL'!I:I,'Elimination - PL'!A:A,"EA22",'Elimination - PL'!D:D,'Standalone TB'!B553)</f>
        <v>0</v>
      </c>
      <c r="M553" s="652">
        <f t="shared" si="64"/>
        <v>0</v>
      </c>
      <c r="N553" s="652">
        <f t="shared" si="62"/>
        <v>0</v>
      </c>
      <c r="O553" s="652">
        <v>0</v>
      </c>
      <c r="P553" s="685">
        <v>0</v>
      </c>
      <c r="Q553" s="684">
        <v>0</v>
      </c>
      <c r="R553" s="652">
        <f>SUMIFS(OBE!$H:$H,OBE!$C:$C,'Standalone TB'!$B553,OBE!$B:$B,"A20")</f>
        <v>0</v>
      </c>
      <c r="S553" s="652">
        <f>SUMIFS('Elimination - PL'!I:I,'Elimination - PL'!A:A,"EA20",'Elimination - PL'!D:D,'Standalone TB'!B553)</f>
        <v>0</v>
      </c>
      <c r="T553" s="652">
        <f t="shared" si="65"/>
        <v>0</v>
      </c>
      <c r="U553" s="652">
        <f t="shared" si="63"/>
        <v>0</v>
      </c>
      <c r="V553" s="652">
        <v>0</v>
      </c>
      <c r="W553" s="685">
        <v>0</v>
      </c>
      <c r="X553" s="689">
        <f t="shared" si="66"/>
        <v>51605105</v>
      </c>
      <c r="Y553" s="689">
        <f t="shared" si="67"/>
        <v>56261887</v>
      </c>
      <c r="Z553" s="666" t="s">
        <v>787</v>
      </c>
      <c r="AA553" s="666" t="s">
        <v>152</v>
      </c>
      <c r="AB553" s="666" t="s">
        <v>2644</v>
      </c>
      <c r="AD553" s="665"/>
    </row>
    <row r="554" spans="2:30" hidden="1" x14ac:dyDescent="0.2">
      <c r="B554" s="673" t="s">
        <v>2689</v>
      </c>
      <c r="C554" s="666" t="s">
        <v>2690</v>
      </c>
      <c r="D554" s="666" t="s">
        <v>670</v>
      </c>
      <c r="E554" s="684">
        <v>540075</v>
      </c>
      <c r="F554" s="652">
        <f>SUMIFS(OBE!$H:$H,OBE!$C:$C,'Standalone TB'!$B554,OBE!$B:$B,"A21")</f>
        <v>0</v>
      </c>
      <c r="G554" s="652">
        <f>SUMIFS('Elimination - PL'!I:I,'Elimination - PL'!A:A,"EA21",'Elimination - PL'!D:D,'Standalone TB'!B554)</f>
        <v>0</v>
      </c>
      <c r="H554" s="652">
        <f t="shared" si="71"/>
        <v>540075</v>
      </c>
      <c r="I554" s="652">
        <v>103010</v>
      </c>
      <c r="J554" s="684">
        <v>0</v>
      </c>
      <c r="K554" s="652">
        <f>SUMIFS(OBE!$H:$H,OBE!$C:$C,'Standalone TB'!$B554,OBE!$B:$B,"A22")</f>
        <v>0</v>
      </c>
      <c r="L554" s="652">
        <f>SUMIFS('Elimination - PL'!I:I,'Elimination - PL'!A:A,"EA22",'Elimination - PL'!D:D,'Standalone TB'!B554)</f>
        <v>0</v>
      </c>
      <c r="M554" s="652">
        <f t="shared" si="64"/>
        <v>0</v>
      </c>
      <c r="N554" s="652">
        <f t="shared" si="62"/>
        <v>0</v>
      </c>
      <c r="O554" s="652">
        <v>0</v>
      </c>
      <c r="P554" s="685">
        <v>0</v>
      </c>
      <c r="Q554" s="684">
        <v>0</v>
      </c>
      <c r="R554" s="652">
        <f>SUMIFS(OBE!$H:$H,OBE!$C:$C,'Standalone TB'!$B554,OBE!$B:$B,"A20")</f>
        <v>0</v>
      </c>
      <c r="S554" s="652">
        <f>SUMIFS('Elimination - PL'!I:I,'Elimination - PL'!A:A,"EA20",'Elimination - PL'!D:D,'Standalone TB'!B554)</f>
        <v>0</v>
      </c>
      <c r="T554" s="652">
        <f t="shared" si="65"/>
        <v>0</v>
      </c>
      <c r="U554" s="652">
        <f t="shared" si="63"/>
        <v>0</v>
      </c>
      <c r="V554" s="652">
        <v>0</v>
      </c>
      <c r="W554" s="685">
        <v>0</v>
      </c>
      <c r="X554" s="689">
        <f t="shared" si="66"/>
        <v>540075</v>
      </c>
      <c r="Y554" s="689">
        <f t="shared" si="67"/>
        <v>103010</v>
      </c>
      <c r="Z554" s="666" t="s">
        <v>787</v>
      </c>
      <c r="AA554" s="666" t="s">
        <v>152</v>
      </c>
      <c r="AB554" s="666" t="s">
        <v>2644</v>
      </c>
      <c r="AD554" s="665"/>
    </row>
    <row r="555" spans="2:30" hidden="1" x14ac:dyDescent="0.2">
      <c r="B555" s="673" t="s">
        <v>2691</v>
      </c>
      <c r="C555" s="666" t="s">
        <v>2692</v>
      </c>
      <c r="D555" s="666" t="s">
        <v>670</v>
      </c>
      <c r="E555" s="684">
        <v>16231800</v>
      </c>
      <c r="F555" s="652">
        <f>SUMIFS(OBE!$H:$H,OBE!$C:$C,'Standalone TB'!$B555,OBE!$B:$B,"A21")</f>
        <v>0</v>
      </c>
      <c r="G555" s="652">
        <f>SUMIFS('Elimination - PL'!I:I,'Elimination - PL'!A:A,"EA21",'Elimination - PL'!D:D,'Standalone TB'!B555)</f>
        <v>0</v>
      </c>
      <c r="H555" s="652">
        <f t="shared" si="71"/>
        <v>16231800</v>
      </c>
      <c r="I555" s="652">
        <v>25264268</v>
      </c>
      <c r="J555" s="684">
        <v>0</v>
      </c>
      <c r="K555" s="652">
        <f>SUMIFS(OBE!$H:$H,OBE!$C:$C,'Standalone TB'!$B555,OBE!$B:$B,"A22")</f>
        <v>0</v>
      </c>
      <c r="L555" s="652">
        <f>SUMIFS('Elimination - PL'!I:I,'Elimination - PL'!A:A,"EA22",'Elimination - PL'!D:D,'Standalone TB'!B555)</f>
        <v>0</v>
      </c>
      <c r="M555" s="652">
        <f t="shared" si="64"/>
        <v>0</v>
      </c>
      <c r="N555" s="652">
        <f t="shared" si="62"/>
        <v>0</v>
      </c>
      <c r="O555" s="652">
        <v>0</v>
      </c>
      <c r="P555" s="685">
        <v>0</v>
      </c>
      <c r="Q555" s="684">
        <v>0</v>
      </c>
      <c r="R555" s="652">
        <f>SUMIFS(OBE!$H:$H,OBE!$C:$C,'Standalone TB'!$B555,OBE!$B:$B,"A20")</f>
        <v>0</v>
      </c>
      <c r="S555" s="652">
        <f>SUMIFS('Elimination - PL'!I:I,'Elimination - PL'!A:A,"EA20",'Elimination - PL'!D:D,'Standalone TB'!B555)</f>
        <v>0</v>
      </c>
      <c r="T555" s="652">
        <f t="shared" si="65"/>
        <v>0</v>
      </c>
      <c r="U555" s="652">
        <f t="shared" si="63"/>
        <v>0</v>
      </c>
      <c r="V555" s="652">
        <v>0</v>
      </c>
      <c r="W555" s="685">
        <v>0</v>
      </c>
      <c r="X555" s="689">
        <f t="shared" si="66"/>
        <v>16231800</v>
      </c>
      <c r="Y555" s="689">
        <f t="shared" si="67"/>
        <v>25264268</v>
      </c>
      <c r="Z555" s="666" t="s">
        <v>787</v>
      </c>
      <c r="AA555" s="666" t="s">
        <v>152</v>
      </c>
      <c r="AB555" s="666" t="s">
        <v>2644</v>
      </c>
      <c r="AD555" s="665"/>
    </row>
    <row r="556" spans="2:30" hidden="1" x14ac:dyDescent="0.2">
      <c r="B556" s="673" t="s">
        <v>2693</v>
      </c>
      <c r="C556" s="666" t="s">
        <v>2694</v>
      </c>
      <c r="D556" s="666" t="s">
        <v>670</v>
      </c>
      <c r="E556" s="684">
        <v>0</v>
      </c>
      <c r="F556" s="652">
        <f>SUMIFS(OBE!$H:$H,OBE!$C:$C,'Standalone TB'!$B556,OBE!$B:$B,"A21")</f>
        <v>0</v>
      </c>
      <c r="G556" s="652">
        <f>SUMIFS('Elimination - PL'!I:I,'Elimination - PL'!A:A,"EA21",'Elimination - PL'!D:D,'Standalone TB'!B556)</f>
        <v>0</v>
      </c>
      <c r="H556" s="652">
        <f t="shared" si="71"/>
        <v>0</v>
      </c>
      <c r="I556" s="652">
        <v>0</v>
      </c>
      <c r="J556" s="684">
        <v>0</v>
      </c>
      <c r="K556" s="652">
        <f>SUMIFS(OBE!$H:$H,OBE!$C:$C,'Standalone TB'!$B556,OBE!$B:$B,"A22")</f>
        <v>0</v>
      </c>
      <c r="L556" s="652">
        <f>SUMIFS('Elimination - PL'!I:I,'Elimination - PL'!A:A,"EA22",'Elimination - PL'!D:D,'Standalone TB'!B556)</f>
        <v>0</v>
      </c>
      <c r="M556" s="652">
        <f t="shared" si="64"/>
        <v>0</v>
      </c>
      <c r="N556" s="652">
        <f t="shared" si="62"/>
        <v>0</v>
      </c>
      <c r="O556" s="652">
        <v>0</v>
      </c>
      <c r="P556" s="685">
        <v>0</v>
      </c>
      <c r="Q556" s="684">
        <v>0</v>
      </c>
      <c r="R556" s="652">
        <f>SUMIFS(OBE!$H:$H,OBE!$C:$C,'Standalone TB'!$B556,OBE!$B:$B,"A20")</f>
        <v>0</v>
      </c>
      <c r="S556" s="652">
        <f>SUMIFS('Elimination - PL'!I:I,'Elimination - PL'!A:A,"EA20",'Elimination - PL'!D:D,'Standalone TB'!B556)</f>
        <v>0</v>
      </c>
      <c r="T556" s="652">
        <f t="shared" si="65"/>
        <v>0</v>
      </c>
      <c r="U556" s="652">
        <f t="shared" si="63"/>
        <v>0</v>
      </c>
      <c r="V556" s="652">
        <v>0</v>
      </c>
      <c r="W556" s="685">
        <v>0</v>
      </c>
      <c r="X556" s="689">
        <f t="shared" si="66"/>
        <v>0</v>
      </c>
      <c r="Y556" s="689">
        <f t="shared" si="67"/>
        <v>0</v>
      </c>
      <c r="Z556" s="666" t="s">
        <v>787</v>
      </c>
      <c r="AA556" s="666" t="s">
        <v>152</v>
      </c>
      <c r="AB556" s="666" t="s">
        <v>2644</v>
      </c>
      <c r="AD556" s="665"/>
    </row>
    <row r="557" spans="2:30" hidden="1" x14ac:dyDescent="0.2">
      <c r="B557" s="673" t="s">
        <v>2695</v>
      </c>
      <c r="C557" s="666" t="s">
        <v>2696</v>
      </c>
      <c r="D557" s="666" t="s">
        <v>670</v>
      </c>
      <c r="E557" s="684">
        <v>0</v>
      </c>
      <c r="F557" s="652">
        <f>SUMIFS(OBE!$H:$H,OBE!$C:$C,'Standalone TB'!$B557,OBE!$B:$B,"A21")</f>
        <v>0</v>
      </c>
      <c r="G557" s="652">
        <f>SUMIFS('Elimination - PL'!I:I,'Elimination - PL'!A:A,"EA21",'Elimination - PL'!D:D,'Standalone TB'!B557)</f>
        <v>0</v>
      </c>
      <c r="H557" s="652">
        <f t="shared" si="71"/>
        <v>0</v>
      </c>
      <c r="I557" s="652">
        <v>0</v>
      </c>
      <c r="J557" s="684">
        <v>0</v>
      </c>
      <c r="K557" s="652">
        <f>SUMIFS(OBE!$H:$H,OBE!$C:$C,'Standalone TB'!$B557,OBE!$B:$B,"A22")</f>
        <v>0</v>
      </c>
      <c r="L557" s="652">
        <f>SUMIFS('Elimination - PL'!I:I,'Elimination - PL'!A:A,"EA22",'Elimination - PL'!D:D,'Standalone TB'!B557)</f>
        <v>0</v>
      </c>
      <c r="M557" s="652">
        <f t="shared" si="64"/>
        <v>0</v>
      </c>
      <c r="N557" s="652">
        <f t="shared" si="62"/>
        <v>0</v>
      </c>
      <c r="O557" s="652">
        <v>0</v>
      </c>
      <c r="P557" s="685">
        <v>0</v>
      </c>
      <c r="Q557" s="684">
        <v>0</v>
      </c>
      <c r="R557" s="652">
        <f>SUMIFS(OBE!$H:$H,OBE!$C:$C,'Standalone TB'!$B557,OBE!$B:$B,"A20")</f>
        <v>0</v>
      </c>
      <c r="S557" s="652">
        <f>SUMIFS('Elimination - PL'!I:I,'Elimination - PL'!A:A,"EA20",'Elimination - PL'!D:D,'Standalone TB'!B557)</f>
        <v>0</v>
      </c>
      <c r="T557" s="652">
        <f t="shared" si="65"/>
        <v>0</v>
      </c>
      <c r="U557" s="652">
        <f t="shared" si="63"/>
        <v>0</v>
      </c>
      <c r="V557" s="652">
        <v>0</v>
      </c>
      <c r="W557" s="685">
        <v>0</v>
      </c>
      <c r="X557" s="689">
        <f t="shared" si="66"/>
        <v>0</v>
      </c>
      <c r="Y557" s="689">
        <f t="shared" si="67"/>
        <v>0</v>
      </c>
      <c r="Z557" s="666" t="s">
        <v>787</v>
      </c>
      <c r="AA557" s="666" t="s">
        <v>152</v>
      </c>
      <c r="AB557" s="666" t="s">
        <v>2644</v>
      </c>
      <c r="AD557" s="665"/>
    </row>
    <row r="558" spans="2:30" hidden="1" x14ac:dyDescent="0.2">
      <c r="B558" s="673" t="s">
        <v>2697</v>
      </c>
      <c r="C558" s="666" t="s">
        <v>2698</v>
      </c>
      <c r="D558" s="666" t="s">
        <v>670</v>
      </c>
      <c r="E558" s="684">
        <v>0</v>
      </c>
      <c r="F558" s="652">
        <f>SUMIFS(OBE!$H:$H,OBE!$C:$C,'Standalone TB'!$B558,OBE!$B:$B,"A21")</f>
        <v>0</v>
      </c>
      <c r="G558" s="652">
        <f>SUMIFS('Elimination - PL'!I:I,'Elimination - PL'!A:A,"EA21",'Elimination - PL'!D:D,'Standalone TB'!B558)</f>
        <v>0</v>
      </c>
      <c r="H558" s="652">
        <f t="shared" si="71"/>
        <v>0</v>
      </c>
      <c r="I558" s="652">
        <v>0</v>
      </c>
      <c r="J558" s="684">
        <v>0</v>
      </c>
      <c r="K558" s="652">
        <f>SUMIFS(OBE!$H:$H,OBE!$C:$C,'Standalone TB'!$B558,OBE!$B:$B,"A22")</f>
        <v>0</v>
      </c>
      <c r="L558" s="652">
        <f>SUMIFS('Elimination - PL'!I:I,'Elimination - PL'!A:A,"EA22",'Elimination - PL'!D:D,'Standalone TB'!B558)</f>
        <v>0</v>
      </c>
      <c r="M558" s="652">
        <f t="shared" si="64"/>
        <v>0</v>
      </c>
      <c r="N558" s="652">
        <f t="shared" si="62"/>
        <v>0</v>
      </c>
      <c r="O558" s="652">
        <v>0</v>
      </c>
      <c r="P558" s="685">
        <v>0</v>
      </c>
      <c r="Q558" s="684">
        <v>0</v>
      </c>
      <c r="R558" s="652">
        <f>SUMIFS(OBE!$H:$H,OBE!$C:$C,'Standalone TB'!$B558,OBE!$B:$B,"A20")</f>
        <v>0</v>
      </c>
      <c r="S558" s="652">
        <f>SUMIFS('Elimination - PL'!I:I,'Elimination - PL'!A:A,"EA20",'Elimination - PL'!D:D,'Standalone TB'!B558)</f>
        <v>0</v>
      </c>
      <c r="T558" s="652">
        <f t="shared" si="65"/>
        <v>0</v>
      </c>
      <c r="U558" s="652">
        <f t="shared" si="63"/>
        <v>0</v>
      </c>
      <c r="V558" s="652">
        <v>0</v>
      </c>
      <c r="W558" s="685">
        <v>0</v>
      </c>
      <c r="X558" s="689">
        <f t="shared" si="66"/>
        <v>0</v>
      </c>
      <c r="Y558" s="689">
        <f t="shared" si="67"/>
        <v>0</v>
      </c>
      <c r="Z558" s="666" t="s">
        <v>787</v>
      </c>
      <c r="AA558" s="666" t="s">
        <v>152</v>
      </c>
      <c r="AB558" s="666" t="s">
        <v>2644</v>
      </c>
      <c r="AD558" s="665"/>
    </row>
    <row r="559" spans="2:30" hidden="1" x14ac:dyDescent="0.2">
      <c r="B559" s="673" t="s">
        <v>2699</v>
      </c>
      <c r="C559" s="666" t="s">
        <v>2700</v>
      </c>
      <c r="D559" s="666" t="s">
        <v>670</v>
      </c>
      <c r="E559" s="684">
        <v>0</v>
      </c>
      <c r="F559" s="652">
        <f>SUMIFS(OBE!$H:$H,OBE!$C:$C,'Standalone TB'!$B559,OBE!$B:$B,"A21")</f>
        <v>0</v>
      </c>
      <c r="G559" s="652">
        <f>SUMIFS('Elimination - PL'!I:I,'Elimination - PL'!A:A,"EA21",'Elimination - PL'!D:D,'Standalone TB'!B559)</f>
        <v>0</v>
      </c>
      <c r="H559" s="652">
        <f t="shared" si="71"/>
        <v>0</v>
      </c>
      <c r="I559" s="652">
        <v>0</v>
      </c>
      <c r="J559" s="684">
        <v>0</v>
      </c>
      <c r="K559" s="652">
        <f>SUMIFS(OBE!$H:$H,OBE!$C:$C,'Standalone TB'!$B559,OBE!$B:$B,"A22")</f>
        <v>0</v>
      </c>
      <c r="L559" s="652">
        <f>SUMIFS('Elimination - PL'!I:I,'Elimination - PL'!A:A,"EA22",'Elimination - PL'!D:D,'Standalone TB'!B559)</f>
        <v>0</v>
      </c>
      <c r="M559" s="652">
        <f t="shared" si="64"/>
        <v>0</v>
      </c>
      <c r="N559" s="652">
        <f t="shared" si="62"/>
        <v>0</v>
      </c>
      <c r="O559" s="652">
        <v>0</v>
      </c>
      <c r="P559" s="685">
        <v>0</v>
      </c>
      <c r="Q559" s="684">
        <v>0</v>
      </c>
      <c r="R559" s="652">
        <f>SUMIFS(OBE!$H:$H,OBE!$C:$C,'Standalone TB'!$B559,OBE!$B:$B,"A20")</f>
        <v>0</v>
      </c>
      <c r="S559" s="652">
        <f>SUMIFS('Elimination - PL'!I:I,'Elimination - PL'!A:A,"EA20",'Elimination - PL'!D:D,'Standalone TB'!B559)</f>
        <v>0</v>
      </c>
      <c r="T559" s="652">
        <f t="shared" si="65"/>
        <v>0</v>
      </c>
      <c r="U559" s="652">
        <f t="shared" si="63"/>
        <v>0</v>
      </c>
      <c r="V559" s="652">
        <v>0</v>
      </c>
      <c r="W559" s="685">
        <v>0</v>
      </c>
      <c r="X559" s="689">
        <f t="shared" si="66"/>
        <v>0</v>
      </c>
      <c r="Y559" s="689">
        <f t="shared" si="67"/>
        <v>0</v>
      </c>
      <c r="Z559" s="666" t="s">
        <v>787</v>
      </c>
      <c r="AA559" s="666" t="s">
        <v>152</v>
      </c>
      <c r="AB559" s="666" t="s">
        <v>2644</v>
      </c>
      <c r="AD559" s="665"/>
    </row>
    <row r="560" spans="2:30" hidden="1" x14ac:dyDescent="0.2">
      <c r="B560" s="673" t="s">
        <v>2701</v>
      </c>
      <c r="C560" s="666" t="s">
        <v>2702</v>
      </c>
      <c r="D560" s="666" t="s">
        <v>670</v>
      </c>
      <c r="E560" s="684">
        <v>0</v>
      </c>
      <c r="F560" s="652">
        <f>SUMIFS(OBE!$H:$H,OBE!$C:$C,'Standalone TB'!$B560,OBE!$B:$B,"A21")</f>
        <v>0</v>
      </c>
      <c r="G560" s="652">
        <f>SUMIFS('Elimination - PL'!I:I,'Elimination - PL'!A:A,"EA21",'Elimination - PL'!D:D,'Standalone TB'!B560)</f>
        <v>0</v>
      </c>
      <c r="H560" s="652">
        <f t="shared" si="71"/>
        <v>0</v>
      </c>
      <c r="I560" s="652">
        <v>0</v>
      </c>
      <c r="J560" s="684">
        <v>39000</v>
      </c>
      <c r="K560" s="652">
        <f>SUMIFS(OBE!$H:$H,OBE!$C:$C,'Standalone TB'!$B560,OBE!$B:$B,"A22")</f>
        <v>0</v>
      </c>
      <c r="L560" s="652">
        <f>SUMIFS('Elimination - PL'!I:I,'Elimination - PL'!A:A,"EA22",'Elimination - PL'!D:D,'Standalone TB'!B560)</f>
        <v>0</v>
      </c>
      <c r="M560" s="652">
        <f t="shared" si="64"/>
        <v>39000</v>
      </c>
      <c r="N560" s="652">
        <f t="shared" si="62"/>
        <v>896359.29709987796</v>
      </c>
      <c r="O560" s="652">
        <v>0</v>
      </c>
      <c r="P560" s="685">
        <v>0</v>
      </c>
      <c r="Q560" s="684">
        <v>0</v>
      </c>
      <c r="R560" s="652">
        <f>SUMIFS(OBE!$H:$H,OBE!$C:$C,'Standalone TB'!$B560,OBE!$B:$B,"A20")</f>
        <v>0</v>
      </c>
      <c r="S560" s="652">
        <f>SUMIFS('Elimination - PL'!I:I,'Elimination - PL'!A:A,"EA20",'Elimination - PL'!D:D,'Standalone TB'!B560)</f>
        <v>0</v>
      </c>
      <c r="T560" s="652">
        <f t="shared" si="65"/>
        <v>0</v>
      </c>
      <c r="U560" s="652">
        <f t="shared" si="63"/>
        <v>0</v>
      </c>
      <c r="V560" s="652">
        <v>0</v>
      </c>
      <c r="W560" s="685">
        <v>0</v>
      </c>
      <c r="X560" s="689">
        <f t="shared" si="66"/>
        <v>896359.29709987796</v>
      </c>
      <c r="Y560" s="689">
        <f t="shared" si="67"/>
        <v>0</v>
      </c>
      <c r="Z560" s="666" t="s">
        <v>787</v>
      </c>
      <c r="AA560" s="666" t="s">
        <v>152</v>
      </c>
      <c r="AB560" s="666" t="s">
        <v>2644</v>
      </c>
      <c r="AD560" s="665"/>
    </row>
    <row r="561" spans="2:30" hidden="1" x14ac:dyDescent="0.2">
      <c r="B561" s="673" t="s">
        <v>2703</v>
      </c>
      <c r="C561" s="666" t="s">
        <v>2704</v>
      </c>
      <c r="D561" s="666" t="s">
        <v>670</v>
      </c>
      <c r="E561" s="684">
        <v>0</v>
      </c>
      <c r="F561" s="652">
        <f>SUMIFS(OBE!$H:$H,OBE!$C:$C,'Standalone TB'!$B561,OBE!$B:$B,"A21")</f>
        <v>0</v>
      </c>
      <c r="G561" s="652">
        <f>SUMIFS('Elimination - PL'!I:I,'Elimination - PL'!A:A,"EA21",'Elimination - PL'!D:D,'Standalone TB'!B561)</f>
        <v>0</v>
      </c>
      <c r="H561" s="652">
        <f t="shared" si="71"/>
        <v>0</v>
      </c>
      <c r="I561" s="652">
        <v>0</v>
      </c>
      <c r="J561" s="684">
        <v>0</v>
      </c>
      <c r="K561" s="652">
        <f>SUMIFS(OBE!$H:$H,OBE!$C:$C,'Standalone TB'!$B561,OBE!$B:$B,"A22")</f>
        <v>0</v>
      </c>
      <c r="L561" s="652">
        <f>SUMIFS('Elimination - PL'!I:I,'Elimination - PL'!A:A,"EA22",'Elimination - PL'!D:D,'Standalone TB'!B561)</f>
        <v>0</v>
      </c>
      <c r="M561" s="652">
        <f t="shared" si="64"/>
        <v>0</v>
      </c>
      <c r="N561" s="652">
        <f t="shared" si="62"/>
        <v>0</v>
      </c>
      <c r="O561" s="652">
        <v>0</v>
      </c>
      <c r="P561" s="685">
        <v>0</v>
      </c>
      <c r="Q561" s="684">
        <v>0</v>
      </c>
      <c r="R561" s="652">
        <f>SUMIFS(OBE!$H:$H,OBE!$C:$C,'Standalone TB'!$B561,OBE!$B:$B,"A20")</f>
        <v>0</v>
      </c>
      <c r="S561" s="652">
        <f>SUMIFS('Elimination - PL'!I:I,'Elimination - PL'!A:A,"EA20",'Elimination - PL'!D:D,'Standalone TB'!B561)</f>
        <v>0</v>
      </c>
      <c r="T561" s="652">
        <f t="shared" si="65"/>
        <v>0</v>
      </c>
      <c r="U561" s="652">
        <f t="shared" si="63"/>
        <v>0</v>
      </c>
      <c r="V561" s="652">
        <v>0</v>
      </c>
      <c r="W561" s="685">
        <v>0</v>
      </c>
      <c r="X561" s="689">
        <f t="shared" si="66"/>
        <v>0</v>
      </c>
      <c r="Y561" s="689">
        <f t="shared" si="67"/>
        <v>0</v>
      </c>
      <c r="Z561" s="666" t="s">
        <v>787</v>
      </c>
      <c r="AA561" s="666" t="s">
        <v>152</v>
      </c>
      <c r="AB561" s="666" t="s">
        <v>2644</v>
      </c>
      <c r="AD561" s="665"/>
    </row>
    <row r="562" spans="2:30" hidden="1" x14ac:dyDescent="0.2">
      <c r="B562" s="673" t="s">
        <v>2705</v>
      </c>
      <c r="C562" s="666" t="s">
        <v>2536</v>
      </c>
      <c r="D562" s="666" t="s">
        <v>670</v>
      </c>
      <c r="E562" s="684">
        <v>0</v>
      </c>
      <c r="F562" s="652">
        <f>SUMIFS(OBE!$H:$H,OBE!$C:$C,'Standalone TB'!$B562,OBE!$B:$B,"A21")</f>
        <v>0</v>
      </c>
      <c r="G562" s="652">
        <f>SUMIFS('Elimination - PL'!I:I,'Elimination - PL'!A:A,"EA21",'Elimination - PL'!D:D,'Standalone TB'!B562)</f>
        <v>0</v>
      </c>
      <c r="H562" s="652">
        <f t="shared" si="71"/>
        <v>0</v>
      </c>
      <c r="I562" s="652">
        <v>0</v>
      </c>
      <c r="J562" s="684">
        <v>0</v>
      </c>
      <c r="K562" s="652">
        <f>SUMIFS(OBE!$H:$H,OBE!$C:$C,'Standalone TB'!$B562,OBE!$B:$B,"A22")</f>
        <v>0</v>
      </c>
      <c r="L562" s="652">
        <f>SUMIFS('Elimination - PL'!I:I,'Elimination - PL'!A:A,"EA22",'Elimination - PL'!D:D,'Standalone TB'!B562)</f>
        <v>0</v>
      </c>
      <c r="M562" s="652">
        <f t="shared" si="64"/>
        <v>0</v>
      </c>
      <c r="N562" s="652">
        <f t="shared" ref="N562:N623" si="72">M562*$O$3</f>
        <v>0</v>
      </c>
      <c r="O562" s="652">
        <v>0</v>
      </c>
      <c r="P562" s="685">
        <v>0</v>
      </c>
      <c r="Q562" s="684">
        <v>0</v>
      </c>
      <c r="R562" s="652">
        <f>SUMIFS(OBE!$H:$H,OBE!$C:$C,'Standalone TB'!$B562,OBE!$B:$B,"A20")</f>
        <v>0</v>
      </c>
      <c r="S562" s="652">
        <f>SUMIFS('Elimination - PL'!I:I,'Elimination - PL'!A:A,"EA20",'Elimination - PL'!D:D,'Standalone TB'!B562)</f>
        <v>0</v>
      </c>
      <c r="T562" s="652">
        <f t="shared" si="65"/>
        <v>0</v>
      </c>
      <c r="U562" s="652">
        <f t="shared" ref="U562:U623" si="73">T562*$V$3</f>
        <v>0</v>
      </c>
      <c r="V562" s="652">
        <v>0</v>
      </c>
      <c r="W562" s="685">
        <v>0</v>
      </c>
      <c r="X562" s="689">
        <f t="shared" si="66"/>
        <v>0</v>
      </c>
      <c r="Y562" s="689">
        <f t="shared" si="67"/>
        <v>0</v>
      </c>
      <c r="Z562" s="666" t="s">
        <v>787</v>
      </c>
      <c r="AA562" s="666" t="s">
        <v>152</v>
      </c>
      <c r="AB562" s="666" t="s">
        <v>2644</v>
      </c>
      <c r="AD562" s="665"/>
    </row>
    <row r="563" spans="2:30" hidden="1" x14ac:dyDescent="0.2">
      <c r="B563" s="673" t="s">
        <v>2706</v>
      </c>
      <c r="C563" s="666" t="s">
        <v>2707</v>
      </c>
      <c r="D563" s="666" t="s">
        <v>670</v>
      </c>
      <c r="E563" s="684">
        <v>7733338.6400000006</v>
      </c>
      <c r="F563" s="652">
        <f>SUMIFS(OBE!$H:$H,OBE!$C:$C,'Standalone TB'!$B563,OBE!$B:$B,"A21")</f>
        <v>-1101739.3729726775</v>
      </c>
      <c r="G563" s="652">
        <f>SUMIFS('Elimination - PL'!I:I,'Elimination - PL'!A:A,"EA21",'Elimination - PL'!D:D,'Standalone TB'!B563)</f>
        <v>0</v>
      </c>
      <c r="H563" s="652">
        <f t="shared" si="71"/>
        <v>6631599.2670273231</v>
      </c>
      <c r="I563" s="652">
        <v>0</v>
      </c>
      <c r="J563" s="684">
        <v>139389.44</v>
      </c>
      <c r="K563" s="652">
        <f>SUMIFS(OBE!$H:$H,OBE!$C:$C,'Standalone TB'!$B563,OBE!$B:$B,"A22")</f>
        <v>0</v>
      </c>
      <c r="L563" s="652">
        <f>SUMIFS('Elimination - PL'!I:I,'Elimination - PL'!A:A,"EA22",'Elimination - PL'!D:D,'Standalone TB'!B563)</f>
        <v>0</v>
      </c>
      <c r="M563" s="652">
        <f t="shared" si="64"/>
        <v>139389.44</v>
      </c>
      <c r="N563" s="652">
        <f t="shared" si="72"/>
        <v>3203667.1913216822</v>
      </c>
      <c r="O563" s="652">
        <v>24133.52</v>
      </c>
      <c r="P563" s="685">
        <v>543935.75387200003</v>
      </c>
      <c r="Q563" s="684">
        <v>0</v>
      </c>
      <c r="R563" s="652">
        <f>SUMIFS(OBE!$H:$H,OBE!$C:$C,'Standalone TB'!$B563,OBE!$B:$B,"A20")</f>
        <v>0</v>
      </c>
      <c r="S563" s="652">
        <f>SUMIFS('Elimination - PL'!I:I,'Elimination - PL'!A:A,"EA20",'Elimination - PL'!D:D,'Standalone TB'!B563)</f>
        <v>0</v>
      </c>
      <c r="T563" s="652">
        <f t="shared" si="65"/>
        <v>0</v>
      </c>
      <c r="U563" s="652">
        <f t="shared" si="73"/>
        <v>0</v>
      </c>
      <c r="V563" s="652">
        <v>0</v>
      </c>
      <c r="W563" s="685">
        <v>0</v>
      </c>
      <c r="X563" s="689">
        <f t="shared" si="66"/>
        <v>9835266.4583490044</v>
      </c>
      <c r="Y563" s="689">
        <f t="shared" si="67"/>
        <v>543935.75387200003</v>
      </c>
      <c r="Z563" s="666" t="s">
        <v>787</v>
      </c>
      <c r="AA563" s="666" t="s">
        <v>152</v>
      </c>
      <c r="AB563" s="666" t="s">
        <v>2644</v>
      </c>
      <c r="AD563" s="665"/>
    </row>
    <row r="564" spans="2:30" hidden="1" x14ac:dyDescent="0.2">
      <c r="B564" s="673" t="s">
        <v>2708</v>
      </c>
      <c r="C564" s="666" t="s">
        <v>2709</v>
      </c>
      <c r="D564" s="666" t="s">
        <v>670</v>
      </c>
      <c r="E564" s="684">
        <v>0</v>
      </c>
      <c r="F564" s="652">
        <f>SUMIFS(OBE!$H:$H,OBE!$C:$C,'Standalone TB'!$B564,OBE!$B:$B,"A21")</f>
        <v>0</v>
      </c>
      <c r="G564" s="652">
        <f>SUMIFS('Elimination - PL'!I:I,'Elimination - PL'!A:A,"EA21",'Elimination - PL'!D:D,'Standalone TB'!B564)</f>
        <v>0</v>
      </c>
      <c r="H564" s="652">
        <f t="shared" si="71"/>
        <v>0</v>
      </c>
      <c r="I564" s="652">
        <v>100000</v>
      </c>
      <c r="J564" s="684">
        <v>0</v>
      </c>
      <c r="K564" s="652">
        <f>SUMIFS(OBE!$H:$H,OBE!$C:$C,'Standalone TB'!$B564,OBE!$B:$B,"A22")</f>
        <v>0</v>
      </c>
      <c r="L564" s="652">
        <f>SUMIFS('Elimination - PL'!I:I,'Elimination - PL'!A:A,"EA22",'Elimination - PL'!D:D,'Standalone TB'!B564)</f>
        <v>0</v>
      </c>
      <c r="M564" s="652">
        <f t="shared" si="64"/>
        <v>0</v>
      </c>
      <c r="N564" s="652">
        <f t="shared" si="72"/>
        <v>0</v>
      </c>
      <c r="O564" s="652">
        <v>0</v>
      </c>
      <c r="P564" s="685">
        <v>0</v>
      </c>
      <c r="Q564" s="684">
        <v>0</v>
      </c>
      <c r="R564" s="652">
        <f>SUMIFS(OBE!$H:$H,OBE!$C:$C,'Standalone TB'!$B564,OBE!$B:$B,"A20")</f>
        <v>0</v>
      </c>
      <c r="S564" s="652">
        <f>SUMIFS('Elimination - PL'!I:I,'Elimination - PL'!A:A,"EA20",'Elimination - PL'!D:D,'Standalone TB'!B564)</f>
        <v>0</v>
      </c>
      <c r="T564" s="652">
        <f t="shared" si="65"/>
        <v>0</v>
      </c>
      <c r="U564" s="652">
        <f t="shared" si="73"/>
        <v>0</v>
      </c>
      <c r="V564" s="652">
        <v>0</v>
      </c>
      <c r="W564" s="685">
        <v>0</v>
      </c>
      <c r="X564" s="689">
        <f t="shared" si="66"/>
        <v>0</v>
      </c>
      <c r="Y564" s="689">
        <f t="shared" si="67"/>
        <v>100000</v>
      </c>
      <c r="Z564" s="666" t="s">
        <v>787</v>
      </c>
      <c r="AA564" s="666" t="s">
        <v>152</v>
      </c>
      <c r="AB564" s="666" t="s">
        <v>2644</v>
      </c>
      <c r="AD564" s="665"/>
    </row>
    <row r="565" spans="2:30" hidden="1" x14ac:dyDescent="0.2">
      <c r="B565" s="673" t="s">
        <v>2710</v>
      </c>
      <c r="C565" s="666" t="s">
        <v>2711</v>
      </c>
      <c r="D565" s="666" t="s">
        <v>670</v>
      </c>
      <c r="E565" s="684">
        <v>0</v>
      </c>
      <c r="F565" s="652">
        <f>SUMIFS(OBE!$H:$H,OBE!$C:$C,'Standalone TB'!$B565,OBE!$B:$B,"A21")</f>
        <v>0</v>
      </c>
      <c r="G565" s="652">
        <f>SUMIFS('Elimination - PL'!I:I,'Elimination - PL'!A:A,"EA21",'Elimination - PL'!D:D,'Standalone TB'!B565)</f>
        <v>0</v>
      </c>
      <c r="H565" s="652">
        <f t="shared" si="71"/>
        <v>0</v>
      </c>
      <c r="I565" s="652">
        <v>0</v>
      </c>
      <c r="J565" s="684">
        <v>0</v>
      </c>
      <c r="K565" s="652">
        <f>SUMIFS(OBE!$H:$H,OBE!$C:$C,'Standalone TB'!$B565,OBE!$B:$B,"A22")</f>
        <v>0</v>
      </c>
      <c r="L565" s="652">
        <f>SUMIFS('Elimination - PL'!I:I,'Elimination - PL'!A:A,"EA22",'Elimination - PL'!D:D,'Standalone TB'!B565)</f>
        <v>0</v>
      </c>
      <c r="M565" s="652">
        <f t="shared" si="64"/>
        <v>0</v>
      </c>
      <c r="N565" s="652">
        <f t="shared" si="72"/>
        <v>0</v>
      </c>
      <c r="O565" s="652">
        <v>0</v>
      </c>
      <c r="P565" s="685">
        <v>0</v>
      </c>
      <c r="Q565" s="684">
        <v>0</v>
      </c>
      <c r="R565" s="652">
        <f>SUMIFS(OBE!$H:$H,OBE!$C:$C,'Standalone TB'!$B565,OBE!$B:$B,"A20")</f>
        <v>0</v>
      </c>
      <c r="S565" s="652">
        <f>SUMIFS('Elimination - PL'!I:I,'Elimination - PL'!A:A,"EA20",'Elimination - PL'!D:D,'Standalone TB'!B565)</f>
        <v>0</v>
      </c>
      <c r="T565" s="652">
        <f t="shared" si="65"/>
        <v>0</v>
      </c>
      <c r="U565" s="652">
        <f t="shared" si="73"/>
        <v>0</v>
      </c>
      <c r="V565" s="652">
        <v>0</v>
      </c>
      <c r="W565" s="685">
        <v>0</v>
      </c>
      <c r="X565" s="689">
        <f t="shared" si="66"/>
        <v>0</v>
      </c>
      <c r="Y565" s="689">
        <f t="shared" si="67"/>
        <v>0</v>
      </c>
      <c r="Z565" s="666" t="s">
        <v>787</v>
      </c>
      <c r="AA565" s="666" t="s">
        <v>152</v>
      </c>
      <c r="AB565" s="666" t="s">
        <v>2644</v>
      </c>
      <c r="AD565" s="665"/>
    </row>
    <row r="566" spans="2:30" hidden="1" x14ac:dyDescent="0.2">
      <c r="B566" s="673" t="s">
        <v>2712</v>
      </c>
      <c r="C566" s="666" t="s">
        <v>2713</v>
      </c>
      <c r="D566" s="666" t="s">
        <v>670</v>
      </c>
      <c r="E566" s="684">
        <v>-177810</v>
      </c>
      <c r="F566" s="652">
        <f>SUMIFS(OBE!$H:$H,OBE!$C:$C,'Standalone TB'!$B566,OBE!$B:$B,"A21")</f>
        <v>0</v>
      </c>
      <c r="G566" s="652">
        <f>SUMIFS('Elimination - PL'!I:I,'Elimination - PL'!A:A,"EA21",'Elimination - PL'!D:D,'Standalone TB'!B566)</f>
        <v>0</v>
      </c>
      <c r="H566" s="652">
        <f t="shared" si="71"/>
        <v>-177810</v>
      </c>
      <c r="I566" s="652">
        <v>372192</v>
      </c>
      <c r="J566" s="684">
        <v>0</v>
      </c>
      <c r="K566" s="652">
        <f>SUMIFS(OBE!$H:$H,OBE!$C:$C,'Standalone TB'!$B566,OBE!$B:$B,"A22")</f>
        <v>0</v>
      </c>
      <c r="L566" s="652">
        <f>SUMIFS('Elimination - PL'!I:I,'Elimination - PL'!A:A,"EA22",'Elimination - PL'!D:D,'Standalone TB'!B566)</f>
        <v>0</v>
      </c>
      <c r="M566" s="652">
        <f t="shared" si="64"/>
        <v>0</v>
      </c>
      <c r="N566" s="652">
        <f t="shared" si="72"/>
        <v>0</v>
      </c>
      <c r="O566" s="652">
        <v>0</v>
      </c>
      <c r="P566" s="685">
        <v>0</v>
      </c>
      <c r="Q566" s="684">
        <v>0</v>
      </c>
      <c r="R566" s="652">
        <f>SUMIFS(OBE!$H:$H,OBE!$C:$C,'Standalone TB'!$B566,OBE!$B:$B,"A20")</f>
        <v>0</v>
      </c>
      <c r="S566" s="652">
        <f>SUMIFS('Elimination - PL'!I:I,'Elimination - PL'!A:A,"EA20",'Elimination - PL'!D:D,'Standalone TB'!B566)</f>
        <v>0</v>
      </c>
      <c r="T566" s="652">
        <f t="shared" si="65"/>
        <v>0</v>
      </c>
      <c r="U566" s="652">
        <f t="shared" si="73"/>
        <v>0</v>
      </c>
      <c r="V566" s="652">
        <v>0</v>
      </c>
      <c r="W566" s="685">
        <v>0</v>
      </c>
      <c r="X566" s="689">
        <f t="shared" si="66"/>
        <v>-177810</v>
      </c>
      <c r="Y566" s="689">
        <f t="shared" si="67"/>
        <v>372192</v>
      </c>
      <c r="Z566" s="666" t="s">
        <v>787</v>
      </c>
      <c r="AA566" s="666" t="s">
        <v>152</v>
      </c>
      <c r="AB566" s="666" t="s">
        <v>2644</v>
      </c>
      <c r="AD566" s="665"/>
    </row>
    <row r="567" spans="2:30" hidden="1" x14ac:dyDescent="0.2">
      <c r="B567" s="673" t="s">
        <v>2714</v>
      </c>
      <c r="C567" s="666" t="s">
        <v>2715</v>
      </c>
      <c r="D567" s="666" t="s">
        <v>670</v>
      </c>
      <c r="E567" s="684">
        <v>1906355</v>
      </c>
      <c r="F567" s="652">
        <f>SUMIFS(OBE!$H:$H,OBE!$C:$C,'Standalone TB'!$B567,OBE!$B:$B,"A21")</f>
        <v>0</v>
      </c>
      <c r="G567" s="652">
        <f>SUMIFS('Elimination - PL'!I:I,'Elimination - PL'!A:A,"EA21",'Elimination - PL'!D:D,'Standalone TB'!B567)</f>
        <v>0</v>
      </c>
      <c r="H567" s="652">
        <f t="shared" si="71"/>
        <v>1906355</v>
      </c>
      <c r="I567" s="652">
        <v>2488020</v>
      </c>
      <c r="J567" s="684">
        <v>0</v>
      </c>
      <c r="K567" s="652">
        <f>SUMIFS(OBE!$H:$H,OBE!$C:$C,'Standalone TB'!$B567,OBE!$B:$B,"A22")</f>
        <v>0</v>
      </c>
      <c r="L567" s="652">
        <f>SUMIFS('Elimination - PL'!I:I,'Elimination - PL'!A:A,"EA22",'Elimination - PL'!D:D,'Standalone TB'!B567)</f>
        <v>0</v>
      </c>
      <c r="M567" s="652">
        <f t="shared" si="64"/>
        <v>0</v>
      </c>
      <c r="N567" s="652">
        <f t="shared" si="72"/>
        <v>0</v>
      </c>
      <c r="O567" s="652">
        <v>0</v>
      </c>
      <c r="P567" s="685">
        <v>0</v>
      </c>
      <c r="Q567" s="684">
        <v>0</v>
      </c>
      <c r="R567" s="652">
        <f>SUMIFS(OBE!$H:$H,OBE!$C:$C,'Standalone TB'!$B567,OBE!$B:$B,"A20")</f>
        <v>0</v>
      </c>
      <c r="S567" s="652">
        <f>SUMIFS('Elimination - PL'!I:I,'Elimination - PL'!A:A,"EA20",'Elimination - PL'!D:D,'Standalone TB'!B567)</f>
        <v>0</v>
      </c>
      <c r="T567" s="652">
        <f t="shared" si="65"/>
        <v>0</v>
      </c>
      <c r="U567" s="652">
        <f t="shared" si="73"/>
        <v>0</v>
      </c>
      <c r="V567" s="652">
        <v>0</v>
      </c>
      <c r="W567" s="685">
        <v>0</v>
      </c>
      <c r="X567" s="689">
        <f t="shared" si="66"/>
        <v>1906355</v>
      </c>
      <c r="Y567" s="689">
        <f t="shared" si="67"/>
        <v>2488020</v>
      </c>
      <c r="Z567" s="666" t="s">
        <v>787</v>
      </c>
      <c r="AA567" s="666" t="s">
        <v>152</v>
      </c>
      <c r="AB567" s="666" t="s">
        <v>2644</v>
      </c>
      <c r="AD567" s="665"/>
    </row>
    <row r="568" spans="2:30" hidden="1" x14ac:dyDescent="0.2">
      <c r="B568" s="673" t="s">
        <v>2716</v>
      </c>
      <c r="C568" s="666" t="s">
        <v>389</v>
      </c>
      <c r="D568" s="666" t="s">
        <v>670</v>
      </c>
      <c r="E568" s="684">
        <v>5307164</v>
      </c>
      <c r="F568" s="652">
        <f>SUMIFS(OBE!$H:$H,OBE!$C:$C,'Standalone TB'!$B568,OBE!$B:$B,"A21")</f>
        <v>0</v>
      </c>
      <c r="G568" s="652">
        <f>SUMIFS('Elimination - PL'!I:I,'Elimination - PL'!A:A,"EA21",'Elimination - PL'!D:D,'Standalone TB'!B568)</f>
        <v>0</v>
      </c>
      <c r="H568" s="652">
        <f t="shared" si="71"/>
        <v>5307164</v>
      </c>
      <c r="I568" s="652">
        <v>0</v>
      </c>
      <c r="J568" s="684">
        <v>0</v>
      </c>
      <c r="K568" s="652">
        <f>SUMIFS(OBE!$H:$H,OBE!$C:$C,'Standalone TB'!$B568,OBE!$B:$B,"A22")</f>
        <v>0</v>
      </c>
      <c r="L568" s="652">
        <f>SUMIFS('Elimination - PL'!I:I,'Elimination - PL'!A:A,"EA22",'Elimination - PL'!D:D,'Standalone TB'!B568)</f>
        <v>0</v>
      </c>
      <c r="M568" s="652">
        <f t="shared" si="64"/>
        <v>0</v>
      </c>
      <c r="N568" s="652">
        <f t="shared" si="72"/>
        <v>0</v>
      </c>
      <c r="O568" s="652">
        <v>0</v>
      </c>
      <c r="P568" s="685">
        <v>0</v>
      </c>
      <c r="Q568" s="684">
        <v>0</v>
      </c>
      <c r="R568" s="652">
        <f>SUMIFS(OBE!$H:$H,OBE!$C:$C,'Standalone TB'!$B568,OBE!$B:$B,"A20")</f>
        <v>0</v>
      </c>
      <c r="S568" s="652">
        <f>SUMIFS('Elimination - PL'!I:I,'Elimination - PL'!A:A,"EA20",'Elimination - PL'!D:D,'Standalone TB'!B568)</f>
        <v>0</v>
      </c>
      <c r="T568" s="652">
        <f t="shared" si="65"/>
        <v>0</v>
      </c>
      <c r="U568" s="652">
        <f t="shared" si="73"/>
        <v>0</v>
      </c>
      <c r="V568" s="652">
        <v>0</v>
      </c>
      <c r="W568" s="685">
        <v>0</v>
      </c>
      <c r="X568" s="689">
        <f t="shared" si="66"/>
        <v>5307164</v>
      </c>
      <c r="Y568" s="689">
        <f t="shared" si="67"/>
        <v>0</v>
      </c>
      <c r="Z568" s="666" t="s">
        <v>389</v>
      </c>
      <c r="AA568" s="666" t="s">
        <v>152</v>
      </c>
      <c r="AB568" s="666" t="s">
        <v>2644</v>
      </c>
      <c r="AD568" s="665"/>
    </row>
    <row r="569" spans="2:30" hidden="1" x14ac:dyDescent="0.2">
      <c r="B569" s="673" t="s">
        <v>2717</v>
      </c>
      <c r="C569" s="666" t="s">
        <v>2718</v>
      </c>
      <c r="D569" s="666" t="s">
        <v>670</v>
      </c>
      <c r="E569" s="684">
        <v>0</v>
      </c>
      <c r="F569" s="652">
        <f>SUMIFS(OBE!$H:$H,OBE!$C:$C,'Standalone TB'!$B569,OBE!$B:$B,"A21")</f>
        <v>0</v>
      </c>
      <c r="G569" s="652">
        <f>SUMIFS('Elimination - PL'!I:I,'Elimination - PL'!A:A,"EA21",'Elimination - PL'!D:D,'Standalone TB'!B569)</f>
        <v>0</v>
      </c>
      <c r="H569" s="652">
        <f t="shared" si="71"/>
        <v>0</v>
      </c>
      <c r="I569" s="652">
        <v>0</v>
      </c>
      <c r="J569" s="684">
        <v>-23239.239999999998</v>
      </c>
      <c r="K569" s="652">
        <f>SUMIFS(OBE!$H:$H,OBE!$C:$C,'Standalone TB'!$B569,OBE!$B:$B,"A22")</f>
        <v>0</v>
      </c>
      <c r="L569" s="652">
        <f>SUMIFS('Elimination - PL'!I:I,'Elimination - PL'!A:A,"EA22",'Elimination - PL'!D:D,'Standalone TB'!B569)</f>
        <v>0</v>
      </c>
      <c r="M569" s="652">
        <f t="shared" si="64"/>
        <v>-23239.239999999998</v>
      </c>
      <c r="N569" s="652">
        <f t="shared" si="72"/>
        <v>-534120.73927013762</v>
      </c>
      <c r="O569" s="652">
        <v>102591.86</v>
      </c>
      <c r="P569" s="685">
        <v>2312276.895796</v>
      </c>
      <c r="Q569" s="684">
        <v>0</v>
      </c>
      <c r="R569" s="652">
        <f>SUMIFS(OBE!$H:$H,OBE!$C:$C,'Standalone TB'!$B569,OBE!$B:$B,"A20")</f>
        <v>0</v>
      </c>
      <c r="S569" s="652">
        <f>SUMIFS('Elimination - PL'!I:I,'Elimination - PL'!A:A,"EA20",'Elimination - PL'!D:D,'Standalone TB'!B569)</f>
        <v>0</v>
      </c>
      <c r="T569" s="652">
        <f t="shared" si="65"/>
        <v>0</v>
      </c>
      <c r="U569" s="652">
        <f t="shared" si="73"/>
        <v>0</v>
      </c>
      <c r="V569" s="652">
        <v>0</v>
      </c>
      <c r="W569" s="685">
        <v>0</v>
      </c>
      <c r="X569" s="689">
        <f t="shared" si="66"/>
        <v>-534120.73927013762</v>
      </c>
      <c r="Y569" s="689">
        <f t="shared" si="67"/>
        <v>2312276.895796</v>
      </c>
      <c r="Z569" s="652" t="s">
        <v>789</v>
      </c>
      <c r="AA569" s="666" t="s">
        <v>152</v>
      </c>
      <c r="AB569" s="666" t="s">
        <v>2644</v>
      </c>
      <c r="AD569" s="665"/>
    </row>
    <row r="570" spans="2:30" hidden="1" x14ac:dyDescent="0.2">
      <c r="B570" s="673" t="s">
        <v>1699</v>
      </c>
      <c r="C570" s="666" t="s">
        <v>2719</v>
      </c>
      <c r="D570" s="666" t="s">
        <v>670</v>
      </c>
      <c r="E570" s="684">
        <v>0</v>
      </c>
      <c r="F570" s="652">
        <f>SUMIFS(OBE!$H:$H,OBE!$C:$C,'Standalone TB'!$B570,OBE!$B:$B,"A21")</f>
        <v>7855051</v>
      </c>
      <c r="G570" s="652">
        <f>SUMIFS('Elimination - PL'!I:I,'Elimination - PL'!A:A,"EA21",'Elimination - PL'!D:D,'Standalone TB'!B570)</f>
        <v>0</v>
      </c>
      <c r="H570" s="652">
        <f t="shared" si="71"/>
        <v>7855051</v>
      </c>
      <c r="I570" s="652">
        <v>18731710</v>
      </c>
      <c r="J570" s="684">
        <v>0</v>
      </c>
      <c r="K570" s="652">
        <f>SUMIFS(OBE!$H:$H,OBE!$C:$C,'Standalone TB'!$B570,OBE!$B:$B,"A22")</f>
        <v>0</v>
      </c>
      <c r="L570" s="652">
        <f>SUMIFS('Elimination - PL'!I:I,'Elimination - PL'!A:A,"EA22",'Elimination - PL'!D:D,'Standalone TB'!B570)</f>
        <v>0</v>
      </c>
      <c r="M570" s="652">
        <f t="shared" si="64"/>
        <v>0</v>
      </c>
      <c r="N570" s="652">
        <f t="shared" si="72"/>
        <v>0</v>
      </c>
      <c r="O570" s="652">
        <v>0</v>
      </c>
      <c r="P570" s="685">
        <v>0</v>
      </c>
      <c r="Q570" s="684">
        <v>0</v>
      </c>
      <c r="R570" s="652">
        <f>SUMIFS(OBE!$H:$H,OBE!$C:$C,'Standalone TB'!$B570,OBE!$B:$B,"A20")</f>
        <v>0</v>
      </c>
      <c r="S570" s="652">
        <f>SUMIFS('Elimination - PL'!I:I,'Elimination - PL'!A:A,"EA20",'Elimination - PL'!D:D,'Standalone TB'!B570)</f>
        <v>0</v>
      </c>
      <c r="T570" s="652">
        <f t="shared" si="65"/>
        <v>0</v>
      </c>
      <c r="U570" s="652">
        <f t="shared" si="73"/>
        <v>0</v>
      </c>
      <c r="V570" s="652">
        <v>0</v>
      </c>
      <c r="W570" s="685">
        <v>0</v>
      </c>
      <c r="X570" s="689">
        <f t="shared" si="66"/>
        <v>7855051</v>
      </c>
      <c r="Y570" s="689">
        <f t="shared" si="67"/>
        <v>18731710</v>
      </c>
      <c r="Z570" s="652" t="s">
        <v>789</v>
      </c>
      <c r="AA570" s="666" t="s">
        <v>152</v>
      </c>
      <c r="AB570" s="666" t="s">
        <v>2644</v>
      </c>
      <c r="AD570" s="665"/>
    </row>
    <row r="571" spans="2:30" hidden="1" x14ac:dyDescent="0.2">
      <c r="B571" s="673" t="s">
        <v>1697</v>
      </c>
      <c r="C571" s="666" t="s">
        <v>2720</v>
      </c>
      <c r="D571" s="666" t="s">
        <v>670</v>
      </c>
      <c r="E571" s="684">
        <v>30826495</v>
      </c>
      <c r="F571" s="652">
        <f>SUMIFS(OBE!$H:$H,OBE!$C:$C,'Standalone TB'!$B571,OBE!$B:$B,"A21")</f>
        <v>-15032419</v>
      </c>
      <c r="G571" s="652">
        <f>SUMIFS('Elimination - PL'!I:I,'Elimination - PL'!A:A,"EA21",'Elimination - PL'!D:D,'Standalone TB'!B571)</f>
        <v>0</v>
      </c>
      <c r="H571" s="652">
        <f t="shared" si="71"/>
        <v>15794076</v>
      </c>
      <c r="I571" s="652">
        <v>19104805</v>
      </c>
      <c r="J571" s="684">
        <v>191416.83000000002</v>
      </c>
      <c r="K571" s="652">
        <f>SUMIFS(OBE!$H:$H,OBE!$C:$C,'Standalone TB'!$B571,OBE!$B:$B,"A22")</f>
        <v>0</v>
      </c>
      <c r="L571" s="652">
        <f>SUMIFS('Elimination - PL'!I:I,'Elimination - PL'!A:A,"EA22",'Elimination - PL'!D:D,'Standalone TB'!B571)</f>
        <v>0</v>
      </c>
      <c r="M571" s="652">
        <f t="shared" si="64"/>
        <v>191416.83000000002</v>
      </c>
      <c r="N571" s="652">
        <f t="shared" si="72"/>
        <v>4399442.4408176113</v>
      </c>
      <c r="O571" s="652">
        <v>89730.08</v>
      </c>
      <c r="P571" s="685">
        <v>2022390.381088</v>
      </c>
      <c r="Q571" s="684">
        <v>0</v>
      </c>
      <c r="R571" s="652">
        <f>SUMIFS(OBE!$H:$H,OBE!$C:$C,'Standalone TB'!$B571,OBE!$B:$B,"A20")</f>
        <v>0</v>
      </c>
      <c r="S571" s="652">
        <f>SUMIFS('Elimination - PL'!I:I,'Elimination - PL'!A:A,"EA20",'Elimination - PL'!D:D,'Standalone TB'!B571)</f>
        <v>0</v>
      </c>
      <c r="T571" s="652">
        <f t="shared" si="65"/>
        <v>0</v>
      </c>
      <c r="U571" s="652">
        <f t="shared" si="73"/>
        <v>0</v>
      </c>
      <c r="V571" s="652">
        <v>0</v>
      </c>
      <c r="W571" s="685">
        <v>0</v>
      </c>
      <c r="X571" s="689">
        <f t="shared" si="66"/>
        <v>20193518.440817609</v>
      </c>
      <c r="Y571" s="689">
        <f t="shared" si="67"/>
        <v>21127195.381088</v>
      </c>
      <c r="Z571" s="666" t="s">
        <v>389</v>
      </c>
      <c r="AA571" s="666" t="s">
        <v>152</v>
      </c>
      <c r="AB571" s="666" t="s">
        <v>2644</v>
      </c>
      <c r="AD571" s="665"/>
    </row>
    <row r="572" spans="2:30" hidden="1" x14ac:dyDescent="0.2">
      <c r="B572" s="673" t="s">
        <v>2721</v>
      </c>
      <c r="C572" s="666" t="s">
        <v>2722</v>
      </c>
      <c r="D572" s="666" t="s">
        <v>670</v>
      </c>
      <c r="E572" s="684">
        <v>0</v>
      </c>
      <c r="F572" s="652">
        <f>SUMIFS(OBE!$H:$H,OBE!$C:$C,'Standalone TB'!$B572,OBE!$B:$B,"A21")</f>
        <v>0</v>
      </c>
      <c r="G572" s="652">
        <f>SUMIFS('Elimination - PL'!I:I,'Elimination - PL'!A:A,"EA21",'Elimination - PL'!D:D,'Standalone TB'!B572)</f>
        <v>0</v>
      </c>
      <c r="H572" s="652">
        <f t="shared" si="71"/>
        <v>0</v>
      </c>
      <c r="I572" s="652">
        <v>0</v>
      </c>
      <c r="J572" s="684">
        <v>0</v>
      </c>
      <c r="K572" s="652">
        <f>SUMIFS(OBE!$H:$H,OBE!$C:$C,'Standalone TB'!$B572,OBE!$B:$B,"A22")</f>
        <v>0</v>
      </c>
      <c r="L572" s="652">
        <f>SUMIFS('Elimination - PL'!I:I,'Elimination - PL'!A:A,"EA22",'Elimination - PL'!D:D,'Standalone TB'!B572)</f>
        <v>0</v>
      </c>
      <c r="M572" s="652">
        <f t="shared" si="64"/>
        <v>0</v>
      </c>
      <c r="N572" s="652">
        <f t="shared" si="72"/>
        <v>0</v>
      </c>
      <c r="O572" s="652">
        <v>0</v>
      </c>
      <c r="P572" s="685">
        <v>0</v>
      </c>
      <c r="Q572" s="684">
        <v>0</v>
      </c>
      <c r="R572" s="652">
        <f>SUMIFS(OBE!$H:$H,OBE!$C:$C,'Standalone TB'!$B572,OBE!$B:$B,"A20")</f>
        <v>0</v>
      </c>
      <c r="S572" s="652">
        <f>SUMIFS('Elimination - PL'!I:I,'Elimination - PL'!A:A,"EA20",'Elimination - PL'!D:D,'Standalone TB'!B572)</f>
        <v>0</v>
      </c>
      <c r="T572" s="652">
        <f t="shared" si="65"/>
        <v>0</v>
      </c>
      <c r="U572" s="652">
        <f t="shared" si="73"/>
        <v>0</v>
      </c>
      <c r="V572" s="652">
        <v>0</v>
      </c>
      <c r="W572" s="685">
        <v>0</v>
      </c>
      <c r="X572" s="689">
        <f t="shared" si="66"/>
        <v>0</v>
      </c>
      <c r="Y572" s="689">
        <f t="shared" si="67"/>
        <v>0</v>
      </c>
      <c r="Z572" s="666" t="s">
        <v>389</v>
      </c>
      <c r="AA572" s="666" t="s">
        <v>152</v>
      </c>
      <c r="AB572" s="666" t="s">
        <v>2644</v>
      </c>
      <c r="AD572" s="665"/>
    </row>
    <row r="573" spans="2:30" hidden="1" x14ac:dyDescent="0.2">
      <c r="B573" s="673" t="s">
        <v>1695</v>
      </c>
      <c r="C573" s="666" t="s">
        <v>2723</v>
      </c>
      <c r="D573" s="666" t="s">
        <v>670</v>
      </c>
      <c r="E573" s="684">
        <v>0</v>
      </c>
      <c r="F573" s="652">
        <f>SUMIFS(OBE!$H:$H,OBE!$C:$C,'Standalone TB'!$B573,OBE!$B:$B,"A21")</f>
        <v>-11536426</v>
      </c>
      <c r="G573" s="652">
        <f>SUMIFS('Elimination - PL'!I:I,'Elimination - PL'!A:A,"EA21",'Elimination - PL'!D:D,'Standalone TB'!B573)</f>
        <v>0</v>
      </c>
      <c r="H573" s="652">
        <f t="shared" si="71"/>
        <v>-11536426</v>
      </c>
      <c r="I573" s="652">
        <v>-4989188</v>
      </c>
      <c r="J573" s="684">
        <v>0</v>
      </c>
      <c r="K573" s="652">
        <f>SUMIFS(OBE!$H:$H,OBE!$C:$C,'Standalone TB'!$B573,OBE!$B:$B,"A22")</f>
        <v>0</v>
      </c>
      <c r="L573" s="652">
        <f>SUMIFS('Elimination - PL'!I:I,'Elimination - PL'!A:A,"EA22",'Elimination - PL'!D:D,'Standalone TB'!B573)</f>
        <v>0</v>
      </c>
      <c r="M573" s="652">
        <f t="shared" si="64"/>
        <v>0</v>
      </c>
      <c r="N573" s="652">
        <f t="shared" si="72"/>
        <v>0</v>
      </c>
      <c r="O573" s="652">
        <v>0</v>
      </c>
      <c r="P573" s="685">
        <v>0</v>
      </c>
      <c r="Q573" s="684">
        <v>0</v>
      </c>
      <c r="R573" s="652">
        <f>SUMIFS(OBE!$H:$H,OBE!$C:$C,'Standalone TB'!$B573,OBE!$B:$B,"A20")</f>
        <v>0</v>
      </c>
      <c r="S573" s="652">
        <f>SUMIFS('Elimination - PL'!I:I,'Elimination - PL'!A:A,"EA20",'Elimination - PL'!D:D,'Standalone TB'!B573)</f>
        <v>0</v>
      </c>
      <c r="T573" s="652">
        <f t="shared" si="65"/>
        <v>0</v>
      </c>
      <c r="U573" s="652">
        <f t="shared" si="73"/>
        <v>0</v>
      </c>
      <c r="V573" s="652">
        <v>0</v>
      </c>
      <c r="W573" s="685">
        <v>0</v>
      </c>
      <c r="X573" s="689">
        <f t="shared" si="66"/>
        <v>-11536426</v>
      </c>
      <c r="Y573" s="689">
        <f t="shared" si="67"/>
        <v>-4989188</v>
      </c>
      <c r="Z573" s="652" t="s">
        <v>170</v>
      </c>
      <c r="AA573" s="666" t="s">
        <v>152</v>
      </c>
      <c r="AB573" s="666" t="s">
        <v>2644</v>
      </c>
      <c r="AD573" s="665"/>
    </row>
    <row r="574" spans="2:30" hidden="1" x14ac:dyDescent="0.2">
      <c r="B574" s="673" t="s">
        <v>2724</v>
      </c>
      <c r="C574" s="666" t="s">
        <v>2725</v>
      </c>
      <c r="D574" s="666" t="s">
        <v>670</v>
      </c>
      <c r="E574" s="684">
        <v>40473612</v>
      </c>
      <c r="F574" s="652">
        <f>SUMIFS(OBE!$H:$H,OBE!$C:$C,'Standalone TB'!$B574,OBE!$B:$B,"A21")</f>
        <v>0</v>
      </c>
      <c r="G574" s="652">
        <f>SUMIFS('Elimination - PL'!I:I,'Elimination - PL'!A:A,"EA21",'Elimination - PL'!D:D,'Standalone TB'!B574)</f>
        <v>0</v>
      </c>
      <c r="H574" s="652">
        <f t="shared" si="71"/>
        <v>40473612</v>
      </c>
      <c r="I574" s="652">
        <v>51687042</v>
      </c>
      <c r="J574" s="684">
        <v>0</v>
      </c>
      <c r="K574" s="652">
        <f>SUMIFS(OBE!$H:$H,OBE!$C:$C,'Standalone TB'!$B574,OBE!$B:$B,"A22")</f>
        <v>0</v>
      </c>
      <c r="L574" s="652">
        <f>SUMIFS('Elimination - PL'!I:I,'Elimination - PL'!A:A,"EA22",'Elimination - PL'!D:D,'Standalone TB'!B574)</f>
        <v>0</v>
      </c>
      <c r="M574" s="652">
        <f t="shared" si="64"/>
        <v>0</v>
      </c>
      <c r="N574" s="652">
        <f t="shared" si="72"/>
        <v>0</v>
      </c>
      <c r="O574" s="652">
        <v>0</v>
      </c>
      <c r="P574" s="685">
        <v>0</v>
      </c>
      <c r="Q574" s="684">
        <v>0</v>
      </c>
      <c r="R574" s="652">
        <f>SUMIFS(OBE!$H:$H,OBE!$C:$C,'Standalone TB'!$B574,OBE!$B:$B,"A20")</f>
        <v>0</v>
      </c>
      <c r="S574" s="652">
        <f>SUMIFS('Elimination - PL'!I:I,'Elimination - PL'!A:A,"EA20",'Elimination - PL'!D:D,'Standalone TB'!B574)</f>
        <v>0</v>
      </c>
      <c r="T574" s="652">
        <f t="shared" si="65"/>
        <v>0</v>
      </c>
      <c r="U574" s="652">
        <f t="shared" si="73"/>
        <v>0</v>
      </c>
      <c r="V574" s="652">
        <v>0</v>
      </c>
      <c r="W574" s="685">
        <v>0</v>
      </c>
      <c r="X574" s="689">
        <f t="shared" si="66"/>
        <v>40473612</v>
      </c>
      <c r="Y574" s="689">
        <f t="shared" si="67"/>
        <v>51687042</v>
      </c>
      <c r="Z574" s="652" t="s">
        <v>790</v>
      </c>
      <c r="AA574" s="666" t="s">
        <v>152</v>
      </c>
      <c r="AB574" s="666" t="s">
        <v>2644</v>
      </c>
      <c r="AD574" s="665"/>
    </row>
    <row r="575" spans="2:30" hidden="1" x14ac:dyDescent="0.2">
      <c r="B575" s="673" t="s">
        <v>2726</v>
      </c>
      <c r="C575" s="666" t="s">
        <v>2727</v>
      </c>
      <c r="D575" s="666" t="s">
        <v>670</v>
      </c>
      <c r="E575" s="684">
        <v>628424</v>
      </c>
      <c r="F575" s="652">
        <f>SUMIFS(OBE!$H:$H,OBE!$C:$C,'Standalone TB'!$B575,OBE!$B:$B,"A21")</f>
        <v>0</v>
      </c>
      <c r="G575" s="652">
        <f>SUMIFS('Elimination - PL'!I:I,'Elimination - PL'!A:A,"EA21",'Elimination - PL'!D:D,'Standalone TB'!B575)</f>
        <v>0</v>
      </c>
      <c r="H575" s="652">
        <f t="shared" si="71"/>
        <v>628424</v>
      </c>
      <c r="I575" s="652">
        <v>764783.20000000019</v>
      </c>
      <c r="J575" s="684">
        <v>0</v>
      </c>
      <c r="K575" s="652">
        <f>SUMIFS(OBE!$H:$H,OBE!$C:$C,'Standalone TB'!$B575,OBE!$B:$B,"A22")</f>
        <v>0</v>
      </c>
      <c r="L575" s="652">
        <f>SUMIFS('Elimination - PL'!I:I,'Elimination - PL'!A:A,"EA22",'Elimination - PL'!D:D,'Standalone TB'!B575)</f>
        <v>0</v>
      </c>
      <c r="M575" s="652">
        <f t="shared" si="64"/>
        <v>0</v>
      </c>
      <c r="N575" s="652">
        <f t="shared" si="72"/>
        <v>0</v>
      </c>
      <c r="O575" s="652">
        <v>0</v>
      </c>
      <c r="P575" s="685">
        <v>0</v>
      </c>
      <c r="Q575" s="684">
        <v>0</v>
      </c>
      <c r="R575" s="652">
        <f>SUMIFS(OBE!$H:$H,OBE!$C:$C,'Standalone TB'!$B575,OBE!$B:$B,"A20")</f>
        <v>0</v>
      </c>
      <c r="S575" s="652">
        <f>SUMIFS('Elimination - PL'!I:I,'Elimination - PL'!A:A,"EA20",'Elimination - PL'!D:D,'Standalone TB'!B575)</f>
        <v>0</v>
      </c>
      <c r="T575" s="652">
        <f t="shared" si="65"/>
        <v>0</v>
      </c>
      <c r="U575" s="652">
        <f t="shared" si="73"/>
        <v>0</v>
      </c>
      <c r="V575" s="652">
        <v>0</v>
      </c>
      <c r="W575" s="685">
        <v>0</v>
      </c>
      <c r="X575" s="689">
        <f t="shared" si="66"/>
        <v>628424</v>
      </c>
      <c r="Y575" s="689">
        <f t="shared" si="67"/>
        <v>764783.20000000019</v>
      </c>
      <c r="Z575" s="652" t="s">
        <v>790</v>
      </c>
      <c r="AA575" s="666" t="s">
        <v>152</v>
      </c>
      <c r="AB575" s="666" t="s">
        <v>2644</v>
      </c>
      <c r="AD575" s="665"/>
    </row>
    <row r="576" spans="2:30" hidden="1" x14ac:dyDescent="0.2">
      <c r="B576" s="673" t="s">
        <v>2728</v>
      </c>
      <c r="C576" s="666" t="s">
        <v>2729</v>
      </c>
      <c r="D576" s="666" t="s">
        <v>670</v>
      </c>
      <c r="E576" s="684">
        <v>0</v>
      </c>
      <c r="F576" s="652">
        <f>SUMIFS(OBE!$H:$H,OBE!$C:$C,'Standalone TB'!$B576,OBE!$B:$B,"A21")</f>
        <v>0</v>
      </c>
      <c r="G576" s="652">
        <f>SUMIFS('Elimination - PL'!I:I,'Elimination - PL'!A:A,"EA21",'Elimination - PL'!D:D,'Standalone TB'!B576)</f>
        <v>0</v>
      </c>
      <c r="H576" s="652">
        <f t="shared" si="71"/>
        <v>0</v>
      </c>
      <c r="I576" s="652">
        <v>0</v>
      </c>
      <c r="J576" s="684">
        <v>0</v>
      </c>
      <c r="K576" s="652">
        <f>SUMIFS(OBE!$H:$H,OBE!$C:$C,'Standalone TB'!$B576,OBE!$B:$B,"A22")</f>
        <v>0</v>
      </c>
      <c r="L576" s="652">
        <f>SUMIFS('Elimination - PL'!I:I,'Elimination - PL'!A:A,"EA22",'Elimination - PL'!D:D,'Standalone TB'!B576)</f>
        <v>0</v>
      </c>
      <c r="M576" s="652">
        <f t="shared" si="64"/>
        <v>0</v>
      </c>
      <c r="N576" s="652">
        <f t="shared" si="72"/>
        <v>0</v>
      </c>
      <c r="O576" s="652">
        <v>0</v>
      </c>
      <c r="P576" s="685">
        <v>0</v>
      </c>
      <c r="Q576" s="684">
        <v>0</v>
      </c>
      <c r="R576" s="652">
        <f>SUMIFS(OBE!$H:$H,OBE!$C:$C,'Standalone TB'!$B576,OBE!$B:$B,"A20")</f>
        <v>0</v>
      </c>
      <c r="S576" s="652">
        <f>SUMIFS('Elimination - PL'!I:I,'Elimination - PL'!A:A,"EA20",'Elimination - PL'!D:D,'Standalone TB'!B576)</f>
        <v>0</v>
      </c>
      <c r="T576" s="652">
        <f t="shared" si="65"/>
        <v>0</v>
      </c>
      <c r="U576" s="652">
        <f t="shared" si="73"/>
        <v>0</v>
      </c>
      <c r="V576" s="652">
        <v>0</v>
      </c>
      <c r="W576" s="685">
        <v>0</v>
      </c>
      <c r="X576" s="689">
        <f t="shared" si="66"/>
        <v>0</v>
      </c>
      <c r="Y576" s="689">
        <f t="shared" si="67"/>
        <v>0</v>
      </c>
      <c r="Z576" s="652" t="s">
        <v>790</v>
      </c>
      <c r="AA576" s="666" t="s">
        <v>152</v>
      </c>
      <c r="AB576" s="666" t="s">
        <v>2644</v>
      </c>
      <c r="AD576" s="665"/>
    </row>
    <row r="577" spans="2:30" hidden="1" x14ac:dyDescent="0.2">
      <c r="B577" s="673" t="s">
        <v>2730</v>
      </c>
      <c r="C577" s="666" t="s">
        <v>2731</v>
      </c>
      <c r="D577" s="666" t="s">
        <v>670</v>
      </c>
      <c r="E577" s="684">
        <v>1728458</v>
      </c>
      <c r="F577" s="652">
        <f>SUMIFS(OBE!$H:$H,OBE!$C:$C,'Standalone TB'!$B577,OBE!$B:$B,"A21")</f>
        <v>0</v>
      </c>
      <c r="G577" s="652">
        <f>SUMIFS('Elimination - PL'!I:I,'Elimination - PL'!A:A,"EA21",'Elimination - PL'!D:D,'Standalone TB'!B577)</f>
        <v>0</v>
      </c>
      <c r="H577" s="652">
        <f t="shared" si="71"/>
        <v>1728458</v>
      </c>
      <c r="I577" s="652">
        <v>2086249.75</v>
      </c>
      <c r="J577" s="684">
        <v>0</v>
      </c>
      <c r="K577" s="652">
        <f>SUMIFS(OBE!$H:$H,OBE!$C:$C,'Standalone TB'!$B577,OBE!$B:$B,"A22")</f>
        <v>0</v>
      </c>
      <c r="L577" s="652">
        <f>SUMIFS('Elimination - PL'!I:I,'Elimination - PL'!A:A,"EA22",'Elimination - PL'!D:D,'Standalone TB'!B577)</f>
        <v>0</v>
      </c>
      <c r="M577" s="652">
        <f t="shared" si="64"/>
        <v>0</v>
      </c>
      <c r="N577" s="652">
        <f t="shared" si="72"/>
        <v>0</v>
      </c>
      <c r="O577" s="652">
        <v>0</v>
      </c>
      <c r="P577" s="685">
        <v>0</v>
      </c>
      <c r="Q577" s="684">
        <v>0</v>
      </c>
      <c r="R577" s="652">
        <f>SUMIFS(OBE!$H:$H,OBE!$C:$C,'Standalone TB'!$B577,OBE!$B:$B,"A20")</f>
        <v>0</v>
      </c>
      <c r="S577" s="652">
        <f>SUMIFS('Elimination - PL'!I:I,'Elimination - PL'!A:A,"EA20",'Elimination - PL'!D:D,'Standalone TB'!B577)</f>
        <v>0</v>
      </c>
      <c r="T577" s="652">
        <f t="shared" si="65"/>
        <v>0</v>
      </c>
      <c r="U577" s="652">
        <f t="shared" si="73"/>
        <v>0</v>
      </c>
      <c r="V577" s="652">
        <v>0</v>
      </c>
      <c r="W577" s="685">
        <v>0</v>
      </c>
      <c r="X577" s="689">
        <f t="shared" si="66"/>
        <v>1728458</v>
      </c>
      <c r="Y577" s="689">
        <f t="shared" si="67"/>
        <v>2086249.75</v>
      </c>
      <c r="Z577" s="652" t="s">
        <v>790</v>
      </c>
      <c r="AA577" s="666" t="s">
        <v>152</v>
      </c>
      <c r="AB577" s="666" t="s">
        <v>2644</v>
      </c>
      <c r="AD577" s="665"/>
    </row>
    <row r="578" spans="2:30" hidden="1" x14ac:dyDescent="0.2">
      <c r="B578" s="673" t="s">
        <v>2732</v>
      </c>
      <c r="C578" s="666" t="s">
        <v>2733</v>
      </c>
      <c r="D578" s="666" t="s">
        <v>670</v>
      </c>
      <c r="E578" s="684">
        <v>0</v>
      </c>
      <c r="F578" s="652">
        <f>SUMIFS(OBE!$H:$H,OBE!$C:$C,'Standalone TB'!$B578,OBE!$B:$B,"A21")</f>
        <v>0</v>
      </c>
      <c r="G578" s="652">
        <f>SUMIFS('Elimination - PL'!I:I,'Elimination - PL'!A:A,"EA21",'Elimination - PL'!D:D,'Standalone TB'!B578)</f>
        <v>0</v>
      </c>
      <c r="H578" s="652">
        <f t="shared" si="71"/>
        <v>0</v>
      </c>
      <c r="I578" s="652">
        <v>2998381</v>
      </c>
      <c r="J578" s="684">
        <v>0</v>
      </c>
      <c r="K578" s="652">
        <f>SUMIFS(OBE!$H:$H,OBE!$C:$C,'Standalone TB'!$B578,OBE!$B:$B,"A22")</f>
        <v>0</v>
      </c>
      <c r="L578" s="652">
        <f>SUMIFS('Elimination - PL'!I:I,'Elimination - PL'!A:A,"EA22",'Elimination - PL'!D:D,'Standalone TB'!B578)</f>
        <v>0</v>
      </c>
      <c r="M578" s="652">
        <f t="shared" si="64"/>
        <v>0</v>
      </c>
      <c r="N578" s="652">
        <f t="shared" si="72"/>
        <v>0</v>
      </c>
      <c r="O578" s="652">
        <v>0</v>
      </c>
      <c r="P578" s="685">
        <v>0</v>
      </c>
      <c r="Q578" s="684">
        <v>0</v>
      </c>
      <c r="R578" s="652">
        <f>SUMIFS(OBE!$H:$H,OBE!$C:$C,'Standalone TB'!$B578,OBE!$B:$B,"A20")</f>
        <v>0</v>
      </c>
      <c r="S578" s="652">
        <f>SUMIFS('Elimination - PL'!I:I,'Elimination - PL'!A:A,"EA20",'Elimination - PL'!D:D,'Standalone TB'!B578)</f>
        <v>0</v>
      </c>
      <c r="T578" s="652">
        <f t="shared" si="65"/>
        <v>0</v>
      </c>
      <c r="U578" s="652">
        <f t="shared" si="73"/>
        <v>0</v>
      </c>
      <c r="V578" s="652">
        <v>0</v>
      </c>
      <c r="W578" s="685">
        <v>0</v>
      </c>
      <c r="X578" s="689">
        <f t="shared" si="66"/>
        <v>0</v>
      </c>
      <c r="Y578" s="689">
        <f t="shared" si="67"/>
        <v>2998381</v>
      </c>
      <c r="Z578" s="652" t="s">
        <v>790</v>
      </c>
      <c r="AA578" s="666" t="s">
        <v>152</v>
      </c>
      <c r="AB578" s="666" t="s">
        <v>2644</v>
      </c>
      <c r="AD578" s="665"/>
    </row>
    <row r="579" spans="2:30" hidden="1" x14ac:dyDescent="0.2">
      <c r="B579" s="673" t="s">
        <v>2734</v>
      </c>
      <c r="C579" s="666" t="s">
        <v>2735</v>
      </c>
      <c r="D579" s="666" t="s">
        <v>670</v>
      </c>
      <c r="E579" s="684">
        <v>-482.78</v>
      </c>
      <c r="F579" s="652">
        <f>SUMIFS(OBE!$H:$H,OBE!$C:$C,'Standalone TB'!$B579,OBE!$B:$B,"A21")</f>
        <v>0</v>
      </c>
      <c r="G579" s="652">
        <f>SUMIFS('Elimination - PL'!I:I,'Elimination - PL'!A:A,"EA21",'Elimination - PL'!D:D,'Standalone TB'!B579)</f>
        <v>0</v>
      </c>
      <c r="H579" s="652">
        <f t="shared" si="71"/>
        <v>-482.78</v>
      </c>
      <c r="J579" s="684">
        <v>0</v>
      </c>
      <c r="K579" s="652">
        <f>SUMIFS(OBE!$H:$H,OBE!$C:$C,'Standalone TB'!$B579,OBE!$B:$B,"A22")</f>
        <v>0</v>
      </c>
      <c r="L579" s="652">
        <f>SUMIFS('Elimination - PL'!I:I,'Elimination - PL'!A:A,"EA22",'Elimination - PL'!D:D,'Standalone TB'!B579)</f>
        <v>0</v>
      </c>
      <c r="M579" s="652">
        <f t="shared" si="64"/>
        <v>0</v>
      </c>
      <c r="N579" s="652">
        <f t="shared" si="72"/>
        <v>0</v>
      </c>
      <c r="P579" s="685"/>
      <c r="Q579" s="684">
        <v>0</v>
      </c>
      <c r="R579" s="652">
        <f>SUMIFS(OBE!$H:$H,OBE!$C:$C,'Standalone TB'!$B579,OBE!$B:$B,"A20")</f>
        <v>0</v>
      </c>
      <c r="S579" s="652">
        <f>SUMIFS('Elimination - PL'!I:I,'Elimination - PL'!A:A,"EA20",'Elimination - PL'!D:D,'Standalone TB'!B579)</f>
        <v>0</v>
      </c>
      <c r="T579" s="652">
        <f t="shared" si="65"/>
        <v>0</v>
      </c>
      <c r="U579" s="652">
        <f t="shared" si="73"/>
        <v>0</v>
      </c>
      <c r="W579" s="685"/>
      <c r="X579" s="689">
        <f t="shared" si="66"/>
        <v>-482.78</v>
      </c>
      <c r="Y579" s="689">
        <f t="shared" si="67"/>
        <v>0</v>
      </c>
      <c r="Z579" s="652" t="s">
        <v>792</v>
      </c>
      <c r="AA579" s="666" t="s">
        <v>152</v>
      </c>
      <c r="AB579" s="666" t="s">
        <v>2644</v>
      </c>
      <c r="AD579" s="665"/>
    </row>
    <row r="580" spans="2:30" hidden="1" x14ac:dyDescent="0.2">
      <c r="B580" s="673" t="s">
        <v>2736</v>
      </c>
      <c r="C580" s="666" t="s">
        <v>2737</v>
      </c>
      <c r="D580" s="666" t="s">
        <v>670</v>
      </c>
      <c r="E580" s="684">
        <v>-34664</v>
      </c>
      <c r="F580" s="652">
        <f>SUMIFS(OBE!$H:$H,OBE!$C:$C,'Standalone TB'!$B580,OBE!$B:$B,"A21")</f>
        <v>0</v>
      </c>
      <c r="G580" s="652">
        <f>SUMIFS('Elimination - PL'!I:I,'Elimination - PL'!A:A,"EA21",'Elimination - PL'!D:D,'Standalone TB'!B580)</f>
        <v>0</v>
      </c>
      <c r="H580" s="652">
        <f t="shared" si="71"/>
        <v>-34664</v>
      </c>
      <c r="J580" s="684">
        <v>0</v>
      </c>
      <c r="K580" s="652">
        <f>SUMIFS(OBE!$H:$H,OBE!$C:$C,'Standalone TB'!$B580,OBE!$B:$B,"A22")</f>
        <v>0</v>
      </c>
      <c r="L580" s="652">
        <f>SUMIFS('Elimination - PL'!I:I,'Elimination - PL'!A:A,"EA22",'Elimination - PL'!D:D,'Standalone TB'!B580)</f>
        <v>0</v>
      </c>
      <c r="M580" s="652">
        <f t="shared" si="64"/>
        <v>0</v>
      </c>
      <c r="N580" s="652">
        <f t="shared" si="72"/>
        <v>0</v>
      </c>
      <c r="P580" s="685"/>
      <c r="Q580" s="684">
        <v>0</v>
      </c>
      <c r="R580" s="652">
        <f>SUMIFS(OBE!$H:$H,OBE!$C:$C,'Standalone TB'!$B580,OBE!$B:$B,"A20")</f>
        <v>0</v>
      </c>
      <c r="S580" s="652">
        <f>SUMIFS('Elimination - PL'!I:I,'Elimination - PL'!A:A,"EA20",'Elimination - PL'!D:D,'Standalone TB'!B580)</f>
        <v>0</v>
      </c>
      <c r="T580" s="652">
        <f t="shared" si="65"/>
        <v>0</v>
      </c>
      <c r="U580" s="652">
        <f t="shared" si="73"/>
        <v>0</v>
      </c>
      <c r="W580" s="685"/>
      <c r="X580" s="689">
        <f t="shared" si="66"/>
        <v>-34664</v>
      </c>
      <c r="Y580" s="689">
        <f t="shared" si="67"/>
        <v>0</v>
      </c>
      <c r="Z580" s="652" t="s">
        <v>792</v>
      </c>
      <c r="AA580" s="666" t="s">
        <v>152</v>
      </c>
      <c r="AB580" s="666" t="s">
        <v>2644</v>
      </c>
      <c r="AD580" s="665"/>
    </row>
    <row r="581" spans="2:30" hidden="1" x14ac:dyDescent="0.2">
      <c r="B581" s="673" t="s">
        <v>2738</v>
      </c>
      <c r="C581" s="666" t="s">
        <v>2739</v>
      </c>
      <c r="D581" s="666" t="s">
        <v>670</v>
      </c>
      <c r="E581" s="684">
        <v>25642</v>
      </c>
      <c r="F581" s="652">
        <f>SUMIFS(OBE!$H:$H,OBE!$C:$C,'Standalone TB'!$B581,OBE!$B:$B,"A21")</f>
        <v>0</v>
      </c>
      <c r="G581" s="652">
        <f>SUMIFS('Elimination - PL'!I:I,'Elimination - PL'!A:A,"EA21",'Elimination - PL'!D:D,'Standalone TB'!B581)</f>
        <v>0</v>
      </c>
      <c r="H581" s="652">
        <f t="shared" si="71"/>
        <v>25642</v>
      </c>
      <c r="I581" s="652">
        <v>15568</v>
      </c>
      <c r="J581" s="684">
        <v>0</v>
      </c>
      <c r="K581" s="652">
        <f>SUMIFS(OBE!$H:$H,OBE!$C:$C,'Standalone TB'!$B581,OBE!$B:$B,"A22")</f>
        <v>0</v>
      </c>
      <c r="L581" s="652">
        <f>SUMIFS('Elimination - PL'!I:I,'Elimination - PL'!A:A,"EA22",'Elimination - PL'!D:D,'Standalone TB'!B581)</f>
        <v>0</v>
      </c>
      <c r="M581" s="652">
        <f t="shared" si="64"/>
        <v>0</v>
      </c>
      <c r="N581" s="652">
        <f t="shared" si="72"/>
        <v>0</v>
      </c>
      <c r="O581" s="652">
        <v>0</v>
      </c>
      <c r="P581" s="685">
        <v>0</v>
      </c>
      <c r="Q581" s="684">
        <v>0</v>
      </c>
      <c r="R581" s="652">
        <f>SUMIFS(OBE!$H:$H,OBE!$C:$C,'Standalone TB'!$B581,OBE!$B:$B,"A20")</f>
        <v>0</v>
      </c>
      <c r="S581" s="652">
        <f>SUMIFS('Elimination - PL'!I:I,'Elimination - PL'!A:A,"EA20",'Elimination - PL'!D:D,'Standalone TB'!B581)</f>
        <v>0</v>
      </c>
      <c r="T581" s="652">
        <f t="shared" si="65"/>
        <v>0</v>
      </c>
      <c r="U581" s="652">
        <f t="shared" si="73"/>
        <v>0</v>
      </c>
      <c r="V581" s="652">
        <v>0</v>
      </c>
      <c r="W581" s="685">
        <v>0</v>
      </c>
      <c r="X581" s="689">
        <f t="shared" si="66"/>
        <v>25642</v>
      </c>
      <c r="Y581" s="689">
        <f t="shared" si="67"/>
        <v>15568</v>
      </c>
      <c r="Z581" s="652" t="s">
        <v>792</v>
      </c>
      <c r="AA581" s="666" t="s">
        <v>152</v>
      </c>
      <c r="AB581" s="666" t="s">
        <v>2644</v>
      </c>
      <c r="AD581" s="665"/>
    </row>
    <row r="582" spans="2:30" hidden="1" x14ac:dyDescent="0.2">
      <c r="B582" s="673" t="s">
        <v>1698</v>
      </c>
      <c r="C582" s="666" t="s">
        <v>2740</v>
      </c>
      <c r="D582" s="666" t="s">
        <v>670</v>
      </c>
      <c r="E582" s="684">
        <v>-778857</v>
      </c>
      <c r="F582" s="652">
        <f>SUMIFS(OBE!$H:$H,OBE!$C:$C,'Standalone TB'!$B582,OBE!$B:$B,"A21")</f>
        <v>0</v>
      </c>
      <c r="G582" s="652">
        <f>SUMIFS('Elimination - PL'!I:I,'Elimination - PL'!A:A,"EA21",'Elimination - PL'!D:D,'Standalone TB'!B582)</f>
        <v>0</v>
      </c>
      <c r="H582" s="652">
        <f t="shared" si="71"/>
        <v>-778857</v>
      </c>
      <c r="I582" s="652">
        <v>7789818.9299999997</v>
      </c>
      <c r="J582" s="684">
        <v>123354.47</v>
      </c>
      <c r="K582" s="652">
        <f>SUMIFS(OBE!$H:$H,OBE!$C:$C,'Standalone TB'!$B582,OBE!$B:$B,"A22")</f>
        <v>0</v>
      </c>
      <c r="L582" s="652">
        <f>SUMIFS('Elimination - PL'!I:I,'Elimination - PL'!A:A,"EA22",'Elimination - PL'!D:D,'Standalone TB'!B582)</f>
        <v>0</v>
      </c>
      <c r="M582" s="652">
        <f t="shared" si="64"/>
        <v>123354.47</v>
      </c>
      <c r="N582" s="652">
        <f t="shared" si="72"/>
        <v>2835126.3082904611</v>
      </c>
      <c r="O582" s="652">
        <v>101858</v>
      </c>
      <c r="P582" s="685">
        <v>2295736.7187999999</v>
      </c>
      <c r="Q582" s="684">
        <v>0</v>
      </c>
      <c r="R582" s="652">
        <f>SUMIFS(OBE!$H:$H,OBE!$C:$C,'Standalone TB'!$B582,OBE!$B:$B,"A20")</f>
        <v>0</v>
      </c>
      <c r="S582" s="652">
        <f>SUMIFS('Elimination - PL'!I:I,'Elimination - PL'!A:A,"EA20",'Elimination - PL'!D:D,'Standalone TB'!B582)</f>
        <v>0</v>
      </c>
      <c r="T582" s="652">
        <f t="shared" si="65"/>
        <v>0</v>
      </c>
      <c r="U582" s="652">
        <f t="shared" si="73"/>
        <v>0</v>
      </c>
      <c r="V582" s="652">
        <v>0</v>
      </c>
      <c r="W582" s="685">
        <v>0</v>
      </c>
      <c r="X582" s="689">
        <f t="shared" si="66"/>
        <v>2056269.3082904611</v>
      </c>
      <c r="Y582" s="689">
        <f t="shared" si="67"/>
        <v>10085555.648800001</v>
      </c>
      <c r="Z582" s="652" t="s">
        <v>792</v>
      </c>
      <c r="AA582" s="666" t="s">
        <v>152</v>
      </c>
      <c r="AB582" s="666" t="s">
        <v>2644</v>
      </c>
      <c r="AD582" s="665"/>
    </row>
    <row r="583" spans="2:30" hidden="1" x14ac:dyDescent="0.2">
      <c r="B583" s="673" t="s">
        <v>2741</v>
      </c>
      <c r="C583" s="666" t="s">
        <v>2742</v>
      </c>
      <c r="D583" s="666" t="s">
        <v>670</v>
      </c>
      <c r="E583" s="684">
        <v>0</v>
      </c>
      <c r="F583" s="652">
        <f>SUMIFS(OBE!$H:$H,OBE!$C:$C,'Standalone TB'!$B583,OBE!$B:$B,"A21")</f>
        <v>0</v>
      </c>
      <c r="G583" s="652">
        <f>SUMIFS('Elimination - PL'!I:I,'Elimination - PL'!A:A,"EA21",'Elimination - PL'!D:D,'Standalone TB'!B583)</f>
        <v>0</v>
      </c>
      <c r="H583" s="652">
        <f t="shared" si="71"/>
        <v>0</v>
      </c>
      <c r="I583" s="652">
        <v>0</v>
      </c>
      <c r="J583" s="684">
        <v>0</v>
      </c>
      <c r="K583" s="652">
        <f>SUMIFS(OBE!$H:$H,OBE!$C:$C,'Standalone TB'!$B583,OBE!$B:$B,"A22")</f>
        <v>0</v>
      </c>
      <c r="L583" s="652">
        <f>SUMIFS('Elimination - PL'!I:I,'Elimination - PL'!A:A,"EA22",'Elimination - PL'!D:D,'Standalone TB'!B583)</f>
        <v>0</v>
      </c>
      <c r="M583" s="652">
        <f t="shared" si="64"/>
        <v>0</v>
      </c>
      <c r="N583" s="652">
        <f t="shared" si="72"/>
        <v>0</v>
      </c>
      <c r="O583" s="652">
        <v>0</v>
      </c>
      <c r="P583" s="685">
        <v>0</v>
      </c>
      <c r="Q583" s="684">
        <v>0</v>
      </c>
      <c r="R583" s="652">
        <f>SUMIFS(OBE!$H:$H,OBE!$C:$C,'Standalone TB'!$B583,OBE!$B:$B,"A20")</f>
        <v>0</v>
      </c>
      <c r="S583" s="652">
        <f>SUMIFS('Elimination - PL'!I:I,'Elimination - PL'!A:A,"EA20",'Elimination - PL'!D:D,'Standalone TB'!B583)</f>
        <v>0</v>
      </c>
      <c r="T583" s="652">
        <f t="shared" si="65"/>
        <v>0</v>
      </c>
      <c r="U583" s="652">
        <f t="shared" si="73"/>
        <v>0</v>
      </c>
      <c r="V583" s="652">
        <v>0</v>
      </c>
      <c r="W583" s="685">
        <v>0</v>
      </c>
      <c r="X583" s="689">
        <f t="shared" si="66"/>
        <v>0</v>
      </c>
      <c r="Y583" s="689">
        <f t="shared" si="67"/>
        <v>0</v>
      </c>
      <c r="Z583" s="652" t="s">
        <v>792</v>
      </c>
      <c r="AA583" s="666" t="s">
        <v>152</v>
      </c>
      <c r="AB583" s="666" t="s">
        <v>2644</v>
      </c>
      <c r="AD583" s="665"/>
    </row>
    <row r="584" spans="2:30" hidden="1" x14ac:dyDescent="0.2">
      <c r="B584" s="673" t="s">
        <v>2743</v>
      </c>
      <c r="C584" s="666" t="s">
        <v>2744</v>
      </c>
      <c r="D584" s="666" t="s">
        <v>670</v>
      </c>
      <c r="E584" s="684">
        <v>0</v>
      </c>
      <c r="F584" s="652">
        <f>SUMIFS(OBE!$H:$H,OBE!$C:$C,'Standalone TB'!$B584,OBE!$B:$B,"A21")</f>
        <v>0</v>
      </c>
      <c r="G584" s="652">
        <f>SUMIFS('Elimination - PL'!I:I,'Elimination - PL'!A:A,"EA21",'Elimination - PL'!D:D,'Standalone TB'!B584)</f>
        <v>0</v>
      </c>
      <c r="H584" s="652">
        <f t="shared" si="71"/>
        <v>0</v>
      </c>
      <c r="I584" s="652">
        <v>0</v>
      </c>
      <c r="J584" s="684">
        <v>0</v>
      </c>
      <c r="K584" s="652">
        <f>SUMIFS(OBE!$H:$H,OBE!$C:$C,'Standalone TB'!$B584,OBE!$B:$B,"A22")</f>
        <v>0</v>
      </c>
      <c r="L584" s="652">
        <f>SUMIFS('Elimination - PL'!I:I,'Elimination - PL'!A:A,"EA22",'Elimination - PL'!D:D,'Standalone TB'!B584)</f>
        <v>0</v>
      </c>
      <c r="M584" s="652">
        <f t="shared" si="64"/>
        <v>0</v>
      </c>
      <c r="N584" s="652">
        <f t="shared" si="72"/>
        <v>0</v>
      </c>
      <c r="O584" s="652">
        <v>0</v>
      </c>
      <c r="P584" s="685">
        <v>0</v>
      </c>
      <c r="Q584" s="684">
        <v>0</v>
      </c>
      <c r="R584" s="652">
        <f>SUMIFS(OBE!$H:$H,OBE!$C:$C,'Standalone TB'!$B584,OBE!$B:$B,"A20")</f>
        <v>0</v>
      </c>
      <c r="S584" s="652">
        <f>SUMIFS('Elimination - PL'!I:I,'Elimination - PL'!A:A,"EA20",'Elimination - PL'!D:D,'Standalone TB'!B584)</f>
        <v>0</v>
      </c>
      <c r="T584" s="652">
        <f t="shared" si="65"/>
        <v>0</v>
      </c>
      <c r="U584" s="652">
        <f t="shared" si="73"/>
        <v>0</v>
      </c>
      <c r="V584" s="652">
        <v>0</v>
      </c>
      <c r="W584" s="685">
        <v>0</v>
      </c>
      <c r="X584" s="689">
        <f t="shared" ref="X584:X623" si="74">H584+N584+U584</f>
        <v>0</v>
      </c>
      <c r="Y584" s="689">
        <f t="shared" si="67"/>
        <v>0</v>
      </c>
      <c r="Z584" s="652" t="s">
        <v>792</v>
      </c>
      <c r="AA584" s="666" t="s">
        <v>152</v>
      </c>
      <c r="AB584" s="666" t="s">
        <v>2644</v>
      </c>
      <c r="AD584" s="665"/>
    </row>
    <row r="585" spans="2:30" hidden="1" x14ac:dyDescent="0.2">
      <c r="B585" s="673" t="s">
        <v>2745</v>
      </c>
      <c r="C585" s="666" t="s">
        <v>2746</v>
      </c>
      <c r="D585" s="666" t="s">
        <v>670</v>
      </c>
      <c r="E585" s="684">
        <v>0</v>
      </c>
      <c r="F585" s="652">
        <f>SUMIFS(OBE!$H:$H,OBE!$C:$C,'Standalone TB'!$B585,OBE!$B:$B,"A21")</f>
        <v>0</v>
      </c>
      <c r="G585" s="652">
        <f>SUMIFS('Elimination - PL'!I:I,'Elimination - PL'!A:A,"EA21",'Elimination - PL'!D:D,'Standalone TB'!B585)</f>
        <v>0</v>
      </c>
      <c r="H585" s="652">
        <f t="shared" si="71"/>
        <v>0</v>
      </c>
      <c r="I585" s="652">
        <v>0</v>
      </c>
      <c r="J585" s="684">
        <v>0</v>
      </c>
      <c r="K585" s="652">
        <f>SUMIFS(OBE!$H:$H,OBE!$C:$C,'Standalone TB'!$B585,OBE!$B:$B,"A22")</f>
        <v>0</v>
      </c>
      <c r="L585" s="652">
        <f>SUMIFS('Elimination - PL'!I:I,'Elimination - PL'!A:A,"EA22",'Elimination - PL'!D:D,'Standalone TB'!B585)</f>
        <v>0</v>
      </c>
      <c r="M585" s="652">
        <f t="shared" si="64"/>
        <v>0</v>
      </c>
      <c r="N585" s="652">
        <f t="shared" si="72"/>
        <v>0</v>
      </c>
      <c r="O585" s="652">
        <v>0</v>
      </c>
      <c r="P585" s="685">
        <v>0</v>
      </c>
      <c r="Q585" s="684">
        <v>0</v>
      </c>
      <c r="R585" s="652">
        <f>SUMIFS(OBE!$H:$H,OBE!$C:$C,'Standalone TB'!$B585,OBE!$B:$B,"A20")</f>
        <v>0</v>
      </c>
      <c r="S585" s="652">
        <f>SUMIFS('Elimination - PL'!I:I,'Elimination - PL'!A:A,"EA20",'Elimination - PL'!D:D,'Standalone TB'!B585)</f>
        <v>0</v>
      </c>
      <c r="T585" s="652">
        <f t="shared" si="65"/>
        <v>0</v>
      </c>
      <c r="U585" s="652">
        <f t="shared" si="73"/>
        <v>0</v>
      </c>
      <c r="V585" s="652">
        <v>0</v>
      </c>
      <c r="W585" s="685">
        <v>0</v>
      </c>
      <c r="X585" s="689">
        <f t="shared" si="74"/>
        <v>0</v>
      </c>
      <c r="Y585" s="689">
        <f t="shared" si="67"/>
        <v>0</v>
      </c>
      <c r="Z585" s="652" t="s">
        <v>792</v>
      </c>
      <c r="AA585" s="666" t="s">
        <v>152</v>
      </c>
      <c r="AB585" s="666" t="s">
        <v>2644</v>
      </c>
      <c r="AD585" s="665"/>
    </row>
    <row r="586" spans="2:30" hidden="1" x14ac:dyDescent="0.2">
      <c r="B586" s="673" t="s">
        <v>2747</v>
      </c>
      <c r="C586" s="666" t="s">
        <v>2748</v>
      </c>
      <c r="D586" s="666" t="s">
        <v>670</v>
      </c>
      <c r="E586" s="684">
        <v>23349</v>
      </c>
      <c r="F586" s="652">
        <f>SUMIFS(OBE!$H:$H,OBE!$C:$C,'Standalone TB'!$B586,OBE!$B:$B,"A21")</f>
        <v>0</v>
      </c>
      <c r="G586" s="652">
        <f>SUMIFS('Elimination - PL'!I:I,'Elimination - PL'!A:A,"EA21",'Elimination - PL'!D:D,'Standalone TB'!B586)</f>
        <v>0</v>
      </c>
      <c r="H586" s="652">
        <f t="shared" si="71"/>
        <v>23349</v>
      </c>
      <c r="I586" s="652">
        <v>0</v>
      </c>
      <c r="J586" s="684">
        <v>0</v>
      </c>
      <c r="K586" s="652">
        <f>SUMIFS(OBE!$H:$H,OBE!$C:$C,'Standalone TB'!$B586,OBE!$B:$B,"A22")</f>
        <v>0</v>
      </c>
      <c r="L586" s="652">
        <f>SUMIFS('Elimination - PL'!I:I,'Elimination - PL'!A:A,"EA22",'Elimination - PL'!D:D,'Standalone TB'!B586)</f>
        <v>0</v>
      </c>
      <c r="M586" s="652">
        <f t="shared" si="64"/>
        <v>0</v>
      </c>
      <c r="N586" s="652">
        <f t="shared" si="72"/>
        <v>0</v>
      </c>
      <c r="O586" s="652">
        <v>0</v>
      </c>
      <c r="P586" s="685">
        <v>0</v>
      </c>
      <c r="Q586" s="684">
        <v>0</v>
      </c>
      <c r="R586" s="652">
        <f>SUMIFS(OBE!$H:$H,OBE!$C:$C,'Standalone TB'!$B586,OBE!$B:$B,"A20")</f>
        <v>0</v>
      </c>
      <c r="S586" s="652">
        <f>SUMIFS('Elimination - PL'!I:I,'Elimination - PL'!A:A,"EA20",'Elimination - PL'!D:D,'Standalone TB'!B586)</f>
        <v>0</v>
      </c>
      <c r="T586" s="652">
        <f t="shared" si="65"/>
        <v>0</v>
      </c>
      <c r="U586" s="652">
        <f t="shared" si="73"/>
        <v>0</v>
      </c>
      <c r="V586" s="652">
        <v>0</v>
      </c>
      <c r="W586" s="685">
        <v>0</v>
      </c>
      <c r="X586" s="689">
        <f t="shared" si="74"/>
        <v>23349</v>
      </c>
      <c r="Y586" s="689">
        <f t="shared" si="67"/>
        <v>0</v>
      </c>
      <c r="Z586" s="652" t="s">
        <v>792</v>
      </c>
      <c r="AA586" s="666" t="s">
        <v>152</v>
      </c>
      <c r="AB586" s="666" t="s">
        <v>2644</v>
      </c>
      <c r="AD586" s="665"/>
    </row>
    <row r="587" spans="2:30" hidden="1" x14ac:dyDescent="0.2">
      <c r="B587" s="673" t="s">
        <v>2749</v>
      </c>
      <c r="C587" s="666" t="s">
        <v>2750</v>
      </c>
      <c r="D587" s="666" t="s">
        <v>670</v>
      </c>
      <c r="E587" s="684">
        <v>1990184</v>
      </c>
      <c r="F587" s="652">
        <f>SUMIFS(OBE!$H:$H,OBE!$C:$C,'Standalone TB'!$B587,OBE!$B:$B,"A21")</f>
        <v>0</v>
      </c>
      <c r="G587" s="652">
        <f>SUMIFS('Elimination - PL'!I:I,'Elimination - PL'!A:A,"EA21",'Elimination - PL'!D:D,'Standalone TB'!B587)</f>
        <v>0</v>
      </c>
      <c r="H587" s="652">
        <f t="shared" si="71"/>
        <v>1990184</v>
      </c>
      <c r="J587" s="684">
        <v>0</v>
      </c>
      <c r="K587" s="652">
        <f>SUMIFS(OBE!$H:$H,OBE!$C:$C,'Standalone TB'!$B587,OBE!$B:$B,"A22")</f>
        <v>0</v>
      </c>
      <c r="L587" s="652">
        <f>SUMIFS('Elimination - PL'!I:I,'Elimination - PL'!A:A,"EA22",'Elimination - PL'!D:D,'Standalone TB'!B587)</f>
        <v>0</v>
      </c>
      <c r="M587" s="652">
        <f t="shared" ref="M587:M623" si="75">SUM(J587:L587)</f>
        <v>0</v>
      </c>
      <c r="N587" s="652">
        <f t="shared" si="72"/>
        <v>0</v>
      </c>
      <c r="P587" s="685"/>
      <c r="Q587" s="684">
        <v>0</v>
      </c>
      <c r="R587" s="652">
        <f>SUMIFS(OBE!$H:$H,OBE!$C:$C,'Standalone TB'!$B587,OBE!$B:$B,"A20")</f>
        <v>0</v>
      </c>
      <c r="S587" s="652">
        <f>SUMIFS('Elimination - PL'!I:I,'Elimination - PL'!A:A,"EA20",'Elimination - PL'!D:D,'Standalone TB'!B587)</f>
        <v>0</v>
      </c>
      <c r="T587" s="652">
        <f t="shared" ref="T587:T623" si="76">SUM(Q587:S587)</f>
        <v>0</v>
      </c>
      <c r="U587" s="652">
        <f t="shared" si="73"/>
        <v>0</v>
      </c>
      <c r="W587" s="685"/>
      <c r="X587" s="689">
        <f t="shared" si="74"/>
        <v>1990184</v>
      </c>
      <c r="Y587" s="689">
        <f t="shared" ref="Y587:Y623" si="77">I587+P587+W587</f>
        <v>0</v>
      </c>
      <c r="Z587" s="652" t="s">
        <v>789</v>
      </c>
      <c r="AA587" s="666" t="s">
        <v>152</v>
      </c>
      <c r="AB587" s="666" t="s">
        <v>2644</v>
      </c>
      <c r="AD587" s="665"/>
    </row>
    <row r="588" spans="2:30" hidden="1" x14ac:dyDescent="0.2">
      <c r="B588" s="673" t="s">
        <v>1566</v>
      </c>
      <c r="C588" s="666" t="s">
        <v>1567</v>
      </c>
      <c r="D588" s="666" t="s">
        <v>670</v>
      </c>
      <c r="E588" s="684">
        <v>58877497</v>
      </c>
      <c r="F588" s="652">
        <f>SUMIFS(OBE!$H:$H,OBE!$C:$C,'Standalone TB'!$B588,OBE!$B:$B,"A21")</f>
        <v>-58877497</v>
      </c>
      <c r="G588" s="652">
        <f>SUMIFS('Elimination - PL'!I:I,'Elimination - PL'!A:A,"EA21",'Elimination - PL'!D:D,'Standalone TB'!B588)</f>
        <v>0</v>
      </c>
      <c r="H588" s="652">
        <f t="shared" si="71"/>
        <v>0</v>
      </c>
      <c r="J588" s="684">
        <v>0</v>
      </c>
      <c r="K588" s="652">
        <f>SUMIFS(OBE!$H:$H,OBE!$C:$C,'Standalone TB'!$B588,OBE!$B:$B,"A22")</f>
        <v>0</v>
      </c>
      <c r="L588" s="652">
        <f>SUMIFS('Elimination - PL'!I:I,'Elimination - PL'!A:A,"EA22",'Elimination - PL'!D:D,'Standalone TB'!B588)</f>
        <v>0</v>
      </c>
      <c r="M588" s="652">
        <f t="shared" si="75"/>
        <v>0</v>
      </c>
      <c r="N588" s="652">
        <f t="shared" si="72"/>
        <v>0</v>
      </c>
      <c r="P588" s="685"/>
      <c r="Q588" s="684">
        <v>0</v>
      </c>
      <c r="R588" s="652">
        <f>SUMIFS(OBE!$H:$H,OBE!$C:$C,'Standalone TB'!$B588,OBE!$B:$B,"A20")</f>
        <v>0</v>
      </c>
      <c r="S588" s="652">
        <f>SUMIFS('Elimination - PL'!I:I,'Elimination - PL'!A:A,"EA20",'Elimination - PL'!D:D,'Standalone TB'!B588)</f>
        <v>0</v>
      </c>
      <c r="T588" s="652">
        <f t="shared" si="76"/>
        <v>0</v>
      </c>
      <c r="U588" s="652">
        <f t="shared" si="73"/>
        <v>0</v>
      </c>
      <c r="W588" s="685"/>
      <c r="X588" s="689">
        <f t="shared" si="74"/>
        <v>0</v>
      </c>
      <c r="Y588" s="689">
        <f t="shared" si="77"/>
        <v>0</v>
      </c>
      <c r="Z588" s="652"/>
      <c r="AA588" s="666" t="s">
        <v>152</v>
      </c>
      <c r="AD588" s="665"/>
    </row>
    <row r="589" spans="2:30" hidden="1" x14ac:dyDescent="0.2">
      <c r="B589" s="673" t="s">
        <v>2751</v>
      </c>
      <c r="C589" s="666" t="s">
        <v>2752</v>
      </c>
      <c r="D589" s="666" t="s">
        <v>670</v>
      </c>
      <c r="E589" s="684">
        <v>0</v>
      </c>
      <c r="F589" s="652">
        <f>SUMIFS(OBE!$H:$H,OBE!$C:$C,'Standalone TB'!$B589,OBE!$B:$B,"A21")</f>
        <v>0</v>
      </c>
      <c r="G589" s="652">
        <f>SUMIFS('Elimination - PL'!I:I,'Elimination - PL'!A:A,"EA21",'Elimination - PL'!D:D,'Standalone TB'!B589)</f>
        <v>0</v>
      </c>
      <c r="H589" s="652">
        <f t="shared" si="71"/>
        <v>0</v>
      </c>
      <c r="I589" s="652">
        <v>0</v>
      </c>
      <c r="J589" s="684">
        <v>0</v>
      </c>
      <c r="K589" s="652">
        <f>SUMIFS(OBE!$H:$H,OBE!$C:$C,'Standalone TB'!$B589,OBE!$B:$B,"A22")</f>
        <v>0</v>
      </c>
      <c r="L589" s="652">
        <f>SUMIFS('Elimination - PL'!I:I,'Elimination - PL'!A:A,"EA22",'Elimination - PL'!D:D,'Standalone TB'!B589)</f>
        <v>0</v>
      </c>
      <c r="M589" s="652">
        <f t="shared" si="75"/>
        <v>0</v>
      </c>
      <c r="N589" s="652">
        <f t="shared" si="72"/>
        <v>0</v>
      </c>
      <c r="O589" s="652">
        <v>0</v>
      </c>
      <c r="P589" s="685">
        <v>0</v>
      </c>
      <c r="Q589" s="684">
        <v>0</v>
      </c>
      <c r="R589" s="652">
        <f>SUMIFS(OBE!$H:$H,OBE!$C:$C,'Standalone TB'!$B589,OBE!$B:$B,"A20")</f>
        <v>0</v>
      </c>
      <c r="S589" s="652">
        <f>SUMIFS('Elimination - PL'!I:I,'Elimination - PL'!A:A,"EA20",'Elimination - PL'!D:D,'Standalone TB'!B589)</f>
        <v>0</v>
      </c>
      <c r="T589" s="652">
        <f t="shared" si="76"/>
        <v>0</v>
      </c>
      <c r="U589" s="652">
        <f t="shared" si="73"/>
        <v>0</v>
      </c>
      <c r="V589" s="652">
        <v>0</v>
      </c>
      <c r="W589" s="685">
        <v>0</v>
      </c>
      <c r="X589" s="689">
        <f t="shared" si="74"/>
        <v>0</v>
      </c>
      <c r="Y589" s="689">
        <f t="shared" si="77"/>
        <v>0</v>
      </c>
      <c r="Z589" s="652" t="s">
        <v>792</v>
      </c>
      <c r="AA589" s="666" t="s">
        <v>152</v>
      </c>
      <c r="AB589" s="666" t="s">
        <v>2644</v>
      </c>
      <c r="AD589" s="665"/>
    </row>
    <row r="590" spans="2:30" hidden="1" x14ac:dyDescent="0.2">
      <c r="B590" s="673" t="s">
        <v>2753</v>
      </c>
      <c r="C590" s="666" t="s">
        <v>2752</v>
      </c>
      <c r="D590" s="666" t="s">
        <v>670</v>
      </c>
      <c r="E590" s="684">
        <v>0</v>
      </c>
      <c r="F590" s="652">
        <f>SUMIFS(OBE!$H:$H,OBE!$C:$C,'Standalone TB'!$B590,OBE!$B:$B,"A21")</f>
        <v>0</v>
      </c>
      <c r="G590" s="652">
        <f>SUMIFS('Elimination - PL'!I:I,'Elimination - PL'!A:A,"EA21",'Elimination - PL'!D:D,'Standalone TB'!B590)</f>
        <v>0</v>
      </c>
      <c r="H590" s="652">
        <f t="shared" si="71"/>
        <v>0</v>
      </c>
      <c r="I590" s="652">
        <v>0</v>
      </c>
      <c r="J590" s="684">
        <v>0</v>
      </c>
      <c r="K590" s="652">
        <f>SUMIFS(OBE!$H:$H,OBE!$C:$C,'Standalone TB'!$B590,OBE!$B:$B,"A22")</f>
        <v>0</v>
      </c>
      <c r="L590" s="652">
        <f>SUMIFS('Elimination - PL'!I:I,'Elimination - PL'!A:A,"EA22",'Elimination - PL'!D:D,'Standalone TB'!B590)</f>
        <v>0</v>
      </c>
      <c r="M590" s="652">
        <f t="shared" si="75"/>
        <v>0</v>
      </c>
      <c r="N590" s="652">
        <f t="shared" si="72"/>
        <v>0</v>
      </c>
      <c r="O590" s="652">
        <v>0</v>
      </c>
      <c r="P590" s="685">
        <v>0</v>
      </c>
      <c r="Q590" s="684">
        <v>0</v>
      </c>
      <c r="R590" s="652">
        <f>SUMIFS(OBE!$H:$H,OBE!$C:$C,'Standalone TB'!$B590,OBE!$B:$B,"A20")</f>
        <v>0</v>
      </c>
      <c r="S590" s="652">
        <f>SUMIFS('Elimination - PL'!I:I,'Elimination - PL'!A:A,"EA20",'Elimination - PL'!D:D,'Standalone TB'!B590)</f>
        <v>0</v>
      </c>
      <c r="T590" s="652">
        <f t="shared" si="76"/>
        <v>0</v>
      </c>
      <c r="U590" s="652">
        <f t="shared" si="73"/>
        <v>0</v>
      </c>
      <c r="V590" s="652">
        <v>0</v>
      </c>
      <c r="W590" s="685">
        <v>0</v>
      </c>
      <c r="X590" s="689">
        <f t="shared" si="74"/>
        <v>0</v>
      </c>
      <c r="Y590" s="689">
        <f t="shared" si="77"/>
        <v>0</v>
      </c>
      <c r="Z590" s="652" t="s">
        <v>792</v>
      </c>
      <c r="AA590" s="666" t="s">
        <v>152</v>
      </c>
      <c r="AB590" s="666" t="s">
        <v>2644</v>
      </c>
      <c r="AD590" s="665"/>
    </row>
    <row r="591" spans="2:30" hidden="1" x14ac:dyDescent="0.2">
      <c r="B591" s="673" t="s">
        <v>2754</v>
      </c>
      <c r="C591" s="666" t="s">
        <v>2755</v>
      </c>
      <c r="D591" s="666" t="s">
        <v>670</v>
      </c>
      <c r="E591" s="684">
        <v>599314.84</v>
      </c>
      <c r="F591" s="652">
        <f>SUMIFS(OBE!$H:$H,OBE!$C:$C,'Standalone TB'!$B591,OBE!$B:$B,"A21")</f>
        <v>0</v>
      </c>
      <c r="G591" s="652">
        <f>SUMIFS('Elimination - PL'!I:I,'Elimination - PL'!A:A,"EA21",'Elimination - PL'!D:D,'Standalone TB'!B591)</f>
        <v>0</v>
      </c>
      <c r="H591" s="652">
        <f t="shared" si="71"/>
        <v>599314.84</v>
      </c>
      <c r="I591" s="652">
        <v>941561.89999999991</v>
      </c>
      <c r="J591" s="684">
        <v>0</v>
      </c>
      <c r="K591" s="652">
        <f>SUMIFS(OBE!$H:$H,OBE!$C:$C,'Standalone TB'!$B591,OBE!$B:$B,"A22")</f>
        <v>0</v>
      </c>
      <c r="L591" s="652">
        <f>SUMIFS('Elimination - PL'!I:I,'Elimination - PL'!A:A,"EA22",'Elimination - PL'!D:D,'Standalone TB'!B591)</f>
        <v>0</v>
      </c>
      <c r="M591" s="652">
        <f t="shared" si="75"/>
        <v>0</v>
      </c>
      <c r="N591" s="652">
        <f t="shared" si="72"/>
        <v>0</v>
      </c>
      <c r="O591" s="652">
        <v>0</v>
      </c>
      <c r="P591" s="685">
        <v>0</v>
      </c>
      <c r="Q591" s="684">
        <v>0</v>
      </c>
      <c r="R591" s="652">
        <f>SUMIFS(OBE!$H:$H,OBE!$C:$C,'Standalone TB'!$B591,OBE!$B:$B,"A20")</f>
        <v>0</v>
      </c>
      <c r="S591" s="652">
        <f>SUMIFS('Elimination - PL'!I:I,'Elimination - PL'!A:A,"EA20",'Elimination - PL'!D:D,'Standalone TB'!B591)</f>
        <v>0</v>
      </c>
      <c r="T591" s="652">
        <f t="shared" si="76"/>
        <v>0</v>
      </c>
      <c r="U591" s="652">
        <f t="shared" si="73"/>
        <v>0</v>
      </c>
      <c r="V591" s="652">
        <v>0</v>
      </c>
      <c r="W591" s="685">
        <v>0</v>
      </c>
      <c r="X591" s="689">
        <f t="shared" si="74"/>
        <v>599314.84</v>
      </c>
      <c r="Y591" s="689">
        <f t="shared" si="77"/>
        <v>941561.89999999991</v>
      </c>
      <c r="Z591" s="652" t="s">
        <v>792</v>
      </c>
      <c r="AA591" s="666" t="s">
        <v>152</v>
      </c>
      <c r="AB591" s="666" t="s">
        <v>2644</v>
      </c>
      <c r="AD591" s="665"/>
    </row>
    <row r="592" spans="2:30" hidden="1" x14ac:dyDescent="0.2">
      <c r="B592" s="673" t="s">
        <v>2756</v>
      </c>
      <c r="C592" s="666" t="s">
        <v>2506</v>
      </c>
      <c r="D592" s="666" t="s">
        <v>670</v>
      </c>
      <c r="E592" s="684">
        <v>145736.6</v>
      </c>
      <c r="F592" s="652">
        <f>SUMIFS(OBE!$H:$H,OBE!$C:$C,'Standalone TB'!$B592,OBE!$B:$B,"A21")</f>
        <v>0</v>
      </c>
      <c r="G592" s="652">
        <f>SUMIFS('Elimination - PL'!I:I,'Elimination - PL'!A:A,"EA21",'Elimination - PL'!D:D,'Standalone TB'!B592)</f>
        <v>0</v>
      </c>
      <c r="H592" s="652">
        <f t="shared" si="71"/>
        <v>145736.6</v>
      </c>
      <c r="I592" s="652">
        <v>17892</v>
      </c>
      <c r="J592" s="684">
        <v>87656.510000000009</v>
      </c>
      <c r="K592" s="652">
        <f>SUMIFS(OBE!$H:$H,OBE!$C:$C,'Standalone TB'!$B592,OBE!$B:$B,"A22")</f>
        <v>0</v>
      </c>
      <c r="L592" s="652">
        <f>SUMIFS('Elimination - PL'!I:I,'Elimination - PL'!A:A,"EA22",'Elimination - PL'!D:D,'Standalone TB'!B592)</f>
        <v>0</v>
      </c>
      <c r="M592" s="652">
        <f t="shared" si="75"/>
        <v>87656.510000000009</v>
      </c>
      <c r="N592" s="652">
        <f t="shared" si="72"/>
        <v>2014659.6843545751</v>
      </c>
      <c r="O592" s="652">
        <v>77634.759999999995</v>
      </c>
      <c r="P592" s="685">
        <v>1749778.8017359998</v>
      </c>
      <c r="Q592" s="684">
        <v>0</v>
      </c>
      <c r="R592" s="652">
        <f>SUMIFS(OBE!$H:$H,OBE!$C:$C,'Standalone TB'!$B592,OBE!$B:$B,"A20")</f>
        <v>0</v>
      </c>
      <c r="S592" s="652">
        <f>SUMIFS('Elimination - PL'!I:I,'Elimination - PL'!A:A,"EA20",'Elimination - PL'!D:D,'Standalone TB'!B592)</f>
        <v>0</v>
      </c>
      <c r="T592" s="652">
        <f t="shared" si="76"/>
        <v>0</v>
      </c>
      <c r="U592" s="652">
        <f t="shared" si="73"/>
        <v>0</v>
      </c>
      <c r="V592" s="652">
        <v>0</v>
      </c>
      <c r="W592" s="685">
        <v>0</v>
      </c>
      <c r="X592" s="689">
        <f t="shared" si="74"/>
        <v>2160396.284354575</v>
      </c>
      <c r="Y592" s="689">
        <f t="shared" si="77"/>
        <v>1767670.8017359998</v>
      </c>
      <c r="Z592" s="652" t="s">
        <v>828</v>
      </c>
      <c r="AA592" s="666" t="s">
        <v>152</v>
      </c>
      <c r="AB592" s="666" t="s">
        <v>158</v>
      </c>
      <c r="AD592" s="665"/>
    </row>
    <row r="593" spans="2:30" hidden="1" x14ac:dyDescent="0.2">
      <c r="B593" s="673" t="s">
        <v>1656</v>
      </c>
      <c r="C593" s="666" t="s">
        <v>2757</v>
      </c>
      <c r="D593" s="666" t="s">
        <v>670</v>
      </c>
      <c r="E593" s="684">
        <v>0</v>
      </c>
      <c r="F593" s="652">
        <f>SUMIFS(OBE!$H:$H,OBE!$C:$C,'Standalone TB'!$B593,OBE!$B:$B,"A21")</f>
        <v>461.03611223229927</v>
      </c>
      <c r="G593" s="652">
        <f>SUMIFS('Elimination - PL'!I:I,'Elimination - PL'!A:A,"EA21",'Elimination - PL'!D:D,'Standalone TB'!B593)</f>
        <v>0</v>
      </c>
      <c r="H593" s="652">
        <f t="shared" si="71"/>
        <v>461.03611223229927</v>
      </c>
      <c r="I593" s="652">
        <v>40589</v>
      </c>
      <c r="J593" s="684">
        <v>0</v>
      </c>
      <c r="K593" s="652">
        <f>SUMIFS(OBE!$H:$H,OBE!$C:$C,'Standalone TB'!$B593,OBE!$B:$B,"A22")</f>
        <v>0</v>
      </c>
      <c r="L593" s="652">
        <f>SUMIFS('Elimination - PL'!I:I,'Elimination - PL'!A:A,"EA22",'Elimination - PL'!D:D,'Standalone TB'!B593)</f>
        <v>0</v>
      </c>
      <c r="M593" s="652">
        <f t="shared" si="75"/>
        <v>0</v>
      </c>
      <c r="N593" s="652">
        <f t="shared" si="72"/>
        <v>0</v>
      </c>
      <c r="O593" s="652">
        <v>0</v>
      </c>
      <c r="P593" s="685">
        <v>0</v>
      </c>
      <c r="Q593" s="684">
        <v>0</v>
      </c>
      <c r="R593" s="652">
        <f>SUMIFS(OBE!$H:$H,OBE!$C:$C,'Standalone TB'!$B593,OBE!$B:$B,"A20")</f>
        <v>0</v>
      </c>
      <c r="S593" s="652">
        <f>SUMIFS('Elimination - PL'!I:I,'Elimination - PL'!A:A,"EA20",'Elimination - PL'!D:D,'Standalone TB'!B593)</f>
        <v>0</v>
      </c>
      <c r="T593" s="652">
        <f t="shared" si="76"/>
        <v>0</v>
      </c>
      <c r="U593" s="652">
        <f t="shared" si="73"/>
        <v>0</v>
      </c>
      <c r="V593" s="652">
        <v>0</v>
      </c>
      <c r="W593" s="685">
        <v>0</v>
      </c>
      <c r="X593" s="689">
        <f t="shared" si="74"/>
        <v>461.03611223229927</v>
      </c>
      <c r="Y593" s="689">
        <f t="shared" si="77"/>
        <v>40589</v>
      </c>
      <c r="Z593" s="652" t="s">
        <v>797</v>
      </c>
      <c r="AA593" s="666" t="s">
        <v>152</v>
      </c>
      <c r="AB593" s="666" t="s">
        <v>2349</v>
      </c>
      <c r="AD593" s="665"/>
    </row>
    <row r="594" spans="2:30" hidden="1" x14ac:dyDescent="0.2">
      <c r="B594" s="673" t="s">
        <v>2758</v>
      </c>
      <c r="C594" s="666" t="s">
        <v>2759</v>
      </c>
      <c r="D594" s="666" t="s">
        <v>670</v>
      </c>
      <c r="E594" s="684">
        <v>1272619.5599999998</v>
      </c>
      <c r="F594" s="652">
        <f>SUMIFS(OBE!$H:$H,OBE!$C:$C,'Standalone TB'!$B594,OBE!$B:$B,"A21")</f>
        <v>0</v>
      </c>
      <c r="G594" s="652">
        <f>SUMIFS('Elimination - PL'!I:I,'Elimination - PL'!A:A,"EA21",'Elimination - PL'!D:D,'Standalone TB'!B594)</f>
        <v>0</v>
      </c>
      <c r="H594" s="652">
        <f t="shared" si="71"/>
        <v>1272619.5599999998</v>
      </c>
      <c r="I594" s="652">
        <v>1239382.6600000001</v>
      </c>
      <c r="J594" s="684">
        <v>10780.900000000001</v>
      </c>
      <c r="K594" s="652">
        <f>SUMIFS(OBE!$H:$H,OBE!$C:$C,'Standalone TB'!$B594,OBE!$B:$B,"A22")</f>
        <v>0</v>
      </c>
      <c r="L594" s="652">
        <f>SUMIFS('Elimination - PL'!I:I,'Elimination - PL'!A:A,"EA22",'Elimination - PL'!D:D,'Standalone TB'!B594)</f>
        <v>0</v>
      </c>
      <c r="M594" s="652">
        <f t="shared" si="75"/>
        <v>10780.900000000001</v>
      </c>
      <c r="N594" s="652">
        <f t="shared" si="72"/>
        <v>247783.58836164296</v>
      </c>
      <c r="O594" s="652">
        <v>7070.36</v>
      </c>
      <c r="P594" s="685">
        <v>159356.015896</v>
      </c>
      <c r="Q594" s="684">
        <v>0</v>
      </c>
      <c r="R594" s="652">
        <f>SUMIFS(OBE!$H:$H,OBE!$C:$C,'Standalone TB'!$B594,OBE!$B:$B,"A20")</f>
        <v>0</v>
      </c>
      <c r="S594" s="652">
        <f>SUMIFS('Elimination - PL'!I:I,'Elimination - PL'!A:A,"EA20",'Elimination - PL'!D:D,'Standalone TB'!B594)</f>
        <v>0</v>
      </c>
      <c r="T594" s="652">
        <f t="shared" si="76"/>
        <v>0</v>
      </c>
      <c r="U594" s="652">
        <f t="shared" si="73"/>
        <v>0</v>
      </c>
      <c r="V594" s="652">
        <v>0</v>
      </c>
      <c r="W594" s="685">
        <v>0</v>
      </c>
      <c r="X594" s="689">
        <f t="shared" si="74"/>
        <v>1520403.1483616428</v>
      </c>
      <c r="Y594" s="689">
        <f t="shared" si="77"/>
        <v>1398738.6758960001</v>
      </c>
      <c r="Z594" s="652" t="s">
        <v>793</v>
      </c>
      <c r="AA594" s="666" t="s">
        <v>152</v>
      </c>
      <c r="AB594" s="666" t="s">
        <v>2349</v>
      </c>
      <c r="AD594" s="665"/>
    </row>
    <row r="595" spans="2:30" hidden="1" x14ac:dyDescent="0.2">
      <c r="B595" s="673" t="s">
        <v>2760</v>
      </c>
      <c r="C595" s="666" t="s">
        <v>2761</v>
      </c>
      <c r="D595" s="666" t="s">
        <v>670</v>
      </c>
      <c r="E595" s="684">
        <v>0</v>
      </c>
      <c r="F595" s="652">
        <f>SUMIFS(OBE!$H:$H,OBE!$C:$C,'Standalone TB'!$B595,OBE!$B:$B,"A21")</f>
        <v>0</v>
      </c>
      <c r="G595" s="652">
        <f>SUMIFS('Elimination - PL'!I:I,'Elimination - PL'!A:A,"EA21",'Elimination - PL'!D:D,'Standalone TB'!B595)</f>
        <v>0</v>
      </c>
      <c r="H595" s="652">
        <f t="shared" si="71"/>
        <v>0</v>
      </c>
      <c r="I595" s="652">
        <v>0</v>
      </c>
      <c r="J595" s="684">
        <v>0</v>
      </c>
      <c r="K595" s="652">
        <f>SUMIFS(OBE!$H:$H,OBE!$C:$C,'Standalone TB'!$B595,OBE!$B:$B,"A22")</f>
        <v>0</v>
      </c>
      <c r="L595" s="652">
        <f>SUMIFS('Elimination - PL'!I:I,'Elimination - PL'!A:A,"EA22",'Elimination - PL'!D:D,'Standalone TB'!B595)</f>
        <v>0</v>
      </c>
      <c r="M595" s="652">
        <f t="shared" si="75"/>
        <v>0</v>
      </c>
      <c r="N595" s="652">
        <f t="shared" si="72"/>
        <v>0</v>
      </c>
      <c r="O595" s="652">
        <v>0</v>
      </c>
      <c r="P595" s="685">
        <v>0</v>
      </c>
      <c r="Q595" s="684">
        <v>3559.09</v>
      </c>
      <c r="R595" s="652">
        <f>SUMIFS(OBE!$H:$H,OBE!$C:$C,'Standalone TB'!$B595,OBE!$B:$B,"A20")</f>
        <v>0</v>
      </c>
      <c r="S595" s="652">
        <f>SUMIFS('Elimination - PL'!I:I,'Elimination - PL'!A:A,"EA20",'Elimination - PL'!D:D,'Standalone TB'!B595)</f>
        <v>0</v>
      </c>
      <c r="T595" s="652">
        <f t="shared" si="76"/>
        <v>3559.09</v>
      </c>
      <c r="U595" s="652">
        <f t="shared" si="73"/>
        <v>300464.63723702007</v>
      </c>
      <c r="V595" s="652">
        <v>3356.75</v>
      </c>
      <c r="W595" s="685">
        <v>277919.43085</v>
      </c>
      <c r="X595" s="689">
        <f t="shared" si="74"/>
        <v>300464.63723702007</v>
      </c>
      <c r="Y595" s="689">
        <f t="shared" si="77"/>
        <v>277919.43085</v>
      </c>
      <c r="Z595" s="652" t="s">
        <v>793</v>
      </c>
      <c r="AA595" s="666" t="s">
        <v>152</v>
      </c>
      <c r="AB595" s="666" t="s">
        <v>2349</v>
      </c>
      <c r="AD595" s="665"/>
    </row>
    <row r="596" spans="2:30" hidden="1" x14ac:dyDescent="0.2">
      <c r="B596" s="673" t="s">
        <v>2762</v>
      </c>
      <c r="C596" s="666" t="s">
        <v>2763</v>
      </c>
      <c r="D596" s="666" t="s">
        <v>670</v>
      </c>
      <c r="E596" s="684">
        <v>421883</v>
      </c>
      <c r="F596" s="652">
        <f>SUMIFS(OBE!$H:$H,OBE!$C:$C,'Standalone TB'!$B596,OBE!$B:$B,"A21")</f>
        <v>0</v>
      </c>
      <c r="G596" s="652">
        <f>SUMIFS('Elimination - PL'!I:I,'Elimination - PL'!A:A,"EA21",'Elimination - PL'!D:D,'Standalone TB'!B596)</f>
        <v>0</v>
      </c>
      <c r="H596" s="652">
        <f t="shared" si="71"/>
        <v>421883</v>
      </c>
      <c r="I596" s="652">
        <v>3000</v>
      </c>
      <c r="J596" s="684">
        <v>0</v>
      </c>
      <c r="K596" s="652">
        <f>SUMIFS(OBE!$H:$H,OBE!$C:$C,'Standalone TB'!$B596,OBE!$B:$B,"A22")</f>
        <v>0</v>
      </c>
      <c r="L596" s="652">
        <f>SUMIFS('Elimination - PL'!I:I,'Elimination - PL'!A:A,"EA22",'Elimination - PL'!D:D,'Standalone TB'!B596)</f>
        <v>0</v>
      </c>
      <c r="M596" s="652">
        <f t="shared" si="75"/>
        <v>0</v>
      </c>
      <c r="N596" s="652">
        <f t="shared" si="72"/>
        <v>0</v>
      </c>
      <c r="O596" s="652">
        <v>0</v>
      </c>
      <c r="P596" s="685">
        <v>0</v>
      </c>
      <c r="Q596" s="684">
        <v>0</v>
      </c>
      <c r="R596" s="652">
        <f>SUMIFS(OBE!$H:$H,OBE!$C:$C,'Standalone TB'!$B596,OBE!$B:$B,"A20")</f>
        <v>0</v>
      </c>
      <c r="S596" s="652">
        <f>SUMIFS('Elimination - PL'!I:I,'Elimination - PL'!A:A,"EA20",'Elimination - PL'!D:D,'Standalone TB'!B596)</f>
        <v>0</v>
      </c>
      <c r="T596" s="652">
        <f t="shared" si="76"/>
        <v>0</v>
      </c>
      <c r="U596" s="652">
        <f t="shared" si="73"/>
        <v>0</v>
      </c>
      <c r="V596" s="652">
        <v>0</v>
      </c>
      <c r="W596" s="685">
        <v>0</v>
      </c>
      <c r="X596" s="689">
        <f t="shared" si="74"/>
        <v>421883</v>
      </c>
      <c r="Y596" s="689">
        <f t="shared" si="77"/>
        <v>3000</v>
      </c>
      <c r="Z596" s="652" t="s">
        <v>800</v>
      </c>
      <c r="AA596" s="666" t="s">
        <v>152</v>
      </c>
      <c r="AB596" s="666" t="s">
        <v>2349</v>
      </c>
      <c r="AD596" s="652" t="s">
        <v>2764</v>
      </c>
    </row>
    <row r="597" spans="2:30" hidden="1" x14ac:dyDescent="0.2">
      <c r="B597" s="673" t="s">
        <v>2765</v>
      </c>
      <c r="C597" s="666" t="s">
        <v>2766</v>
      </c>
      <c r="D597" s="666" t="s">
        <v>670</v>
      </c>
      <c r="E597" s="684">
        <v>468972.61</v>
      </c>
      <c r="F597" s="652">
        <f>SUMIFS(OBE!$H:$H,OBE!$C:$C,'Standalone TB'!$B597,OBE!$B:$B,"A21")</f>
        <v>129440</v>
      </c>
      <c r="G597" s="652">
        <f>SUMIFS('Elimination - PL'!I:I,'Elimination - PL'!A:A,"EA21",'Elimination - PL'!D:D,'Standalone TB'!B597)</f>
        <v>0</v>
      </c>
      <c r="H597" s="652">
        <f t="shared" si="71"/>
        <v>598412.61</v>
      </c>
      <c r="I597" s="652">
        <v>48973</v>
      </c>
      <c r="J597" s="684">
        <v>0</v>
      </c>
      <c r="K597" s="652">
        <f>SUMIFS(OBE!$H:$H,OBE!$C:$C,'Standalone TB'!$B597,OBE!$B:$B,"A22")</f>
        <v>0</v>
      </c>
      <c r="L597" s="652">
        <f>SUMIFS('Elimination - PL'!I:I,'Elimination - PL'!A:A,"EA22",'Elimination - PL'!D:D,'Standalone TB'!B597)</f>
        <v>0</v>
      </c>
      <c r="M597" s="652">
        <f t="shared" si="75"/>
        <v>0</v>
      </c>
      <c r="N597" s="652">
        <f t="shared" si="72"/>
        <v>0</v>
      </c>
      <c r="O597" s="652">
        <v>0</v>
      </c>
      <c r="P597" s="685">
        <v>0</v>
      </c>
      <c r="Q597" s="684">
        <v>4400.76</v>
      </c>
      <c r="R597" s="652">
        <f>SUMIFS(OBE!$H:$H,OBE!$C:$C,'Standalone TB'!$B597,OBE!$B:$B,"A20")</f>
        <v>0</v>
      </c>
      <c r="S597" s="652">
        <f>SUMIFS('Elimination - PL'!I:I,'Elimination - PL'!A:A,"EA20",'Elimination - PL'!D:D,'Standalone TB'!B597)</f>
        <v>0</v>
      </c>
      <c r="T597" s="652">
        <f t="shared" si="76"/>
        <v>4400.76</v>
      </c>
      <c r="U597" s="652">
        <f t="shared" si="73"/>
        <v>371519.89889752393</v>
      </c>
      <c r="V597" s="652">
        <v>7259</v>
      </c>
      <c r="W597" s="685">
        <v>601003.09779999999</v>
      </c>
      <c r="X597" s="689">
        <f t="shared" si="74"/>
        <v>969932.50889752386</v>
      </c>
      <c r="Y597" s="689">
        <f t="shared" si="77"/>
        <v>649976.09779999999</v>
      </c>
      <c r="Z597" s="652" t="s">
        <v>800</v>
      </c>
      <c r="AA597" s="666" t="s">
        <v>152</v>
      </c>
      <c r="AB597" s="666" t="s">
        <v>2349</v>
      </c>
      <c r="AD597" s="665"/>
    </row>
    <row r="598" spans="2:30" hidden="1" x14ac:dyDescent="0.2">
      <c r="B598" s="673" t="s">
        <v>2767</v>
      </c>
      <c r="C598" s="666" t="s">
        <v>2768</v>
      </c>
      <c r="D598" s="666" t="s">
        <v>670</v>
      </c>
      <c r="E598" s="684">
        <v>0</v>
      </c>
      <c r="F598" s="652">
        <f>SUMIFS(OBE!$H:$H,OBE!$C:$C,'Standalone TB'!$B598,OBE!$B:$B,"A21")</f>
        <v>0</v>
      </c>
      <c r="G598" s="652">
        <f>SUMIFS('Elimination - PL'!I:I,'Elimination - PL'!A:A,"EA21",'Elimination - PL'!D:D,'Standalone TB'!B598)</f>
        <v>0</v>
      </c>
      <c r="H598" s="652">
        <f t="shared" si="71"/>
        <v>0</v>
      </c>
      <c r="I598" s="652">
        <v>5000</v>
      </c>
      <c r="J598" s="684">
        <v>0</v>
      </c>
      <c r="K598" s="652">
        <f>SUMIFS(OBE!$H:$H,OBE!$C:$C,'Standalone TB'!$B598,OBE!$B:$B,"A22")</f>
        <v>0</v>
      </c>
      <c r="L598" s="652">
        <f>SUMIFS('Elimination - PL'!I:I,'Elimination - PL'!A:A,"EA22",'Elimination - PL'!D:D,'Standalone TB'!B598)</f>
        <v>0</v>
      </c>
      <c r="M598" s="652">
        <f t="shared" si="75"/>
        <v>0</v>
      </c>
      <c r="N598" s="652">
        <f t="shared" si="72"/>
        <v>0</v>
      </c>
      <c r="O598" s="652">
        <v>0</v>
      </c>
      <c r="P598" s="685">
        <v>0</v>
      </c>
      <c r="Q598" s="684">
        <v>1518.9899999999998</v>
      </c>
      <c r="R598" s="652">
        <f>SUMIFS(OBE!$H:$H,OBE!$C:$C,'Standalone TB'!$B598,OBE!$B:$B,"A20")</f>
        <v>0</v>
      </c>
      <c r="S598" s="652">
        <f>SUMIFS('Elimination - PL'!I:I,'Elimination - PL'!A:A,"EA20",'Elimination - PL'!D:D,'Standalone TB'!B598)</f>
        <v>0</v>
      </c>
      <c r="T598" s="652">
        <f t="shared" si="76"/>
        <v>1518.9899999999998</v>
      </c>
      <c r="U598" s="652">
        <f t="shared" si="73"/>
        <v>128235.80727564098</v>
      </c>
      <c r="V598" s="652">
        <v>13941</v>
      </c>
      <c r="W598" s="685">
        <v>1154233.9422000002</v>
      </c>
      <c r="X598" s="689">
        <f t="shared" si="74"/>
        <v>128235.80727564098</v>
      </c>
      <c r="Y598" s="689">
        <f t="shared" si="77"/>
        <v>1159233.9422000002</v>
      </c>
      <c r="Z598" s="652" t="s">
        <v>817</v>
      </c>
      <c r="AA598" s="666" t="s">
        <v>152</v>
      </c>
      <c r="AB598" s="666" t="s">
        <v>2314</v>
      </c>
      <c r="AD598" s="665"/>
    </row>
    <row r="599" spans="2:30" hidden="1" x14ac:dyDescent="0.2">
      <c r="B599" s="673" t="s">
        <v>2769</v>
      </c>
      <c r="C599" s="666" t="s">
        <v>2770</v>
      </c>
      <c r="D599" s="666" t="s">
        <v>670</v>
      </c>
      <c r="E599" s="684">
        <v>0</v>
      </c>
      <c r="F599" s="652">
        <f>SUMIFS(OBE!$H:$H,OBE!$C:$C,'Standalone TB'!$B599,OBE!$B:$B,"A21")</f>
        <v>0</v>
      </c>
      <c r="G599" s="652">
        <f>SUMIFS('Elimination - PL'!I:I,'Elimination - PL'!A:A,"EA21",'Elimination - PL'!D:D,'Standalone TB'!B599)</f>
        <v>0</v>
      </c>
      <c r="H599" s="652">
        <f t="shared" si="71"/>
        <v>0</v>
      </c>
      <c r="I599" s="652">
        <v>0</v>
      </c>
      <c r="J599" s="684">
        <v>0</v>
      </c>
      <c r="K599" s="652">
        <f>SUMIFS(OBE!$H:$H,OBE!$C:$C,'Standalone TB'!$B599,OBE!$B:$B,"A22")</f>
        <v>0</v>
      </c>
      <c r="L599" s="652">
        <f>SUMIFS('Elimination - PL'!I:I,'Elimination - PL'!A:A,"EA22",'Elimination - PL'!D:D,'Standalone TB'!B599)</f>
        <v>0</v>
      </c>
      <c r="M599" s="652">
        <f t="shared" si="75"/>
        <v>0</v>
      </c>
      <c r="N599" s="652">
        <f t="shared" si="72"/>
        <v>0</v>
      </c>
      <c r="O599" s="652">
        <v>0</v>
      </c>
      <c r="P599" s="685">
        <v>0</v>
      </c>
      <c r="Q599" s="684">
        <v>60.12</v>
      </c>
      <c r="R599" s="652">
        <f>SUMIFS(OBE!$H:$H,OBE!$C:$C,'Standalone TB'!$B599,OBE!$B:$B,"A20")</f>
        <v>0</v>
      </c>
      <c r="S599" s="652">
        <f>SUMIFS('Elimination - PL'!I:I,'Elimination - PL'!A:A,"EA20",'Elimination - PL'!D:D,'Standalone TB'!B599)</f>
        <v>0</v>
      </c>
      <c r="T599" s="652">
        <f t="shared" si="76"/>
        <v>60.12</v>
      </c>
      <c r="U599" s="652">
        <f t="shared" si="73"/>
        <v>5075.4361341493604</v>
      </c>
      <c r="V599" s="652">
        <v>91.28</v>
      </c>
      <c r="W599" s="685">
        <v>7557.4545760000001</v>
      </c>
      <c r="X599" s="689">
        <f t="shared" si="74"/>
        <v>5075.4361341493604</v>
      </c>
      <c r="Y599" s="689">
        <f t="shared" si="77"/>
        <v>7557.4545760000001</v>
      </c>
      <c r="Z599" s="652" t="s">
        <v>817</v>
      </c>
      <c r="AA599" s="666" t="s">
        <v>152</v>
      </c>
      <c r="AB599" s="666" t="s">
        <v>2314</v>
      </c>
      <c r="AD599" s="665"/>
    </row>
    <row r="600" spans="2:30" hidden="1" x14ac:dyDescent="0.2">
      <c r="B600" s="673" t="s">
        <v>2771</v>
      </c>
      <c r="C600" s="666" t="s">
        <v>2772</v>
      </c>
      <c r="D600" s="666" t="s">
        <v>670</v>
      </c>
      <c r="E600" s="684">
        <v>7766695</v>
      </c>
      <c r="F600" s="652">
        <f>SUMIFS(OBE!$H:$H,OBE!$C:$C,'Standalone TB'!$B600,OBE!$B:$B,"A21")</f>
        <v>0</v>
      </c>
      <c r="G600" s="652">
        <f>SUMIFS('Elimination - PL'!I:I,'Elimination - PL'!A:A,"EA21",'Elimination - PL'!D:D,'Standalone TB'!B600)</f>
        <v>0</v>
      </c>
      <c r="H600" s="652">
        <f t="shared" si="71"/>
        <v>7766695</v>
      </c>
      <c r="I600" s="652">
        <v>-22515439</v>
      </c>
      <c r="J600" s="684">
        <v>0</v>
      </c>
      <c r="K600" s="652">
        <f>SUMIFS(OBE!$H:$H,OBE!$C:$C,'Standalone TB'!$B600,OBE!$B:$B,"A22")</f>
        <v>0</v>
      </c>
      <c r="L600" s="652">
        <f>SUMIFS('Elimination - PL'!I:I,'Elimination - PL'!A:A,"EA22",'Elimination - PL'!D:D,'Standalone TB'!B600)</f>
        <v>0</v>
      </c>
      <c r="M600" s="652">
        <f t="shared" si="75"/>
        <v>0</v>
      </c>
      <c r="N600" s="652">
        <f t="shared" si="72"/>
        <v>0</v>
      </c>
      <c r="O600" s="652">
        <v>0</v>
      </c>
      <c r="P600" s="685">
        <v>0</v>
      </c>
      <c r="Q600" s="684">
        <v>0</v>
      </c>
      <c r="R600" s="652">
        <f>SUMIFS(OBE!$H:$H,OBE!$C:$C,'Standalone TB'!$B600,OBE!$B:$B,"A20")</f>
        <v>0</v>
      </c>
      <c r="S600" s="652">
        <f>SUMIFS('Elimination - PL'!I:I,'Elimination - PL'!A:A,"EA20",'Elimination - PL'!D:D,'Standalone TB'!B600)</f>
        <v>0</v>
      </c>
      <c r="T600" s="652">
        <f t="shared" si="76"/>
        <v>0</v>
      </c>
      <c r="U600" s="652">
        <f t="shared" si="73"/>
        <v>0</v>
      </c>
      <c r="V600" s="652">
        <v>0</v>
      </c>
      <c r="W600" s="685">
        <v>0</v>
      </c>
      <c r="X600" s="689">
        <f t="shared" si="74"/>
        <v>7766695</v>
      </c>
      <c r="Y600" s="689">
        <f t="shared" si="77"/>
        <v>-22515439</v>
      </c>
      <c r="Z600" s="652" t="s">
        <v>763</v>
      </c>
      <c r="AA600" s="652" t="s">
        <v>2266</v>
      </c>
      <c r="AB600" s="666" t="s">
        <v>150</v>
      </c>
      <c r="AD600" s="665"/>
    </row>
    <row r="601" spans="2:30" hidden="1" x14ac:dyDescent="0.2">
      <c r="B601" s="673" t="s">
        <v>2773</v>
      </c>
      <c r="C601" s="666" t="s">
        <v>2774</v>
      </c>
      <c r="D601" s="666" t="s">
        <v>670</v>
      </c>
      <c r="E601" s="684">
        <v>0</v>
      </c>
      <c r="F601" s="652">
        <f>SUMIFS(OBE!$H:$H,OBE!$C:$C,'Standalone TB'!$B601,OBE!$B:$B,"A21")</f>
        <v>0</v>
      </c>
      <c r="G601" s="652">
        <f>SUMIFS('Elimination - PL'!I:I,'Elimination - PL'!A:A,"EA21",'Elimination - PL'!D:D,'Standalone TB'!B601)</f>
        <v>0</v>
      </c>
      <c r="H601" s="652">
        <f t="shared" si="71"/>
        <v>0</v>
      </c>
      <c r="I601" s="652">
        <v>0</v>
      </c>
      <c r="J601" s="684">
        <v>0</v>
      </c>
      <c r="K601" s="652">
        <f>SUMIFS(OBE!$H:$H,OBE!$C:$C,'Standalone TB'!$B601,OBE!$B:$B,"A22")</f>
        <v>0</v>
      </c>
      <c r="L601" s="652">
        <f>SUMIFS('Elimination - PL'!I:I,'Elimination - PL'!A:A,"EA22",'Elimination - PL'!D:D,'Standalone TB'!B601)</f>
        <v>0</v>
      </c>
      <c r="M601" s="652">
        <f t="shared" si="75"/>
        <v>0</v>
      </c>
      <c r="N601" s="652">
        <f t="shared" si="72"/>
        <v>0</v>
      </c>
      <c r="O601" s="652">
        <v>0</v>
      </c>
      <c r="P601" s="685">
        <v>0</v>
      </c>
      <c r="Q601" s="684">
        <v>0</v>
      </c>
      <c r="R601" s="652">
        <f>SUMIFS(OBE!$H:$H,OBE!$C:$C,'Standalone TB'!$B601,OBE!$B:$B,"A20")</f>
        <v>0</v>
      </c>
      <c r="S601" s="652">
        <f>SUMIFS('Elimination - PL'!I:I,'Elimination - PL'!A:A,"EA20",'Elimination - PL'!D:D,'Standalone TB'!B601)</f>
        <v>0</v>
      </c>
      <c r="T601" s="652">
        <f t="shared" si="76"/>
        <v>0</v>
      </c>
      <c r="U601" s="652">
        <f t="shared" si="73"/>
        <v>0</v>
      </c>
      <c r="V601" s="652">
        <v>0</v>
      </c>
      <c r="W601" s="685">
        <v>0</v>
      </c>
      <c r="X601" s="689">
        <f t="shared" si="74"/>
        <v>0</v>
      </c>
      <c r="Y601" s="689">
        <f t="shared" si="77"/>
        <v>0</v>
      </c>
      <c r="Z601" s="652"/>
      <c r="AA601" s="652" t="s">
        <v>2266</v>
      </c>
      <c r="AB601" s="666" t="s">
        <v>150</v>
      </c>
      <c r="AD601" s="665"/>
    </row>
    <row r="602" spans="2:30" hidden="1" x14ac:dyDescent="0.2">
      <c r="B602" s="673" t="s">
        <v>1615</v>
      </c>
      <c r="C602" s="666" t="s">
        <v>770</v>
      </c>
      <c r="D602" s="666" t="s">
        <v>670</v>
      </c>
      <c r="E602" s="684">
        <v>0</v>
      </c>
      <c r="F602" s="652">
        <f>SUMIFS(OBE!$H:$H,OBE!$C:$C,'Standalone TB'!$B602,OBE!$B:$B,"A21")</f>
        <v>-2746032.9881389299</v>
      </c>
      <c r="G602" s="652">
        <f>SUMIFS('Elimination - PL'!I:I,'Elimination - PL'!A:A,"EA21",'Elimination - PL'!D:D,'Standalone TB'!B602)</f>
        <v>0</v>
      </c>
      <c r="H602" s="652">
        <f t="shared" si="71"/>
        <v>-2746032.9881389299</v>
      </c>
      <c r="I602" s="652">
        <v>-2008208.6119738601</v>
      </c>
      <c r="J602" s="684">
        <v>0</v>
      </c>
      <c r="K602" s="652">
        <f>SUMIFS(OBE!$H:$H,OBE!$C:$C,'Standalone TB'!$B602,OBE!$B:$B,"A22")</f>
        <v>0</v>
      </c>
      <c r="L602" s="652">
        <f>SUMIFS('Elimination - PL'!I:I,'Elimination - PL'!A:A,"EA22",'Elimination - PL'!D:D,'Standalone TB'!B602)</f>
        <v>0</v>
      </c>
      <c r="M602" s="652">
        <f t="shared" si="75"/>
        <v>0</v>
      </c>
      <c r="N602" s="652">
        <f t="shared" si="72"/>
        <v>0</v>
      </c>
      <c r="O602" s="652">
        <v>0</v>
      </c>
      <c r="P602" s="685">
        <v>0</v>
      </c>
      <c r="Q602" s="684">
        <v>0</v>
      </c>
      <c r="R602" s="652">
        <f>SUMIFS(OBE!$H:$H,OBE!$C:$C,'Standalone TB'!$B602,OBE!$B:$B,"A20")</f>
        <v>0</v>
      </c>
      <c r="S602" s="652">
        <f>SUMIFS('Elimination - PL'!I:I,'Elimination - PL'!A:A,"EA20",'Elimination - PL'!D:D,'Standalone TB'!B602)</f>
        <v>0</v>
      </c>
      <c r="T602" s="652">
        <f t="shared" si="76"/>
        <v>0</v>
      </c>
      <c r="U602" s="652">
        <f t="shared" si="73"/>
        <v>0</v>
      </c>
      <c r="V602" s="652">
        <v>0</v>
      </c>
      <c r="W602" s="685">
        <v>0</v>
      </c>
      <c r="X602" s="689">
        <f t="shared" si="74"/>
        <v>-2746032.9881389299</v>
      </c>
      <c r="Y602" s="689">
        <f t="shared" si="77"/>
        <v>-2008208.6119738601</v>
      </c>
      <c r="Z602" s="652" t="s">
        <v>770</v>
      </c>
      <c r="AA602" s="652" t="s">
        <v>2266</v>
      </c>
      <c r="AB602" s="666" t="s">
        <v>150</v>
      </c>
      <c r="AD602" s="665"/>
    </row>
    <row r="603" spans="2:30" hidden="1" x14ac:dyDescent="0.2">
      <c r="B603" s="673" t="s">
        <v>1610</v>
      </c>
      <c r="C603" s="666" t="s">
        <v>2775</v>
      </c>
      <c r="D603" s="666" t="s">
        <v>670</v>
      </c>
      <c r="E603" s="684">
        <v>0</v>
      </c>
      <c r="F603" s="652">
        <f>SUMIFS(OBE!$H:$H,OBE!$C:$C,'Standalone TB'!$B603,OBE!$B:$B,"A21")</f>
        <v>-239594.77727200589</v>
      </c>
      <c r="G603" s="652">
        <f>SUMIFS('Elimination - PL'!I:I,'Elimination - PL'!A:A,"EA21",'Elimination - PL'!D:D,'Standalone TB'!B603)</f>
        <v>0</v>
      </c>
      <c r="H603" s="652">
        <f t="shared" si="71"/>
        <v>-239594.77727200589</v>
      </c>
      <c r="I603" s="652">
        <v>-159729.85151467062</v>
      </c>
      <c r="J603" s="684">
        <v>0</v>
      </c>
      <c r="K603" s="652">
        <f>SUMIFS(OBE!$H:$H,OBE!$C:$C,'Standalone TB'!$B603,OBE!$B:$B,"A22")</f>
        <v>0</v>
      </c>
      <c r="L603" s="652">
        <f>SUMIFS('Elimination - PL'!I:I,'Elimination - PL'!A:A,"EA22",'Elimination - PL'!D:D,'Standalone TB'!B603)</f>
        <v>0</v>
      </c>
      <c r="M603" s="652">
        <f t="shared" si="75"/>
        <v>0</v>
      </c>
      <c r="N603" s="652">
        <f t="shared" si="72"/>
        <v>0</v>
      </c>
      <c r="O603" s="652">
        <v>0</v>
      </c>
      <c r="P603" s="685">
        <v>0</v>
      </c>
      <c r="Q603" s="684">
        <v>0</v>
      </c>
      <c r="R603" s="652">
        <f>SUMIFS(OBE!$H:$H,OBE!$C:$C,'Standalone TB'!$B603,OBE!$B:$B,"A20")</f>
        <v>0</v>
      </c>
      <c r="S603" s="652">
        <f>SUMIFS('Elimination - PL'!I:I,'Elimination - PL'!A:A,"EA20",'Elimination - PL'!D:D,'Standalone TB'!B603)</f>
        <v>0</v>
      </c>
      <c r="T603" s="652">
        <f t="shared" si="76"/>
        <v>0</v>
      </c>
      <c r="U603" s="652">
        <f t="shared" si="73"/>
        <v>0</v>
      </c>
      <c r="V603" s="652">
        <v>0</v>
      </c>
      <c r="W603" s="685">
        <v>0</v>
      </c>
      <c r="X603" s="689">
        <f t="shared" si="74"/>
        <v>-239594.77727200589</v>
      </c>
      <c r="Y603" s="689">
        <f t="shared" si="77"/>
        <v>-159729.85151467062</v>
      </c>
      <c r="Z603" s="652" t="s">
        <v>772</v>
      </c>
      <c r="AA603" s="652" t="s">
        <v>2266</v>
      </c>
      <c r="AB603" s="666" t="s">
        <v>150</v>
      </c>
      <c r="AD603" s="665"/>
    </row>
    <row r="604" spans="2:30" hidden="1" x14ac:dyDescent="0.2">
      <c r="B604" s="673" t="s">
        <v>2776</v>
      </c>
      <c r="C604" s="666" t="s">
        <v>774</v>
      </c>
      <c r="D604" s="666" t="s">
        <v>670</v>
      </c>
      <c r="E604" s="684">
        <v>0</v>
      </c>
      <c r="F604" s="652">
        <f>SUMIFS(OBE!$H:$H,OBE!$C:$C,'Standalone TB'!$B604,OBE!$B:$B,"A21")</f>
        <v>0</v>
      </c>
      <c r="G604" s="652">
        <f>SUMIFS('Elimination - PL'!I:I,'Elimination - PL'!A:A,"EA21",'Elimination - PL'!D:D,'Standalone TB'!B604)</f>
        <v>0</v>
      </c>
      <c r="H604" s="652">
        <f t="shared" si="71"/>
        <v>0</v>
      </c>
      <c r="I604" s="652">
        <v>-6619782.8466934115</v>
      </c>
      <c r="J604" s="684">
        <v>0</v>
      </c>
      <c r="K604" s="652">
        <f>SUMIFS(OBE!$H:$H,OBE!$C:$C,'Standalone TB'!$B604,OBE!$B:$B,"A22")</f>
        <v>0</v>
      </c>
      <c r="L604" s="652">
        <f>SUMIFS('Elimination - PL'!I:I,'Elimination - PL'!A:A,"EA22",'Elimination - PL'!D:D,'Standalone TB'!B604)</f>
        <v>0</v>
      </c>
      <c r="M604" s="652">
        <f t="shared" si="75"/>
        <v>0</v>
      </c>
      <c r="N604" s="652">
        <f t="shared" si="72"/>
        <v>0</v>
      </c>
      <c r="O604" s="652">
        <v>0</v>
      </c>
      <c r="P604" s="685">
        <v>0</v>
      </c>
      <c r="Q604" s="684">
        <v>0</v>
      </c>
      <c r="R604" s="652">
        <f>SUMIFS(OBE!$H:$H,OBE!$C:$C,'Standalone TB'!$B604,OBE!$B:$B,"A20")</f>
        <v>0</v>
      </c>
      <c r="S604" s="652">
        <f>SUMIFS('Elimination - PL'!I:I,'Elimination - PL'!A:A,"EA20",'Elimination - PL'!D:D,'Standalone TB'!B604)</f>
        <v>0</v>
      </c>
      <c r="T604" s="652">
        <f t="shared" si="76"/>
        <v>0</v>
      </c>
      <c r="U604" s="652">
        <f t="shared" si="73"/>
        <v>0</v>
      </c>
      <c r="V604" s="652">
        <v>0</v>
      </c>
      <c r="W604" s="685">
        <v>0</v>
      </c>
      <c r="X604" s="689">
        <f t="shared" si="74"/>
        <v>0</v>
      </c>
      <c r="Y604" s="689">
        <f t="shared" si="77"/>
        <v>-6619782.8466934115</v>
      </c>
      <c r="Z604" s="652" t="s">
        <v>774</v>
      </c>
      <c r="AA604" s="652" t="s">
        <v>2266</v>
      </c>
      <c r="AB604" s="666" t="s">
        <v>150</v>
      </c>
      <c r="AD604" s="665"/>
    </row>
    <row r="605" spans="2:30" hidden="1" x14ac:dyDescent="0.2">
      <c r="B605" s="673" t="s">
        <v>2777</v>
      </c>
      <c r="C605" s="666" t="s">
        <v>2778</v>
      </c>
      <c r="D605" s="666" t="s">
        <v>670</v>
      </c>
      <c r="E605" s="684">
        <v>0</v>
      </c>
      <c r="F605" s="652">
        <f>SUMIFS(OBE!$H:$H,OBE!$C:$C,'Standalone TB'!$B605,OBE!$B:$B,"A21")</f>
        <v>0</v>
      </c>
      <c r="G605" s="652">
        <f>SUMIFS('Elimination - PL'!I:I,'Elimination - PL'!A:A,"EA21",'Elimination - PL'!D:D,'Standalone TB'!B605)</f>
        <v>0</v>
      </c>
      <c r="H605" s="652">
        <f t="shared" si="71"/>
        <v>0</v>
      </c>
      <c r="I605" s="652">
        <v>-5527825</v>
      </c>
      <c r="J605" s="684">
        <v>0</v>
      </c>
      <c r="K605" s="652">
        <f>SUMIFS(OBE!$H:$H,OBE!$C:$C,'Standalone TB'!$B605,OBE!$B:$B,"A22")</f>
        <v>0</v>
      </c>
      <c r="L605" s="652">
        <f>SUMIFS('Elimination - PL'!I:I,'Elimination - PL'!A:A,"EA22",'Elimination - PL'!D:D,'Standalone TB'!B605)</f>
        <v>0</v>
      </c>
      <c r="M605" s="652">
        <f t="shared" si="75"/>
        <v>0</v>
      </c>
      <c r="N605" s="652">
        <f t="shared" si="72"/>
        <v>0</v>
      </c>
      <c r="O605" s="652">
        <v>0</v>
      </c>
      <c r="P605" s="685">
        <v>0</v>
      </c>
      <c r="Q605" s="684">
        <v>0</v>
      </c>
      <c r="R605" s="652">
        <f>SUMIFS(OBE!$H:$H,OBE!$C:$C,'Standalone TB'!$B605,OBE!$B:$B,"A20")</f>
        <v>0</v>
      </c>
      <c r="S605" s="652">
        <f>SUMIFS('Elimination - PL'!I:I,'Elimination - PL'!A:A,"EA20",'Elimination - PL'!D:D,'Standalone TB'!B605)</f>
        <v>0</v>
      </c>
      <c r="T605" s="652">
        <f t="shared" si="76"/>
        <v>0</v>
      </c>
      <c r="U605" s="652">
        <f t="shared" si="73"/>
        <v>0</v>
      </c>
      <c r="V605" s="652">
        <v>0</v>
      </c>
      <c r="W605" s="685">
        <v>0</v>
      </c>
      <c r="X605" s="689">
        <f t="shared" si="74"/>
        <v>0</v>
      </c>
      <c r="Y605" s="689">
        <f t="shared" si="77"/>
        <v>-5527825</v>
      </c>
      <c r="Z605" s="652" t="s">
        <v>765</v>
      </c>
      <c r="AA605" s="652" t="s">
        <v>2266</v>
      </c>
      <c r="AB605" s="666" t="s">
        <v>150</v>
      </c>
      <c r="AD605" s="665"/>
    </row>
    <row r="606" spans="2:30" hidden="1" x14ac:dyDescent="0.2">
      <c r="B606" s="673" t="s">
        <v>2779</v>
      </c>
      <c r="C606" s="666" t="s">
        <v>2780</v>
      </c>
      <c r="D606" s="666" t="s">
        <v>670</v>
      </c>
      <c r="E606" s="684">
        <v>-3709905</v>
      </c>
      <c r="F606" s="652">
        <f>SUMIFS(OBE!$H:$H,OBE!$C:$C,'Standalone TB'!$B606,OBE!$B:$B,"A21")</f>
        <v>0</v>
      </c>
      <c r="G606" s="652">
        <f>SUMIFS('Elimination - PL'!I:I,'Elimination - PL'!A:A,"EA21",'Elimination - PL'!D:D,'Standalone TB'!B606)</f>
        <v>0</v>
      </c>
      <c r="H606" s="652">
        <f t="shared" si="71"/>
        <v>-3709905</v>
      </c>
      <c r="I606" s="652">
        <v>0</v>
      </c>
      <c r="J606" s="684">
        <v>0</v>
      </c>
      <c r="K606" s="652">
        <f>SUMIFS(OBE!$H:$H,OBE!$C:$C,'Standalone TB'!$B606,OBE!$B:$B,"A22")</f>
        <v>0</v>
      </c>
      <c r="L606" s="652">
        <f>SUMIFS('Elimination - PL'!I:I,'Elimination - PL'!A:A,"EA22",'Elimination - PL'!D:D,'Standalone TB'!B606)</f>
        <v>0</v>
      </c>
      <c r="M606" s="652">
        <f t="shared" si="75"/>
        <v>0</v>
      </c>
      <c r="N606" s="652">
        <f t="shared" si="72"/>
        <v>0</v>
      </c>
      <c r="O606" s="652">
        <v>0</v>
      </c>
      <c r="P606" s="685">
        <v>0</v>
      </c>
      <c r="Q606" s="684">
        <v>0</v>
      </c>
      <c r="R606" s="652">
        <f>SUMIFS(OBE!$H:$H,OBE!$C:$C,'Standalone TB'!$B606,OBE!$B:$B,"A20")</f>
        <v>0</v>
      </c>
      <c r="S606" s="652">
        <f>SUMIFS('Elimination - PL'!I:I,'Elimination - PL'!A:A,"EA20",'Elimination - PL'!D:D,'Standalone TB'!B606)</f>
        <v>0</v>
      </c>
      <c r="T606" s="652">
        <f t="shared" si="76"/>
        <v>0</v>
      </c>
      <c r="U606" s="652">
        <f t="shared" si="73"/>
        <v>0</v>
      </c>
      <c r="V606" s="652">
        <v>0</v>
      </c>
      <c r="W606" s="685">
        <v>0</v>
      </c>
      <c r="X606" s="689">
        <f t="shared" si="74"/>
        <v>-3709905</v>
      </c>
      <c r="Y606" s="689">
        <f t="shared" si="77"/>
        <v>0</v>
      </c>
      <c r="Z606" s="652" t="s">
        <v>765</v>
      </c>
      <c r="AA606" s="652" t="s">
        <v>2266</v>
      </c>
      <c r="AB606" s="666" t="s">
        <v>150</v>
      </c>
      <c r="AD606" s="665"/>
    </row>
    <row r="607" spans="2:30" hidden="1" x14ac:dyDescent="0.2">
      <c r="B607" s="673" t="s">
        <v>2781</v>
      </c>
      <c r="C607" s="666" t="s">
        <v>2782</v>
      </c>
      <c r="D607" s="666" t="s">
        <v>670</v>
      </c>
      <c r="E607" s="684">
        <v>0</v>
      </c>
      <c r="F607" s="652">
        <f>SUMIFS(OBE!$H:$H,OBE!$C:$C,'Standalone TB'!$B607,OBE!$B:$B,"A21")</f>
        <v>0</v>
      </c>
      <c r="G607" s="652">
        <f>SUMIFS('Elimination - PL'!I:I,'Elimination - PL'!A:A,"EA21",'Elimination - PL'!D:D,'Standalone TB'!B607)</f>
        <v>0</v>
      </c>
      <c r="H607" s="652">
        <f t="shared" si="71"/>
        <v>0</v>
      </c>
      <c r="I607" s="652">
        <v>0</v>
      </c>
      <c r="J607" s="684">
        <v>0</v>
      </c>
      <c r="K607" s="652">
        <f>SUMIFS(OBE!$H:$H,OBE!$C:$C,'Standalone TB'!$B607,OBE!$B:$B,"A22")</f>
        <v>0</v>
      </c>
      <c r="L607" s="652">
        <f>SUMIFS('Elimination - PL'!I:I,'Elimination - PL'!A:A,"EA22",'Elimination - PL'!D:D,'Standalone TB'!B607)</f>
        <v>0</v>
      </c>
      <c r="M607" s="652">
        <f t="shared" si="75"/>
        <v>0</v>
      </c>
      <c r="N607" s="652">
        <f t="shared" si="72"/>
        <v>0</v>
      </c>
      <c r="O607" s="652">
        <v>0</v>
      </c>
      <c r="P607" s="685">
        <v>0</v>
      </c>
      <c r="Q607" s="684">
        <v>0</v>
      </c>
      <c r="R607" s="652">
        <f>SUMIFS(OBE!$H:$H,OBE!$C:$C,'Standalone TB'!$B607,OBE!$B:$B,"A20")</f>
        <v>0</v>
      </c>
      <c r="S607" s="652">
        <f>SUMIFS('Elimination - PL'!I:I,'Elimination - PL'!A:A,"EA20",'Elimination - PL'!D:D,'Standalone TB'!B607)</f>
        <v>0</v>
      </c>
      <c r="T607" s="652">
        <f t="shared" si="76"/>
        <v>0</v>
      </c>
      <c r="U607" s="652">
        <f t="shared" si="73"/>
        <v>0</v>
      </c>
      <c r="V607" s="652">
        <v>0</v>
      </c>
      <c r="W607" s="685">
        <v>0</v>
      </c>
      <c r="X607" s="689">
        <f t="shared" si="74"/>
        <v>0</v>
      </c>
      <c r="Y607" s="689">
        <f t="shared" si="77"/>
        <v>0</v>
      </c>
      <c r="Z607" s="652" t="s">
        <v>777</v>
      </c>
      <c r="AA607" s="652" t="s">
        <v>2266</v>
      </c>
      <c r="AB607" s="666" t="s">
        <v>150</v>
      </c>
      <c r="AD607" s="665"/>
    </row>
    <row r="608" spans="2:30" hidden="1" x14ac:dyDescent="0.2">
      <c r="B608" s="673" t="s">
        <v>2783</v>
      </c>
      <c r="C608" s="666" t="s">
        <v>122</v>
      </c>
      <c r="D608" s="666" t="s">
        <v>670</v>
      </c>
      <c r="E608" s="684">
        <v>0</v>
      </c>
      <c r="F608" s="652">
        <f>SUMIFS(OBE!$H:$H,OBE!$C:$C,'Standalone TB'!$B608,OBE!$B:$B,"A21")</f>
        <v>0</v>
      </c>
      <c r="G608" s="652">
        <f>SUMIFS('Elimination - PL'!I:I,'Elimination - PL'!A:A,"EA21",'Elimination - PL'!D:D,'Standalone TB'!B608)</f>
        <v>0</v>
      </c>
      <c r="H608" s="652">
        <f t="shared" si="71"/>
        <v>0</v>
      </c>
      <c r="I608" s="652">
        <v>0</v>
      </c>
      <c r="J608" s="684">
        <v>0</v>
      </c>
      <c r="K608" s="652">
        <f>SUMIFS(OBE!$H:$H,OBE!$C:$C,'Standalone TB'!$B608,OBE!$B:$B,"A22")</f>
        <v>0</v>
      </c>
      <c r="L608" s="652">
        <f>SUMIFS('Elimination - PL'!I:I,'Elimination - PL'!A:A,"EA22",'Elimination - PL'!D:D,'Standalone TB'!B608)</f>
        <v>0</v>
      </c>
      <c r="M608" s="652">
        <f t="shared" si="75"/>
        <v>0</v>
      </c>
      <c r="N608" s="652">
        <f t="shared" si="72"/>
        <v>0</v>
      </c>
      <c r="O608" s="652">
        <v>0</v>
      </c>
      <c r="P608" s="685">
        <v>0</v>
      </c>
      <c r="Q608" s="684">
        <v>0</v>
      </c>
      <c r="R608" s="652">
        <f>SUMIFS(OBE!$H:$H,OBE!$C:$C,'Standalone TB'!$B608,OBE!$B:$B,"A20")</f>
        <v>0</v>
      </c>
      <c r="S608" s="652">
        <f>SUMIFS('Elimination - PL'!I:I,'Elimination - PL'!A:A,"EA20",'Elimination - PL'!D:D,'Standalone TB'!B608)</f>
        <v>0</v>
      </c>
      <c r="T608" s="652">
        <f t="shared" si="76"/>
        <v>0</v>
      </c>
      <c r="U608" s="652">
        <f t="shared" si="73"/>
        <v>0</v>
      </c>
      <c r="V608" s="652">
        <v>0</v>
      </c>
      <c r="W608" s="685">
        <v>0</v>
      </c>
      <c r="X608" s="689">
        <f t="shared" si="74"/>
        <v>0</v>
      </c>
      <c r="Y608" s="689">
        <f t="shared" si="77"/>
        <v>0</v>
      </c>
      <c r="Z608" s="652" t="s">
        <v>777</v>
      </c>
      <c r="AA608" s="652" t="s">
        <v>2266</v>
      </c>
      <c r="AB608" s="666" t="str">
        <f>AB611</f>
        <v>Other Income</v>
      </c>
      <c r="AD608" s="665"/>
    </row>
    <row r="609" spans="2:30" hidden="1" x14ac:dyDescent="0.2">
      <c r="B609" s="673" t="s">
        <v>1676</v>
      </c>
      <c r="C609" s="666" t="s">
        <v>2784</v>
      </c>
      <c r="D609" s="666" t="s">
        <v>670</v>
      </c>
      <c r="E609" s="684">
        <v>4.5297099404706387E-14</v>
      </c>
      <c r="F609" s="652">
        <f>SUMIFS(OBE!$H:$H,OBE!$C:$C,'Standalone TB'!$B609,OBE!$B:$B,"A21")</f>
        <v>0</v>
      </c>
      <c r="G609" s="652">
        <f>SUMIFS('Elimination - PL'!I:I,'Elimination - PL'!A:A,"EA21",'Elimination - PL'!D:D,'Standalone TB'!B609)</f>
        <v>0</v>
      </c>
      <c r="H609" s="652">
        <f t="shared" si="71"/>
        <v>4.5297099404706387E-14</v>
      </c>
      <c r="I609" s="652">
        <v>-674.12</v>
      </c>
      <c r="J609" s="684">
        <v>0</v>
      </c>
      <c r="K609" s="652">
        <f>SUMIFS(OBE!$H:$H,OBE!$C:$C,'Standalone TB'!$B609,OBE!$B:$B,"A22")</f>
        <v>0</v>
      </c>
      <c r="L609" s="652">
        <f>SUMIFS('Elimination - PL'!I:I,'Elimination - PL'!A:A,"EA22",'Elimination - PL'!D:D,'Standalone TB'!B609)</f>
        <v>0</v>
      </c>
      <c r="M609" s="652">
        <f t="shared" si="75"/>
        <v>0</v>
      </c>
      <c r="N609" s="652">
        <f t="shared" si="72"/>
        <v>0</v>
      </c>
      <c r="O609" s="652">
        <v>0</v>
      </c>
      <c r="P609" s="685">
        <v>0</v>
      </c>
      <c r="Q609" s="684">
        <v>0</v>
      </c>
      <c r="R609" s="652">
        <f>SUMIFS(OBE!$H:$H,OBE!$C:$C,'Standalone TB'!$B609,OBE!$B:$B,"A20")</f>
        <v>-35127.06</v>
      </c>
      <c r="S609" s="652">
        <f>SUMIFS('Elimination - PL'!I:I,'Elimination - PL'!A:A,"EA20",'Elimination - PL'!D:D,'Standalone TB'!B609)</f>
        <v>0</v>
      </c>
      <c r="T609" s="652">
        <f t="shared" si="76"/>
        <v>-35127.06</v>
      </c>
      <c r="U609" s="652">
        <f t="shared" si="73"/>
        <v>-2965488.1838062643</v>
      </c>
      <c r="V609" s="652">
        <v>0</v>
      </c>
      <c r="W609" s="685">
        <v>0</v>
      </c>
      <c r="X609" s="689">
        <f t="shared" si="74"/>
        <v>-2965488.1838062643</v>
      </c>
      <c r="Y609" s="689">
        <f t="shared" si="77"/>
        <v>-674.12</v>
      </c>
      <c r="Z609" s="652" t="s">
        <v>780</v>
      </c>
      <c r="AA609" s="652" t="s">
        <v>2266</v>
      </c>
      <c r="AB609" s="666" t="s">
        <v>150</v>
      </c>
      <c r="AD609" s="665"/>
    </row>
    <row r="610" spans="2:30" hidden="1" x14ac:dyDescent="0.2">
      <c r="B610" s="673" t="s">
        <v>1608</v>
      </c>
      <c r="C610" s="666" t="s">
        <v>2785</v>
      </c>
      <c r="D610" s="666" t="s">
        <v>670</v>
      </c>
      <c r="E610" s="684">
        <v>0</v>
      </c>
      <c r="F610" s="652">
        <f>SUMIFS(OBE!$H:$H,OBE!$C:$C,'Standalone TB'!$B610,OBE!$B:$B,"A21")</f>
        <v>-1225388.475013837</v>
      </c>
      <c r="G610" s="652">
        <f>SUMIFS('Elimination - PL'!I:I,'Elimination - PL'!A:A,"EA21",'Elimination - PL'!D:D,'Standalone TB'!B610)</f>
        <v>0</v>
      </c>
      <c r="H610" s="652">
        <f t="shared" si="71"/>
        <v>-1225388.475013837</v>
      </c>
      <c r="I610" s="652">
        <v>-951463.38603669172</v>
      </c>
      <c r="J610" s="684">
        <v>0</v>
      </c>
      <c r="K610" s="652">
        <f>SUMIFS(OBE!$H:$H,OBE!$C:$C,'Standalone TB'!$B610,OBE!$B:$B,"A22")</f>
        <v>0</v>
      </c>
      <c r="L610" s="652">
        <f>SUMIFS('Elimination - PL'!I:I,'Elimination - PL'!A:A,"EA22",'Elimination - PL'!D:D,'Standalone TB'!B610)</f>
        <v>0</v>
      </c>
      <c r="M610" s="652">
        <f t="shared" si="75"/>
        <v>0</v>
      </c>
      <c r="N610" s="652">
        <f t="shared" si="72"/>
        <v>0</v>
      </c>
      <c r="O610" s="652">
        <v>0</v>
      </c>
      <c r="P610" s="685">
        <v>0</v>
      </c>
      <c r="Q610" s="684">
        <v>0</v>
      </c>
      <c r="R610" s="652">
        <f>SUMIFS(OBE!$H:$H,OBE!$C:$C,'Standalone TB'!$B610,OBE!$B:$B,"A20")</f>
        <v>-272.00674389000403</v>
      </c>
      <c r="S610" s="652">
        <f>SUMIFS('Elimination - PL'!I:I,'Elimination - PL'!A:A,"EA20",'Elimination - PL'!D:D,'Standalone TB'!B610)</f>
        <v>0</v>
      </c>
      <c r="T610" s="652">
        <f t="shared" si="76"/>
        <v>-272.00674389000403</v>
      </c>
      <c r="U610" s="652">
        <f t="shared" si="73"/>
        <v>-22963.287702455709</v>
      </c>
      <c r="V610" s="652">
        <v>0</v>
      </c>
      <c r="W610" s="685">
        <v>0</v>
      </c>
      <c r="X610" s="689">
        <f t="shared" si="74"/>
        <v>-1248351.7627162926</v>
      </c>
      <c r="Y610" s="689">
        <f t="shared" si="77"/>
        <v>-951463.38603669172</v>
      </c>
      <c r="Z610" s="652" t="s">
        <v>769</v>
      </c>
      <c r="AA610" s="652" t="s">
        <v>2266</v>
      </c>
      <c r="AB610" s="666" t="s">
        <v>150</v>
      </c>
      <c r="AD610" s="665"/>
    </row>
    <row r="611" spans="2:30" hidden="1" x14ac:dyDescent="0.2">
      <c r="B611" s="673" t="s">
        <v>2786</v>
      </c>
      <c r="C611" s="666" t="s">
        <v>2787</v>
      </c>
      <c r="D611" s="666" t="s">
        <v>670</v>
      </c>
      <c r="E611" s="684">
        <v>0</v>
      </c>
      <c r="F611" s="652">
        <f>SUMIFS(OBE!$H:$H,OBE!$C:$C,'Standalone TB'!$B611,OBE!$B:$B,"A21")</f>
        <v>0</v>
      </c>
      <c r="G611" s="652">
        <f>SUMIFS('Elimination - PL'!I:I,'Elimination - PL'!A:A,"EA21",'Elimination - PL'!D:D,'Standalone TB'!B611)</f>
        <v>0</v>
      </c>
      <c r="H611" s="652">
        <f t="shared" si="71"/>
        <v>0</v>
      </c>
      <c r="I611" s="652">
        <v>0</v>
      </c>
      <c r="J611" s="684">
        <v>0</v>
      </c>
      <c r="K611" s="652">
        <f>SUMIFS(OBE!$H:$H,OBE!$C:$C,'Standalone TB'!$B611,OBE!$B:$B,"A22")</f>
        <v>0</v>
      </c>
      <c r="L611" s="652">
        <f>SUMIFS('Elimination - PL'!I:I,'Elimination - PL'!A:A,"EA22",'Elimination - PL'!D:D,'Standalone TB'!B611)</f>
        <v>0</v>
      </c>
      <c r="M611" s="652">
        <f t="shared" si="75"/>
        <v>0</v>
      </c>
      <c r="N611" s="652">
        <f t="shared" si="72"/>
        <v>0</v>
      </c>
      <c r="O611" s="652">
        <v>0</v>
      </c>
      <c r="P611" s="685">
        <v>0</v>
      </c>
      <c r="Q611" s="684">
        <v>0</v>
      </c>
      <c r="R611" s="652">
        <f>SUMIFS(OBE!$H:$H,OBE!$C:$C,'Standalone TB'!$B611,OBE!$B:$B,"A20")</f>
        <v>0</v>
      </c>
      <c r="S611" s="652">
        <f>SUMIFS('Elimination - PL'!I:I,'Elimination - PL'!A:A,"EA20",'Elimination - PL'!D:D,'Standalone TB'!B611)</f>
        <v>0</v>
      </c>
      <c r="T611" s="652">
        <f t="shared" si="76"/>
        <v>0</v>
      </c>
      <c r="U611" s="652">
        <f t="shared" si="73"/>
        <v>0</v>
      </c>
      <c r="V611" s="652">
        <v>0</v>
      </c>
      <c r="W611" s="685">
        <v>0</v>
      </c>
      <c r="X611" s="689">
        <f t="shared" si="74"/>
        <v>0</v>
      </c>
      <c r="Y611" s="689">
        <f t="shared" si="77"/>
        <v>0</v>
      </c>
      <c r="Z611" s="652" t="s">
        <v>780</v>
      </c>
      <c r="AA611" s="652" t="s">
        <v>2266</v>
      </c>
      <c r="AB611" s="666" t="s">
        <v>150</v>
      </c>
      <c r="AD611" s="665"/>
    </row>
    <row r="612" spans="2:30" hidden="1" x14ac:dyDescent="0.2">
      <c r="B612" s="673" t="s">
        <v>2788</v>
      </c>
      <c r="C612" s="666" t="s">
        <v>2789</v>
      </c>
      <c r="D612" s="666" t="s">
        <v>670</v>
      </c>
      <c r="E612" s="684">
        <v>0</v>
      </c>
      <c r="F612" s="652">
        <f>SUMIFS(OBE!$H:$H,OBE!$C:$C,'Standalone TB'!$B612,OBE!$B:$B,"A21")</f>
        <v>0</v>
      </c>
      <c r="G612" s="652">
        <f>SUMIFS('Elimination - PL'!I:I,'Elimination - PL'!A:A,"EA21",'Elimination - PL'!D:D,'Standalone TB'!B612)</f>
        <v>0</v>
      </c>
      <c r="H612" s="652">
        <f t="shared" si="71"/>
        <v>0</v>
      </c>
      <c r="I612" s="652">
        <v>0</v>
      </c>
      <c r="J612" s="684">
        <v>0</v>
      </c>
      <c r="K612" s="652">
        <f>SUMIFS(OBE!$H:$H,OBE!$C:$C,'Standalone TB'!$B612,OBE!$B:$B,"A22")</f>
        <v>0</v>
      </c>
      <c r="L612" s="652">
        <f>SUMIFS('Elimination - PL'!I:I,'Elimination - PL'!A:A,"EA22",'Elimination - PL'!D:D,'Standalone TB'!B612)</f>
        <v>0</v>
      </c>
      <c r="M612" s="652">
        <f t="shared" si="75"/>
        <v>0</v>
      </c>
      <c r="N612" s="652">
        <f t="shared" si="72"/>
        <v>0</v>
      </c>
      <c r="O612" s="652">
        <v>0</v>
      </c>
      <c r="P612" s="685">
        <v>0</v>
      </c>
      <c r="Q612" s="684">
        <v>0</v>
      </c>
      <c r="R612" s="652">
        <f>SUMIFS(OBE!$H:$H,OBE!$C:$C,'Standalone TB'!$B612,OBE!$B:$B,"A20")</f>
        <v>0</v>
      </c>
      <c r="S612" s="652">
        <f>SUMIFS('Elimination - PL'!I:I,'Elimination - PL'!A:A,"EA20",'Elimination - PL'!D:D,'Standalone TB'!B612)</f>
        <v>0</v>
      </c>
      <c r="T612" s="652">
        <f t="shared" si="76"/>
        <v>0</v>
      </c>
      <c r="U612" s="652">
        <f t="shared" si="73"/>
        <v>0</v>
      </c>
      <c r="V612" s="652">
        <v>0</v>
      </c>
      <c r="W612" s="685">
        <v>0</v>
      </c>
      <c r="X612" s="689">
        <f t="shared" si="74"/>
        <v>0</v>
      </c>
      <c r="Y612" s="689">
        <f t="shared" si="77"/>
        <v>0</v>
      </c>
      <c r="Z612" s="652" t="s">
        <v>780</v>
      </c>
      <c r="AA612" s="652" t="s">
        <v>2266</v>
      </c>
      <c r="AB612" s="666" t="s">
        <v>150</v>
      </c>
      <c r="AD612" s="665"/>
    </row>
    <row r="613" spans="2:30" hidden="1" x14ac:dyDescent="0.2">
      <c r="B613" s="673" t="s">
        <v>2790</v>
      </c>
      <c r="C613" s="666" t="s">
        <v>2791</v>
      </c>
      <c r="D613" s="666" t="s">
        <v>670</v>
      </c>
      <c r="E613" s="684">
        <v>-25368</v>
      </c>
      <c r="F613" s="652">
        <f>SUMIFS(OBE!$H:$H,OBE!$C:$C,'Standalone TB'!$B613,OBE!$B:$B,"A21")</f>
        <v>0</v>
      </c>
      <c r="G613" s="652">
        <f>SUMIFS('Elimination - PL'!I:I,'Elimination - PL'!A:A,"EA21",'Elimination - PL'!D:D,'Standalone TB'!B613)</f>
        <v>0</v>
      </c>
      <c r="H613" s="652">
        <f t="shared" si="71"/>
        <v>-25368</v>
      </c>
      <c r="I613" s="652">
        <v>-21159</v>
      </c>
      <c r="J613" s="684">
        <v>0</v>
      </c>
      <c r="K613" s="652">
        <f>SUMIFS(OBE!$H:$H,OBE!$C:$C,'Standalone TB'!$B613,OBE!$B:$B,"A22")</f>
        <v>0</v>
      </c>
      <c r="L613" s="652">
        <f>SUMIFS('Elimination - PL'!I:I,'Elimination - PL'!A:A,"EA22",'Elimination - PL'!D:D,'Standalone TB'!B613)</f>
        <v>0</v>
      </c>
      <c r="M613" s="652">
        <f t="shared" si="75"/>
        <v>0</v>
      </c>
      <c r="N613" s="652">
        <f t="shared" si="72"/>
        <v>0</v>
      </c>
      <c r="O613" s="652">
        <v>0</v>
      </c>
      <c r="P613" s="685">
        <v>0</v>
      </c>
      <c r="Q613" s="684">
        <v>0</v>
      </c>
      <c r="R613" s="652">
        <f>SUMIFS(OBE!$H:$H,OBE!$C:$C,'Standalone TB'!$B613,OBE!$B:$B,"A20")</f>
        <v>0</v>
      </c>
      <c r="S613" s="652">
        <f>SUMIFS('Elimination - PL'!I:I,'Elimination - PL'!A:A,"EA20",'Elimination - PL'!D:D,'Standalone TB'!B613)</f>
        <v>0</v>
      </c>
      <c r="T613" s="652">
        <f t="shared" si="76"/>
        <v>0</v>
      </c>
      <c r="U613" s="652">
        <f t="shared" si="73"/>
        <v>0</v>
      </c>
      <c r="V613" s="652">
        <v>0</v>
      </c>
      <c r="W613" s="685">
        <v>0</v>
      </c>
      <c r="X613" s="689">
        <f t="shared" si="74"/>
        <v>-25368</v>
      </c>
      <c r="Y613" s="689">
        <f t="shared" si="77"/>
        <v>-21159</v>
      </c>
      <c r="Z613" s="652" t="s">
        <v>767</v>
      </c>
      <c r="AA613" s="652" t="s">
        <v>2266</v>
      </c>
      <c r="AB613" s="666" t="s">
        <v>150</v>
      </c>
      <c r="AD613" s="665"/>
    </row>
    <row r="614" spans="2:30" hidden="1" x14ac:dyDescent="0.2">
      <c r="B614" s="673" t="s">
        <v>1663</v>
      </c>
      <c r="C614" s="666" t="s">
        <v>2792</v>
      </c>
      <c r="D614" s="666" t="s">
        <v>670</v>
      </c>
      <c r="E614" s="684">
        <v>-21867273.580000002</v>
      </c>
      <c r="F614" s="652">
        <f>SUMIFS(OBE!$H:$H,OBE!$C:$C,'Standalone TB'!$B614,OBE!$B:$B,"A21")</f>
        <v>942339</v>
      </c>
      <c r="G614" s="652">
        <f>SUMIFS('Elimination - PL'!I:I,'Elimination - PL'!A:A,"EA21",'Elimination - PL'!D:D,'Standalone TB'!B614)</f>
        <v>0</v>
      </c>
      <c r="H614" s="652">
        <f t="shared" si="71"/>
        <v>-20924934.580000002</v>
      </c>
      <c r="J614" s="684">
        <v>0</v>
      </c>
      <c r="K614" s="652">
        <f>SUMIFS(OBE!$H:$H,OBE!$C:$C,'Standalone TB'!$B614,OBE!$B:$B,"A22")</f>
        <v>0</v>
      </c>
      <c r="L614" s="652">
        <f>SUMIFS('Elimination - PL'!I:I,'Elimination - PL'!A:A,"EA22",'Elimination - PL'!D:D,'Standalone TB'!B614)</f>
        <v>0</v>
      </c>
      <c r="M614" s="652">
        <f t="shared" si="75"/>
        <v>0</v>
      </c>
      <c r="N614" s="652">
        <f t="shared" si="72"/>
        <v>0</v>
      </c>
      <c r="P614" s="685"/>
      <c r="Q614" s="684">
        <v>0</v>
      </c>
      <c r="R614" s="652">
        <f>SUMIFS(OBE!$H:$H,OBE!$C:$C,'Standalone TB'!$B614,OBE!$B:$B,"A20")</f>
        <v>0</v>
      </c>
      <c r="S614" s="652">
        <f>SUMIFS('Elimination - PL'!I:I,'Elimination - PL'!A:A,"EA20",'Elimination - PL'!D:D,'Standalone TB'!B614)</f>
        <v>0</v>
      </c>
      <c r="T614" s="652">
        <f t="shared" si="76"/>
        <v>0</v>
      </c>
      <c r="U614" s="652">
        <f t="shared" si="73"/>
        <v>0</v>
      </c>
      <c r="W614" s="685"/>
      <c r="X614" s="689">
        <f t="shared" si="74"/>
        <v>-20924934.580000002</v>
      </c>
      <c r="Y614" s="689">
        <f t="shared" si="77"/>
        <v>0</v>
      </c>
      <c r="Z614" s="652" t="s">
        <v>763</v>
      </c>
      <c r="AA614" s="652" t="s">
        <v>2266</v>
      </c>
      <c r="AB614" s="666" t="s">
        <v>150</v>
      </c>
      <c r="AD614" s="665"/>
    </row>
    <row r="615" spans="2:30" hidden="1" x14ac:dyDescent="0.2">
      <c r="B615" s="673" t="s">
        <v>1625</v>
      </c>
      <c r="C615" s="666" t="s">
        <v>2793</v>
      </c>
      <c r="D615" s="666" t="s">
        <v>670</v>
      </c>
      <c r="E615" s="684">
        <v>0</v>
      </c>
      <c r="F615" s="652">
        <f>SUMIFS(OBE!$H:$H,OBE!$C:$C,'Standalone TB'!$B615,OBE!$B:$B,"A21")</f>
        <v>2207044.7960620727</v>
      </c>
      <c r="G615" s="652">
        <f>SUMIFS('Elimination - PL'!I:I,'Elimination - PL'!A:A,"EA21",'Elimination - PL'!D:D,'Standalone TB'!B615)</f>
        <v>0</v>
      </c>
      <c r="H615" s="652">
        <f t="shared" ref="H615:H619" si="78">SUM(E615:G615)</f>
        <v>2207044.7960620727</v>
      </c>
      <c r="I615" s="652">
        <v>5255893.3288923912</v>
      </c>
      <c r="J615" s="684">
        <v>0</v>
      </c>
      <c r="K615" s="652">
        <f>SUMIFS(OBE!$H:$H,OBE!$C:$C,'Standalone TB'!$B615,OBE!$B:$B,"A22")</f>
        <v>32282.457873196399</v>
      </c>
      <c r="L615" s="652">
        <f>SUMIFS('Elimination - PL'!I:I,'Elimination - PL'!A:A,"EA22",'Elimination - PL'!D:D,'Standalone TB'!B615)</f>
        <v>0</v>
      </c>
      <c r="M615" s="652">
        <f t="shared" si="75"/>
        <v>32282.457873196399</v>
      </c>
      <c r="N615" s="652">
        <f t="shared" si="72"/>
        <v>741966.18584294221</v>
      </c>
      <c r="O615" s="652">
        <v>-524008.15277555602</v>
      </c>
      <c r="P615" s="685">
        <v>-11810410.152147146</v>
      </c>
      <c r="Q615" s="684">
        <v>0</v>
      </c>
      <c r="R615" s="652">
        <f>SUMIFS(OBE!$H:$H,OBE!$C:$C,'Standalone TB'!$B615,OBE!$B:$B,"A20")</f>
        <v>-3744.8631577256001</v>
      </c>
      <c r="S615" s="652">
        <f>SUMIFS('Elimination - PL'!I:I,'Elimination - PL'!A:A,"EA20",'Elimination - PL'!D:D,'Standalone TB'!B615)</f>
        <v>0</v>
      </c>
      <c r="T615" s="652">
        <f t="shared" si="76"/>
        <v>-3744.8631577256001</v>
      </c>
      <c r="U615" s="652">
        <f t="shared" si="73"/>
        <v>-316147.93393488333</v>
      </c>
      <c r="V615" s="652">
        <v>-13684.336842274401</v>
      </c>
      <c r="W615" s="685">
        <v>-1132983.7213866352</v>
      </c>
      <c r="X615" s="689">
        <f t="shared" si="74"/>
        <v>2632863.047970132</v>
      </c>
      <c r="Y615" s="689">
        <f t="shared" si="77"/>
        <v>-7687500.5446413904</v>
      </c>
      <c r="Z615" s="652" t="s">
        <v>826</v>
      </c>
      <c r="AA615" s="666" t="s">
        <v>152</v>
      </c>
      <c r="AB615" s="666" t="s">
        <v>2314</v>
      </c>
      <c r="AD615" s="665"/>
    </row>
    <row r="616" spans="2:30" hidden="1" x14ac:dyDescent="0.2">
      <c r="B616" s="673" t="s">
        <v>2794</v>
      </c>
      <c r="C616" s="666" t="s">
        <v>2795</v>
      </c>
      <c r="D616" s="666" t="s">
        <v>670</v>
      </c>
      <c r="E616" s="684">
        <v>0</v>
      </c>
      <c r="F616" s="652">
        <f>SUMIFS(OBE!$H:$H,OBE!$C:$C,'Standalone TB'!$B616,OBE!$B:$B,"A21")</f>
        <v>0</v>
      </c>
      <c r="G616" s="652">
        <f>SUMIFS('Elimination - PL'!I:I,'Elimination - PL'!A:A,"EA21",'Elimination - PL'!D:D,'Standalone TB'!B616)</f>
        <v>0</v>
      </c>
      <c r="H616" s="652">
        <f t="shared" si="78"/>
        <v>0</v>
      </c>
      <c r="I616" s="652">
        <v>0</v>
      </c>
      <c r="J616" s="684">
        <v>0</v>
      </c>
      <c r="K616" s="652">
        <f>SUMIFS(OBE!$H:$H,OBE!$C:$C,'Standalone TB'!$B616,OBE!$B:$B,"A22")</f>
        <v>0</v>
      </c>
      <c r="L616" s="652">
        <f>SUMIFS('Elimination - PL'!I:I,'Elimination - PL'!A:A,"EA22",'Elimination - PL'!D:D,'Standalone TB'!B616)</f>
        <v>0</v>
      </c>
      <c r="M616" s="652">
        <f t="shared" si="75"/>
        <v>0</v>
      </c>
      <c r="N616" s="652">
        <f t="shared" si="72"/>
        <v>0</v>
      </c>
      <c r="O616" s="652">
        <v>0</v>
      </c>
      <c r="P616" s="685">
        <v>0</v>
      </c>
      <c r="Q616" s="684">
        <v>0</v>
      </c>
      <c r="R616" s="652">
        <f>SUMIFS(OBE!$H:$H,OBE!$C:$C,'Standalone TB'!$B616,OBE!$B:$B,"A20")</f>
        <v>0</v>
      </c>
      <c r="S616" s="652">
        <f>SUMIFS('Elimination - PL'!I:I,'Elimination - PL'!A:A,"EA20",'Elimination - PL'!D:D,'Standalone TB'!B616)</f>
        <v>0</v>
      </c>
      <c r="T616" s="652">
        <f t="shared" si="76"/>
        <v>0</v>
      </c>
      <c r="U616" s="652">
        <f t="shared" si="73"/>
        <v>0</v>
      </c>
      <c r="V616" s="652">
        <v>0</v>
      </c>
      <c r="W616" s="685">
        <v>0</v>
      </c>
      <c r="X616" s="689">
        <f t="shared" si="74"/>
        <v>0</v>
      </c>
      <c r="Y616" s="689">
        <f t="shared" si="77"/>
        <v>0</v>
      </c>
      <c r="AA616" s="666" t="s">
        <v>152</v>
      </c>
      <c r="AB616" s="666" t="s">
        <v>2314</v>
      </c>
      <c r="AD616" s="665"/>
    </row>
    <row r="617" spans="2:30" hidden="1" x14ac:dyDescent="0.2">
      <c r="B617" s="673" t="s">
        <v>2796</v>
      </c>
      <c r="C617" s="666" t="s">
        <v>2797</v>
      </c>
      <c r="D617" s="666" t="s">
        <v>670</v>
      </c>
      <c r="E617" s="684">
        <v>0</v>
      </c>
      <c r="F617" s="652">
        <f>SUMIFS(OBE!$H:$H,OBE!$C:$C,'Standalone TB'!$B617,OBE!$B:$B,"A21")</f>
        <v>0</v>
      </c>
      <c r="G617" s="652">
        <f>SUMIFS('Elimination - PL'!I:I,'Elimination - PL'!A:A,"EA21",'Elimination - PL'!D:D,'Standalone TB'!B617)</f>
        <v>0</v>
      </c>
      <c r="H617" s="652">
        <f t="shared" si="78"/>
        <v>0</v>
      </c>
      <c r="I617" s="652">
        <v>0</v>
      </c>
      <c r="J617" s="684">
        <v>0</v>
      </c>
      <c r="K617" s="652">
        <f>SUMIFS(OBE!$H:$H,OBE!$C:$C,'Standalone TB'!$B617,OBE!$B:$B,"A22")</f>
        <v>0</v>
      </c>
      <c r="L617" s="652">
        <f>SUMIFS('Elimination - PL'!I:I,'Elimination - PL'!A:A,"EA22",'Elimination - PL'!D:D,'Standalone TB'!B617)</f>
        <v>0</v>
      </c>
      <c r="M617" s="652">
        <f t="shared" si="75"/>
        <v>0</v>
      </c>
      <c r="N617" s="652">
        <f t="shared" si="72"/>
        <v>0</v>
      </c>
      <c r="O617" s="652">
        <v>0</v>
      </c>
      <c r="P617" s="685">
        <v>0</v>
      </c>
      <c r="Q617" s="684">
        <v>0</v>
      </c>
      <c r="R617" s="652">
        <f>SUMIFS(OBE!$H:$H,OBE!$C:$C,'Standalone TB'!$B617,OBE!$B:$B,"A20")</f>
        <v>0</v>
      </c>
      <c r="S617" s="652">
        <f>SUMIFS('Elimination - PL'!I:I,'Elimination - PL'!A:A,"EA20",'Elimination - PL'!D:D,'Standalone TB'!B617)</f>
        <v>0</v>
      </c>
      <c r="T617" s="652">
        <f t="shared" si="76"/>
        <v>0</v>
      </c>
      <c r="U617" s="652">
        <f t="shared" si="73"/>
        <v>0</v>
      </c>
      <c r="V617" s="652">
        <v>0</v>
      </c>
      <c r="W617" s="685">
        <v>0</v>
      </c>
      <c r="X617" s="689">
        <f t="shared" si="74"/>
        <v>0</v>
      </c>
      <c r="Y617" s="689">
        <f t="shared" si="77"/>
        <v>0</v>
      </c>
      <c r="AA617" s="666" t="s">
        <v>152</v>
      </c>
      <c r="AB617" s="666" t="s">
        <v>2314</v>
      </c>
      <c r="AD617" s="665"/>
    </row>
    <row r="618" spans="2:30" hidden="1" x14ac:dyDescent="0.2">
      <c r="B618" s="673" t="s">
        <v>2798</v>
      </c>
      <c r="C618" s="666" t="s">
        <v>2799</v>
      </c>
      <c r="D618" s="666" t="s">
        <v>670</v>
      </c>
      <c r="E618" s="684">
        <v>0</v>
      </c>
      <c r="F618" s="652">
        <f>SUMIFS(OBE!$H:$H,OBE!$C:$C,'Standalone TB'!$B618,OBE!$B:$B,"A21")</f>
        <v>0</v>
      </c>
      <c r="G618" s="652">
        <f>SUMIFS('Elimination - PL'!I:I,'Elimination - PL'!A:A,"EA21",'Elimination - PL'!D:D,'Standalone TB'!B618)</f>
        <v>0</v>
      </c>
      <c r="H618" s="652">
        <f t="shared" si="78"/>
        <v>0</v>
      </c>
      <c r="I618" s="652">
        <v>0</v>
      </c>
      <c r="J618" s="684">
        <v>0</v>
      </c>
      <c r="K618" s="652">
        <f>SUMIFS(OBE!$H:$H,OBE!$C:$C,'Standalone TB'!$B618,OBE!$B:$B,"A22")</f>
        <v>0</v>
      </c>
      <c r="L618" s="652">
        <f>SUMIFS('Elimination - PL'!I:I,'Elimination - PL'!A:A,"EA22",'Elimination - PL'!D:D,'Standalone TB'!B618)</f>
        <v>0</v>
      </c>
      <c r="M618" s="652">
        <f t="shared" si="75"/>
        <v>0</v>
      </c>
      <c r="N618" s="652">
        <f t="shared" si="72"/>
        <v>0</v>
      </c>
      <c r="O618" s="652">
        <v>0</v>
      </c>
      <c r="P618" s="685">
        <v>0</v>
      </c>
      <c r="Q618" s="684">
        <v>0</v>
      </c>
      <c r="R618" s="652">
        <f>SUMIFS(OBE!$H:$H,OBE!$C:$C,'Standalone TB'!$B618,OBE!$B:$B,"A20")</f>
        <v>0</v>
      </c>
      <c r="S618" s="652">
        <f>SUMIFS('Elimination - PL'!I:I,'Elimination - PL'!A:A,"EA20",'Elimination - PL'!D:D,'Standalone TB'!B618)</f>
        <v>0</v>
      </c>
      <c r="T618" s="652">
        <f t="shared" si="76"/>
        <v>0</v>
      </c>
      <c r="U618" s="652">
        <f t="shared" si="73"/>
        <v>0</v>
      </c>
      <c r="V618" s="652">
        <v>0</v>
      </c>
      <c r="W618" s="685">
        <v>0</v>
      </c>
      <c r="X618" s="689">
        <f t="shared" si="74"/>
        <v>0</v>
      </c>
      <c r="Y618" s="689">
        <f t="shared" si="77"/>
        <v>0</v>
      </c>
      <c r="AA618" s="666" t="s">
        <v>152</v>
      </c>
      <c r="AB618" s="666" t="s">
        <v>2314</v>
      </c>
      <c r="AD618" s="665"/>
    </row>
    <row r="619" spans="2:30" hidden="1" x14ac:dyDescent="0.2">
      <c r="B619" s="673" t="s">
        <v>2800</v>
      </c>
      <c r="C619" s="666" t="s">
        <v>2801</v>
      </c>
      <c r="D619" s="666" t="s">
        <v>670</v>
      </c>
      <c r="E619" s="684">
        <v>0</v>
      </c>
      <c r="F619" s="652">
        <f>SUMIFS(OBE!$H:$H,OBE!$C:$C,'Standalone TB'!$B619,OBE!$B:$B,"A21")</f>
        <v>53677727</v>
      </c>
      <c r="G619" s="652">
        <f>SUMIFS('Elimination - PL'!I:I,'Elimination - PL'!A:A,"EA21",'Elimination - PL'!D:D,'Standalone TB'!B619)</f>
        <v>0</v>
      </c>
      <c r="H619" s="652">
        <f t="shared" si="78"/>
        <v>53677727</v>
      </c>
      <c r="I619" s="652">
        <v>863580</v>
      </c>
      <c r="J619" s="684">
        <v>0</v>
      </c>
      <c r="K619" s="652">
        <f>SUMIFS(OBE!$H:$H,OBE!$C:$C,'Standalone TB'!$B619,OBE!$B:$B,"A22")</f>
        <v>0</v>
      </c>
      <c r="L619" s="652">
        <f>SUMIFS('Elimination - PL'!I:I,'Elimination - PL'!A:A,"EA22",'Elimination - PL'!D:D,'Standalone TB'!B619)</f>
        <v>0</v>
      </c>
      <c r="M619" s="652">
        <f t="shared" si="75"/>
        <v>0</v>
      </c>
      <c r="N619" s="652">
        <f t="shared" si="72"/>
        <v>0</v>
      </c>
      <c r="O619" s="652">
        <v>0</v>
      </c>
      <c r="P619" s="685">
        <v>0</v>
      </c>
      <c r="Q619" s="684">
        <v>122036.4</v>
      </c>
      <c r="R619" s="652">
        <f>SUMIFS(OBE!$H:$H,OBE!$C:$C,'Standalone TB'!$B619,OBE!$B:$B,"A20")</f>
        <v>0</v>
      </c>
      <c r="S619" s="652">
        <f>SUMIFS('Elimination - PL'!I:I,'Elimination - PL'!A:A,"EA20",'Elimination - PL'!D:D,'Standalone TB'!B619)</f>
        <v>0</v>
      </c>
      <c r="T619" s="652">
        <f t="shared" si="76"/>
        <v>122036.4</v>
      </c>
      <c r="U619" s="652">
        <f t="shared" si="73"/>
        <v>10302527.515660429</v>
      </c>
      <c r="V619" s="652">
        <v>0</v>
      </c>
      <c r="W619" s="685">
        <v>0</v>
      </c>
      <c r="X619" s="689">
        <f t="shared" si="74"/>
        <v>63980254.515660428</v>
      </c>
      <c r="Y619" s="689">
        <f t="shared" si="77"/>
        <v>863580</v>
      </c>
      <c r="Z619" s="662" t="s">
        <v>845</v>
      </c>
      <c r="AA619" s="666" t="s">
        <v>152</v>
      </c>
      <c r="AB619" s="666" t="s">
        <v>2802</v>
      </c>
      <c r="AD619" s="665"/>
    </row>
    <row r="620" spans="2:30" hidden="1" x14ac:dyDescent="0.2">
      <c r="B620" s="673" t="s">
        <v>2803</v>
      </c>
      <c r="C620" s="666" t="s">
        <v>2804</v>
      </c>
      <c r="D620" s="666" t="s">
        <v>670</v>
      </c>
      <c r="E620" s="684"/>
      <c r="F620" s="652">
        <f>SUMIFS(OBE!$H:$H,OBE!$C:$C,'Standalone TB'!$B620,OBE!$B:$B,"A21")</f>
        <v>0</v>
      </c>
      <c r="G620" s="652">
        <f>SUMIFS('Elimination - PL'!I:I,'Elimination - PL'!A:A,"EA21",'Elimination - PL'!D:D,'Standalone TB'!B620)</f>
        <v>0</v>
      </c>
      <c r="J620" s="684">
        <v>63960.93</v>
      </c>
      <c r="K620" s="652">
        <f>SUMIFS(OBE!$H:$H,OBE!$C:$C,'Standalone TB'!$B620,OBE!$B:$B,"A22")</f>
        <v>0</v>
      </c>
      <c r="L620" s="652">
        <f>SUMIFS('Elimination - PL'!I:I,'Elimination - PL'!A:A,"EA22",'Elimination - PL'!D:D,'Standalone TB'!B620)</f>
        <v>0</v>
      </c>
      <c r="M620" s="652">
        <f t="shared" si="75"/>
        <v>63960.93</v>
      </c>
      <c r="N620" s="652">
        <f t="shared" si="72"/>
        <v>1470050.6219654998</v>
      </c>
      <c r="O620" s="652">
        <v>0</v>
      </c>
      <c r="P620" s="685"/>
      <c r="Q620" s="684">
        <v>0</v>
      </c>
      <c r="R620" s="652">
        <f>SUMIFS(OBE!$H:$H,OBE!$C:$C,'Standalone TB'!$B620,OBE!$B:$B,"A20")</f>
        <v>0</v>
      </c>
      <c r="S620" s="652">
        <f>SUMIFS('Elimination - PL'!I:I,'Elimination - PL'!A:A,"EA20",'Elimination - PL'!D:D,'Standalone TB'!B620)</f>
        <v>0</v>
      </c>
      <c r="T620" s="652">
        <f t="shared" si="76"/>
        <v>0</v>
      </c>
      <c r="U620" s="652">
        <f t="shared" si="73"/>
        <v>0</v>
      </c>
      <c r="W620" s="685"/>
      <c r="X620" s="689">
        <f t="shared" si="74"/>
        <v>1470050.6219654998</v>
      </c>
      <c r="Y620" s="689">
        <f t="shared" si="77"/>
        <v>0</v>
      </c>
      <c r="Z620" s="662" t="s">
        <v>845</v>
      </c>
      <c r="AA620" s="666" t="s">
        <v>152</v>
      </c>
      <c r="AB620" s="666" t="s">
        <v>2802</v>
      </c>
      <c r="AD620" s="665"/>
    </row>
    <row r="621" spans="2:30" hidden="1" x14ac:dyDescent="0.2">
      <c r="B621" s="673" t="s">
        <v>2805</v>
      </c>
      <c r="C621" s="666" t="s">
        <v>2806</v>
      </c>
      <c r="D621" s="666" t="s">
        <v>670</v>
      </c>
      <c r="E621" s="684">
        <v>0</v>
      </c>
      <c r="F621" s="652">
        <f>SUMIFS(OBE!$H:$H,OBE!$C:$C,'Standalone TB'!$B621,OBE!$B:$B,"A21")</f>
        <v>0</v>
      </c>
      <c r="G621" s="652">
        <f>SUMIFS('Elimination - PL'!I:I,'Elimination - PL'!A:A,"EA21",'Elimination - PL'!D:D,'Standalone TB'!B621)</f>
        <v>0</v>
      </c>
      <c r="H621" s="652">
        <f>SUM(E621:G621)</f>
        <v>0</v>
      </c>
      <c r="I621" s="652">
        <v>0</v>
      </c>
      <c r="J621" s="684">
        <v>0</v>
      </c>
      <c r="K621" s="652">
        <f>SUMIFS(OBE!$H:$H,OBE!$C:$C,'Standalone TB'!$B621,OBE!$B:$B,"A22")</f>
        <v>0</v>
      </c>
      <c r="L621" s="652">
        <f>SUMIFS('Elimination - PL'!I:I,'Elimination - PL'!A:A,"EA22",'Elimination - PL'!D:D,'Standalone TB'!B621)</f>
        <v>0</v>
      </c>
      <c r="M621" s="652">
        <f t="shared" si="75"/>
        <v>0</v>
      </c>
      <c r="N621" s="652">
        <f t="shared" si="72"/>
        <v>0</v>
      </c>
      <c r="O621" s="652">
        <v>0</v>
      </c>
      <c r="P621" s="685">
        <v>0</v>
      </c>
      <c r="Q621" s="684">
        <v>0</v>
      </c>
      <c r="R621" s="652">
        <f>SUMIFS(OBE!$H:$H,OBE!$C:$C,'Standalone TB'!$B621,OBE!$B:$B,"A20")</f>
        <v>0</v>
      </c>
      <c r="S621" s="652">
        <f>SUMIFS('Elimination - PL'!I:I,'Elimination - PL'!A:A,"EA20",'Elimination - PL'!D:D,'Standalone TB'!B621)</f>
        <v>0</v>
      </c>
      <c r="T621" s="652">
        <f t="shared" si="76"/>
        <v>0</v>
      </c>
      <c r="U621" s="652">
        <f t="shared" si="73"/>
        <v>0</v>
      </c>
      <c r="V621" s="652">
        <v>0</v>
      </c>
      <c r="W621" s="685">
        <v>0</v>
      </c>
      <c r="X621" s="689">
        <f t="shared" si="74"/>
        <v>0</v>
      </c>
      <c r="Y621" s="689">
        <f t="shared" si="77"/>
        <v>0</v>
      </c>
      <c r="AA621" s="666" t="s">
        <v>152</v>
      </c>
      <c r="AB621" s="666" t="s">
        <v>2314</v>
      </c>
      <c r="AD621" s="665"/>
    </row>
    <row r="622" spans="2:30" hidden="1" x14ac:dyDescent="0.2">
      <c r="B622" s="673" t="s">
        <v>2807</v>
      </c>
      <c r="C622" s="666" t="s">
        <v>2808</v>
      </c>
      <c r="D622" s="666" t="s">
        <v>670</v>
      </c>
      <c r="E622" s="684">
        <v>0</v>
      </c>
      <c r="F622" s="652">
        <f>SUMIFS(OBE!$H:$H,OBE!$C:$C,'Standalone TB'!$B622,OBE!$B:$B,"A21")</f>
        <v>0</v>
      </c>
      <c r="G622" s="652">
        <f>SUMIFS('Elimination - PL'!I:I,'Elimination - PL'!A:A,"EA21",'Elimination - PL'!D:D,'Standalone TB'!B622)</f>
        <v>0</v>
      </c>
      <c r="H622" s="652">
        <f>SUM(E622:G622)</f>
        <v>0</v>
      </c>
      <c r="I622" s="652">
        <v>109471060</v>
      </c>
      <c r="J622" s="684">
        <v>0</v>
      </c>
      <c r="K622" s="652">
        <f>SUMIFS(OBE!$H:$H,OBE!$C:$C,'Standalone TB'!$B622,OBE!$B:$B,"A22")</f>
        <v>0</v>
      </c>
      <c r="L622" s="652">
        <f>SUMIFS('Elimination - PL'!I:I,'Elimination - PL'!A:A,"EA22",'Elimination - PL'!D:D,'Standalone TB'!B622)</f>
        <v>0</v>
      </c>
      <c r="M622" s="652">
        <f t="shared" si="75"/>
        <v>0</v>
      </c>
      <c r="N622" s="652">
        <f t="shared" si="72"/>
        <v>0</v>
      </c>
      <c r="O622" s="652">
        <v>0</v>
      </c>
      <c r="P622" s="685">
        <v>0</v>
      </c>
      <c r="Q622" s="684">
        <v>0</v>
      </c>
      <c r="R622" s="652">
        <f>SUMIFS(OBE!$H:$H,OBE!$C:$C,'Standalone TB'!$B622,OBE!$B:$B,"A20")</f>
        <v>0</v>
      </c>
      <c r="S622" s="652">
        <f>SUMIFS('Elimination - PL'!I:I,'Elimination - PL'!A:A,"EA20",'Elimination - PL'!D:D,'Standalone TB'!B622)</f>
        <v>0</v>
      </c>
      <c r="T622" s="652">
        <f t="shared" si="76"/>
        <v>0</v>
      </c>
      <c r="U622" s="652">
        <f t="shared" si="73"/>
        <v>0</v>
      </c>
      <c r="W622" s="685">
        <v>0</v>
      </c>
      <c r="X622" s="689">
        <f t="shared" si="74"/>
        <v>0</v>
      </c>
      <c r="Y622" s="689">
        <f t="shared" si="77"/>
        <v>109471060</v>
      </c>
      <c r="Z622" s="652" t="s">
        <v>2809</v>
      </c>
      <c r="AA622" s="666" t="s">
        <v>152</v>
      </c>
      <c r="AB622" s="666" t="s">
        <v>2802</v>
      </c>
      <c r="AD622" s="665"/>
    </row>
    <row r="623" spans="2:30" hidden="1" x14ac:dyDescent="0.2">
      <c r="B623" s="673" t="s">
        <v>1540</v>
      </c>
      <c r="C623" s="666" t="s">
        <v>2810</v>
      </c>
      <c r="D623" s="666" t="s">
        <v>670</v>
      </c>
      <c r="E623" s="684">
        <v>0</v>
      </c>
      <c r="F623" s="652">
        <f>SUMIFS(OBE!$H:$H,OBE!$C:$C,'Standalone TB'!$B623,OBE!$B:$B,"A21")</f>
        <v>0</v>
      </c>
      <c r="G623" s="652">
        <f>SUMIFS('Elimination - PL'!I:I,'Elimination - PL'!A:A,"EA21",'Elimination - PL'!D:D,'Standalone TB'!B623)</f>
        <v>0</v>
      </c>
      <c r="H623" s="652">
        <f>SUM(E623:G623)</f>
        <v>0</v>
      </c>
      <c r="I623" s="652">
        <v>0</v>
      </c>
      <c r="J623" s="684">
        <v>0</v>
      </c>
      <c r="K623" s="652">
        <f>SUMIFS(OBE!$H:$H,OBE!$C:$C,'Standalone TB'!$B623,OBE!$B:$B,"A22")</f>
        <v>0</v>
      </c>
      <c r="L623" s="652">
        <f>SUMIFS('Elimination - PL'!I:I,'Elimination - PL'!A:A,"EA22",'Elimination - PL'!D:D,'Standalone TB'!B623)</f>
        <v>0</v>
      </c>
      <c r="M623" s="652">
        <f t="shared" si="75"/>
        <v>0</v>
      </c>
      <c r="N623" s="652">
        <f t="shared" si="72"/>
        <v>0</v>
      </c>
      <c r="O623" s="652">
        <v>0</v>
      </c>
      <c r="P623" s="685">
        <v>0</v>
      </c>
      <c r="Q623" s="684">
        <v>-1017528</v>
      </c>
      <c r="R623" s="652">
        <f>SUMIFS(OBE!$H:$H,OBE!$C:$C,'Standalone TB'!$B623,OBE!$B:$B,"A20")</f>
        <v>1017528</v>
      </c>
      <c r="S623" s="652">
        <f>SUMIFS('Elimination - PL'!I:I,'Elimination - PL'!A:A,"EA20",'Elimination - PL'!D:D,'Standalone TB'!B623)</f>
        <v>0</v>
      </c>
      <c r="T623" s="652">
        <f t="shared" si="76"/>
        <v>0</v>
      </c>
      <c r="U623" s="652">
        <f t="shared" si="73"/>
        <v>0</v>
      </c>
      <c r="W623" s="685">
        <v>0</v>
      </c>
      <c r="X623" s="689">
        <f t="shared" si="74"/>
        <v>0</v>
      </c>
      <c r="Y623" s="689">
        <f t="shared" si="77"/>
        <v>0</v>
      </c>
      <c r="AA623" s="666" t="s">
        <v>152</v>
      </c>
      <c r="AB623" s="666" t="s">
        <v>2314</v>
      </c>
      <c r="AD623" s="665"/>
    </row>
    <row r="624" spans="2:30" hidden="1" x14ac:dyDescent="0.2">
      <c r="H624" s="652">
        <f>H135-I135</f>
        <v>52027496.680000007</v>
      </c>
    </row>
    <row r="625" spans="5:13" hidden="1" x14ac:dyDescent="0.2">
      <c r="E625" s="971">
        <v>-27471640</v>
      </c>
      <c r="G625" s="652"/>
    </row>
    <row r="626" spans="5:13" hidden="1" x14ac:dyDescent="0.2">
      <c r="E626" s="652"/>
      <c r="I626" s="652">
        <f>H282+N282+U282</f>
        <v>29378287.143308684</v>
      </c>
      <c r="K626" s="652">
        <f>K282*O2</f>
        <v>2213735.8040665435</v>
      </c>
    </row>
    <row r="627" spans="5:13" hidden="1" x14ac:dyDescent="0.2">
      <c r="F627" s="652"/>
      <c r="K627" s="652" cm="1">
        <f t="array" ref="K627:M627">K626+'[1]Prepaid Assets'!$D$13:$F$13</f>
        <v>31563055.680752926</v>
      </c>
      <c r="L627" s="652">
        <v>2213735.8040665435</v>
      </c>
      <c r="M627" s="652">
        <v>2213735.8040665435</v>
      </c>
    </row>
    <row r="628" spans="5:13" x14ac:dyDescent="0.2">
      <c r="F628" s="971"/>
      <c r="G628" s="652"/>
      <c r="H628" s="662"/>
    </row>
    <row r="629" spans="5:13" x14ac:dyDescent="0.2">
      <c r="E629" s="972">
        <v>18716951</v>
      </c>
      <c r="F629" s="972">
        <v>5913820</v>
      </c>
    </row>
    <row r="630" spans="5:13" x14ac:dyDescent="0.2">
      <c r="E630" s="972">
        <v>19264394</v>
      </c>
      <c r="F630" s="973">
        <v>6379780.2978505148</v>
      </c>
    </row>
    <row r="631" spans="5:13" x14ac:dyDescent="0.2">
      <c r="E631" s="972">
        <f>E630-E629</f>
        <v>547443</v>
      </c>
      <c r="F631" s="665">
        <f>F630-F629</f>
        <v>465960.29785051476</v>
      </c>
    </row>
    <row r="632" spans="5:13" x14ac:dyDescent="0.2">
      <c r="E632" s="652"/>
    </row>
    <row r="634" spans="5:13" x14ac:dyDescent="0.2">
      <c r="E634" s="652"/>
    </row>
    <row r="635" spans="5:13" x14ac:dyDescent="0.2">
      <c r="F635" s="667"/>
    </row>
  </sheetData>
  <autoFilter ref="B7:AB627" xr:uid="{67040E37-0DAD-442A-AB95-27414832897E}">
    <filterColumn colId="24">
      <filters>
        <filter val="Payable to Group"/>
      </filters>
    </filterColumn>
  </autoFilter>
  <mergeCells count="4">
    <mergeCell ref="E5:I5"/>
    <mergeCell ref="J5:P5"/>
    <mergeCell ref="Q5:W5"/>
    <mergeCell ref="U1:V1"/>
  </mergeCells>
  <conditionalFormatting sqref="B4:B195 B197:B1048576">
    <cfRule type="duplicateValues" dxfId="49" priority="6"/>
  </conditionalFormatting>
  <conditionalFormatting sqref="B18">
    <cfRule type="duplicateValues" dxfId="48" priority="44"/>
  </conditionalFormatting>
  <conditionalFormatting sqref="B23">
    <cfRule type="duplicateValues" dxfId="47" priority="64"/>
  </conditionalFormatting>
  <conditionalFormatting sqref="B36:B37">
    <cfRule type="duplicateValues" dxfId="46" priority="58"/>
  </conditionalFormatting>
  <conditionalFormatting sqref="B40">
    <cfRule type="duplicateValues" dxfId="45" priority="49"/>
  </conditionalFormatting>
  <conditionalFormatting sqref="B41">
    <cfRule type="duplicateValues" dxfId="44" priority="48"/>
  </conditionalFormatting>
  <conditionalFormatting sqref="B42">
    <cfRule type="duplicateValues" dxfId="43" priority="47"/>
  </conditionalFormatting>
  <conditionalFormatting sqref="B53">
    <cfRule type="duplicateValues" dxfId="42" priority="9"/>
    <cfRule type="duplicateValues" dxfId="41" priority="10"/>
  </conditionalFormatting>
  <conditionalFormatting sqref="B54">
    <cfRule type="duplicateValues" dxfId="40" priority="11"/>
    <cfRule type="duplicateValues" dxfId="39" priority="12"/>
  </conditionalFormatting>
  <conditionalFormatting sqref="B55:B56">
    <cfRule type="duplicateValues" dxfId="38" priority="13"/>
    <cfRule type="duplicateValues" dxfId="37" priority="14"/>
  </conditionalFormatting>
  <conditionalFormatting sqref="B57">
    <cfRule type="duplicateValues" dxfId="36" priority="15"/>
    <cfRule type="duplicateValues" dxfId="35" priority="16"/>
  </conditionalFormatting>
  <conditionalFormatting sqref="B65">
    <cfRule type="duplicateValues" dxfId="34" priority="1"/>
    <cfRule type="duplicateValues" dxfId="33" priority="2"/>
  </conditionalFormatting>
  <conditionalFormatting sqref="B80:B83">
    <cfRule type="duplicateValues" dxfId="32" priority="39"/>
    <cfRule type="duplicateValues" dxfId="31" priority="40"/>
  </conditionalFormatting>
  <conditionalFormatting sqref="B108">
    <cfRule type="duplicateValues" dxfId="30" priority="23"/>
    <cfRule type="duplicateValues" dxfId="29" priority="24"/>
  </conditionalFormatting>
  <conditionalFormatting sqref="B118:B122">
    <cfRule type="duplicateValues" dxfId="28" priority="143"/>
  </conditionalFormatting>
  <conditionalFormatting sqref="B132:B133">
    <cfRule type="duplicateValues" dxfId="27" priority="46"/>
  </conditionalFormatting>
  <conditionalFormatting sqref="B164">
    <cfRule type="duplicateValues" dxfId="26" priority="59"/>
  </conditionalFormatting>
  <conditionalFormatting sqref="B196">
    <cfRule type="duplicateValues" dxfId="25" priority="3"/>
    <cfRule type="duplicateValues" dxfId="24" priority="4"/>
    <cfRule type="duplicateValues" dxfId="23" priority="5"/>
  </conditionalFormatting>
  <conditionalFormatting sqref="B207">
    <cfRule type="duplicateValues" dxfId="22" priority="21"/>
    <cfRule type="duplicateValues" dxfId="21" priority="22"/>
  </conditionalFormatting>
  <conditionalFormatting sqref="B212">
    <cfRule type="duplicateValues" dxfId="20" priority="7"/>
    <cfRule type="duplicateValues" dxfId="19" priority="8"/>
  </conditionalFormatting>
  <conditionalFormatting sqref="B213 B208:B211">
    <cfRule type="duplicateValues" dxfId="18" priority="96"/>
  </conditionalFormatting>
  <conditionalFormatting sqref="B246">
    <cfRule type="duplicateValues" dxfId="17" priority="17"/>
    <cfRule type="duplicateValues" dxfId="16" priority="18"/>
  </conditionalFormatting>
  <conditionalFormatting sqref="B247:B272 B214:B245 B84:B107 B58:B64 B4:B52 B197:B206 B66:B79 B109:B195 B274:B1048576">
    <cfRule type="duplicateValues" dxfId="15" priority="41"/>
  </conditionalFormatting>
  <conditionalFormatting sqref="B255">
    <cfRule type="duplicateValues" dxfId="14" priority="45"/>
  </conditionalFormatting>
  <conditionalFormatting sqref="B273">
    <cfRule type="duplicateValues" dxfId="13" priority="35"/>
    <cfRule type="duplicateValues" dxfId="12" priority="36"/>
  </conditionalFormatting>
  <conditionalFormatting sqref="B281">
    <cfRule type="duplicateValues" dxfId="11" priority="57"/>
  </conditionalFormatting>
  <conditionalFormatting sqref="B354">
    <cfRule type="duplicateValues" dxfId="10" priority="51"/>
  </conditionalFormatting>
  <conditionalFormatting sqref="B433">
    <cfRule type="duplicateValues" dxfId="9" priority="50"/>
  </conditionalFormatting>
  <conditionalFormatting sqref="B446">
    <cfRule type="duplicateValues" dxfId="8" priority="53"/>
  </conditionalFormatting>
  <conditionalFormatting sqref="B448">
    <cfRule type="duplicateValues" dxfId="7" priority="121"/>
  </conditionalFormatting>
  <conditionalFormatting sqref="B449">
    <cfRule type="duplicateValues" dxfId="6" priority="42"/>
  </conditionalFormatting>
  <conditionalFormatting sqref="B592">
    <cfRule type="duplicateValues" dxfId="5" priority="54"/>
  </conditionalFormatting>
  <conditionalFormatting sqref="B593 B24:B35 B8:B17 B123:B131 B38:B39 B256:B272 B19:B22 B447 B165:B195 B274:B280 B214:B245 B84:B107 B58:B64 B43:B52 B109:B117 B247:B254 B197:B206 B66:B79 B134:B163 B282:B353 B355:B432 B595:B623 B434:B445 B450:B591">
    <cfRule type="duplicateValues" dxfId="4" priority="447"/>
  </conditionalFormatting>
  <conditionalFormatting sqref="B594">
    <cfRule type="duplicateValues" dxfId="3" priority="52"/>
  </conditionalFormatting>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45CA6-2078-4420-B53B-E5CCA7D6799F}">
  <dimension ref="A1:U404"/>
  <sheetViews>
    <sheetView showGridLines="0" workbookViewId="0">
      <selection activeCell="D130" sqref="D130"/>
    </sheetView>
  </sheetViews>
  <sheetFormatPr defaultColWidth="8.81640625" defaultRowHeight="11.5" x14ac:dyDescent="0.25"/>
  <cols>
    <col min="1" max="1" width="8.81640625" style="720"/>
    <col min="2" max="2" width="11.54296875" style="703" bestFit="1" customWidth="1"/>
    <col min="3" max="3" width="9.54296875" style="702" bestFit="1" customWidth="1"/>
    <col min="4" max="4" width="55.453125" style="703" bestFit="1" customWidth="1"/>
    <col min="5" max="5" width="15.54296875" style="703" bestFit="1" customWidth="1"/>
    <col min="6" max="7" width="17.81640625" style="703" bestFit="1" customWidth="1"/>
    <col min="8" max="8" width="14.1796875" style="703" bestFit="1" customWidth="1"/>
    <col min="9" max="9" width="27.1796875" style="696" bestFit="1" customWidth="1"/>
    <col min="10" max="10" width="8.81640625" style="696"/>
    <col min="11" max="11" width="10.453125" style="696" bestFit="1" customWidth="1"/>
    <col min="12" max="12" width="8.81640625" style="696"/>
    <col min="13" max="13" width="15.81640625" style="696" bestFit="1" customWidth="1"/>
    <col min="14" max="14" width="13.81640625" style="696" bestFit="1" customWidth="1"/>
    <col min="15" max="15" width="10.81640625" style="696" bestFit="1" customWidth="1"/>
    <col min="16" max="16" width="11.1796875" style="696" bestFit="1" customWidth="1"/>
    <col min="17" max="17" width="9" style="696" bestFit="1" customWidth="1"/>
    <col min="18" max="16384" width="8.81640625" style="696"/>
  </cols>
  <sheetData>
    <row r="1" spans="1:14" x14ac:dyDescent="0.25">
      <c r="A1" s="696"/>
      <c r="B1" s="696"/>
      <c r="C1" s="1082"/>
      <c r="D1" s="697"/>
      <c r="E1" s="698"/>
      <c r="F1" s="697">
        <f>SUBTOTAL(9,F3:F1048576)</f>
        <v>696367882.35715616</v>
      </c>
      <c r="G1" s="697">
        <f>SUBTOTAL(9,G3:G1048576)</f>
        <v>696148187.27570212</v>
      </c>
      <c r="H1" s="697">
        <f>SUBTOTAL(9,H3:H1048576)</f>
        <v>219695.08145402372</v>
      </c>
      <c r="I1" s="698">
        <f>F1-G1</f>
        <v>219695.08145403862</v>
      </c>
      <c r="N1" s="698"/>
    </row>
    <row r="2" spans="1:14" x14ac:dyDescent="0.25">
      <c r="A2" s="710" t="s">
        <v>1522</v>
      </c>
      <c r="B2" s="710" t="s">
        <v>1429</v>
      </c>
      <c r="C2" s="711" t="s">
        <v>1432</v>
      </c>
      <c r="D2" s="710" t="s">
        <v>1523</v>
      </c>
      <c r="E2" s="710" t="s">
        <v>1524</v>
      </c>
      <c r="F2" s="710" t="s">
        <v>1435</v>
      </c>
      <c r="G2" s="710" t="s">
        <v>1436</v>
      </c>
      <c r="H2" s="710" t="s">
        <v>1521</v>
      </c>
      <c r="I2" s="701" t="s">
        <v>1525</v>
      </c>
      <c r="K2" s="696" t="s">
        <v>1186</v>
      </c>
    </row>
    <row r="3" spans="1:14" x14ac:dyDescent="0.25">
      <c r="A3" s="703">
        <f>COUNTA($B$3:B3)</f>
        <v>1</v>
      </c>
      <c r="B3" s="703" t="s">
        <v>1526</v>
      </c>
      <c r="C3" s="702" t="s">
        <v>1527</v>
      </c>
      <c r="D3" s="703" t="s">
        <v>1528</v>
      </c>
      <c r="E3" s="703" t="s">
        <v>1428</v>
      </c>
      <c r="F3" s="738"/>
      <c r="G3" s="738">
        <f>-3974609.56034422+6371168</f>
        <v>2396558.4396557799</v>
      </c>
      <c r="H3" s="738">
        <f>F3-G3</f>
        <v>-2396558.4396557799</v>
      </c>
      <c r="I3" s="696" t="s">
        <v>1529</v>
      </c>
    </row>
    <row r="4" spans="1:14" x14ac:dyDescent="0.25">
      <c r="A4" s="703"/>
      <c r="B4" s="703" t="s">
        <v>1526</v>
      </c>
      <c r="C4" s="702" t="s">
        <v>1530</v>
      </c>
      <c r="D4" s="703" t="s">
        <v>1531</v>
      </c>
      <c r="E4" s="703" t="s">
        <v>1428</v>
      </c>
      <c r="F4" s="738">
        <f>G3</f>
        <v>2396558.4396557799</v>
      </c>
      <c r="G4" s="738"/>
      <c r="H4" s="738">
        <f>F4-G4</f>
        <v>2396558.4396557799</v>
      </c>
      <c r="I4" s="696" t="s">
        <v>1529</v>
      </c>
    </row>
    <row r="5" spans="1:14" x14ac:dyDescent="0.25">
      <c r="A5" s="844"/>
      <c r="B5" s="844"/>
      <c r="C5" s="706"/>
      <c r="D5" s="844"/>
      <c r="E5" s="844"/>
      <c r="F5" s="844"/>
      <c r="G5" s="844"/>
      <c r="H5" s="844"/>
      <c r="I5" s="845"/>
    </row>
    <row r="6" spans="1:14" x14ac:dyDescent="0.25">
      <c r="A6" s="703">
        <v>2</v>
      </c>
      <c r="B6" s="703" t="s">
        <v>1526</v>
      </c>
      <c r="C6" s="705" t="s">
        <v>1532</v>
      </c>
      <c r="D6" s="709" t="s">
        <v>1533</v>
      </c>
      <c r="E6" s="703" t="s">
        <v>1428</v>
      </c>
      <c r="F6" s="738">
        <v>20989530</v>
      </c>
      <c r="G6" s="738"/>
      <c r="H6" s="738">
        <f t="shared" ref="H6:H7" si="0">F6-G6</f>
        <v>20989530</v>
      </c>
      <c r="I6" s="696" t="s">
        <v>107</v>
      </c>
    </row>
    <row r="7" spans="1:14" x14ac:dyDescent="0.25">
      <c r="B7" s="703" t="s">
        <v>1526</v>
      </c>
      <c r="C7" s="705" t="s">
        <v>1463</v>
      </c>
      <c r="D7" s="709" t="s">
        <v>1464</v>
      </c>
      <c r="E7" s="703" t="s">
        <v>1428</v>
      </c>
      <c r="F7" s="738"/>
      <c r="G7" s="738">
        <v>20989530</v>
      </c>
      <c r="H7" s="738">
        <f t="shared" si="0"/>
        <v>-20989530</v>
      </c>
      <c r="I7" s="696" t="s">
        <v>107</v>
      </c>
    </row>
    <row r="8" spans="1:14" x14ac:dyDescent="0.25">
      <c r="C8" s="705"/>
      <c r="D8" s="709"/>
      <c r="F8" s="707"/>
      <c r="G8" s="707"/>
      <c r="H8" s="708"/>
    </row>
    <row r="9" spans="1:14" x14ac:dyDescent="0.25">
      <c r="A9" s="720">
        <f>COUNT($A$3:A8)+1</f>
        <v>3</v>
      </c>
      <c r="B9" s="703" t="s">
        <v>1534</v>
      </c>
      <c r="C9" s="702" t="s">
        <v>1535</v>
      </c>
      <c r="D9" s="709" t="str">
        <f>IF(C9="","",_xlfn.XLOOKUP(C9,'Standalone TB'!B:B,'Standalone TB'!C:C))</f>
        <v>NET INCOME FOR THE PERIOD</v>
      </c>
      <c r="E9" s="703" t="s">
        <v>1308</v>
      </c>
      <c r="F9" s="708">
        <v>1021558.5</v>
      </c>
      <c r="H9" s="707">
        <f t="shared" ref="H9:H19" si="1">F9-G9</f>
        <v>1021558.5</v>
      </c>
      <c r="I9" s="696" t="s">
        <v>1536</v>
      </c>
    </row>
    <row r="10" spans="1:14" x14ac:dyDescent="0.25">
      <c r="B10" s="703" t="s">
        <v>1534</v>
      </c>
      <c r="C10" s="705" t="s">
        <v>1537</v>
      </c>
      <c r="D10" s="709" t="str">
        <f>IF(C10="","",_xlfn.XLOOKUP(C10,'Standalone TB'!B:B,'Standalone TB'!C:C))</f>
        <v>Lease liability Real estate</v>
      </c>
      <c r="E10" s="703" t="s">
        <v>1308</v>
      </c>
      <c r="F10" s="707">
        <v>441737.86</v>
      </c>
      <c r="G10" s="707"/>
      <c r="H10" s="707">
        <f t="shared" si="1"/>
        <v>441737.86</v>
      </c>
      <c r="I10" s="696" t="s">
        <v>1536</v>
      </c>
    </row>
    <row r="11" spans="1:14" x14ac:dyDescent="0.25">
      <c r="B11" s="703" t="s">
        <v>1534</v>
      </c>
      <c r="C11" s="705" t="s">
        <v>1538</v>
      </c>
      <c r="D11" s="709" t="str">
        <f>IF(C11="","",_xlfn.XLOOKUP(C11,'Standalone TB'!B:B,'Standalone TB'!C:C))</f>
        <v>281700 Depreciation right of use real estate</v>
      </c>
      <c r="E11" s="703" t="s">
        <v>1308</v>
      </c>
      <c r="F11" s="707">
        <v>118586.1</v>
      </c>
      <c r="G11" s="707"/>
      <c r="H11" s="707">
        <f t="shared" si="1"/>
        <v>118586.1</v>
      </c>
      <c r="I11" s="696" t="s">
        <v>1536</v>
      </c>
    </row>
    <row r="12" spans="1:14" x14ac:dyDescent="0.25">
      <c r="B12" s="703" t="s">
        <v>1534</v>
      </c>
      <c r="C12" s="702" t="s">
        <v>1539</v>
      </c>
      <c r="D12" s="709" t="str">
        <f>IF(C12="","",_xlfn.XLOOKUP(C12,'Standalone TB'!B:B,'Standalone TB'!C:C))</f>
        <v>613207 Reversal rent real estate IFRS 16</v>
      </c>
      <c r="E12" s="703" t="s">
        <v>1308</v>
      </c>
      <c r="F12" s="707">
        <v>116419.76999999999</v>
      </c>
      <c r="G12" s="707"/>
      <c r="H12" s="707">
        <f t="shared" si="1"/>
        <v>116419.76999999999</v>
      </c>
      <c r="I12" s="696" t="s">
        <v>1536</v>
      </c>
    </row>
    <row r="13" spans="1:14" x14ac:dyDescent="0.25">
      <c r="B13" s="703" t="s">
        <v>1534</v>
      </c>
      <c r="C13" s="705" t="s">
        <v>1540</v>
      </c>
      <c r="D13" s="709" t="str">
        <f>IF(C13="","",_xlfn.XLOOKUP(C13,'Standalone TB'!B:B,'Standalone TB'!C:C))</f>
        <v>DEFERRED TAX CHARGES - OCI</v>
      </c>
      <c r="E13" s="703" t="s">
        <v>1308</v>
      </c>
      <c r="F13" s="707">
        <v>1017528</v>
      </c>
      <c r="G13" s="707"/>
      <c r="H13" s="707">
        <f t="shared" si="1"/>
        <v>1017528</v>
      </c>
      <c r="I13" s="696" t="s">
        <v>1536</v>
      </c>
    </row>
    <row r="14" spans="1:14" x14ac:dyDescent="0.25">
      <c r="B14" s="703" t="s">
        <v>1534</v>
      </c>
      <c r="C14" s="705" t="s">
        <v>1541</v>
      </c>
      <c r="D14" s="709" t="str">
        <f>IF(C14="","",_xlfn.XLOOKUP(C14,'Standalone TB'!B:B,'Standalone TB'!C:C))</f>
        <v>Manual Accruals in FI - IFRS 16</v>
      </c>
      <c r="E14" s="703" t="s">
        <v>1308</v>
      </c>
      <c r="F14" s="707"/>
      <c r="G14" s="707">
        <v>13596.84</v>
      </c>
      <c r="H14" s="707">
        <f t="shared" si="1"/>
        <v>-13596.84</v>
      </c>
      <c r="I14" s="696" t="s">
        <v>1536</v>
      </c>
    </row>
    <row r="15" spans="1:14" x14ac:dyDescent="0.25">
      <c r="B15" s="703" t="s">
        <v>1534</v>
      </c>
      <c r="C15" s="705" t="s">
        <v>1542</v>
      </c>
      <c r="D15" s="709" t="str">
        <f>IF(C15="","",_xlfn.XLOOKUP(C15,'Standalone TB'!B:B,'Standalone TB'!C:C))</f>
        <v>664011 Financial interests on lease liability Real estate</v>
      </c>
      <c r="E15" s="703" t="s">
        <v>1308</v>
      </c>
      <c r="F15" s="707"/>
      <c r="G15" s="707">
        <v>49702.319999999992</v>
      </c>
      <c r="H15" s="707">
        <f t="shared" si="1"/>
        <v>-49702.319999999992</v>
      </c>
      <c r="I15" s="696" t="s">
        <v>1536</v>
      </c>
    </row>
    <row r="16" spans="1:14" x14ac:dyDescent="0.25">
      <c r="B16" s="703" t="s">
        <v>1534</v>
      </c>
      <c r="C16" s="705" t="s">
        <v>1543</v>
      </c>
      <c r="D16" s="709" t="str">
        <f>IF(C16="","",_xlfn.XLOOKUP(C16,'Standalone TB'!B:B,'Standalone TB'!C:C))</f>
        <v>681210 Depreciations and impairment right of use - IndAS</v>
      </c>
      <c r="E16" s="703" t="s">
        <v>1308</v>
      </c>
      <c r="F16" s="707"/>
      <c r="G16" s="707">
        <v>113860.32</v>
      </c>
      <c r="H16" s="707">
        <f t="shared" si="1"/>
        <v>-113860.32</v>
      </c>
      <c r="I16" s="696" t="s">
        <v>1536</v>
      </c>
    </row>
    <row r="17" spans="1:16" x14ac:dyDescent="0.25">
      <c r="B17" s="703" t="s">
        <v>1534</v>
      </c>
      <c r="C17" s="705" t="s">
        <v>1544</v>
      </c>
      <c r="D17" s="709" t="str">
        <f>IF(C17="","",_xlfn.XLOOKUP(C17,'Standalone TB'!B:B,'Standalone TB'!C:C))</f>
        <v>Deferred Tax - Loss Carry Forward</v>
      </c>
      <c r="E17" s="703" t="s">
        <v>1308</v>
      </c>
      <c r="F17" s="707"/>
      <c r="G17" s="707">
        <v>1891063</v>
      </c>
      <c r="H17" s="707">
        <f t="shared" si="1"/>
        <v>-1891063</v>
      </c>
      <c r="I17" s="696" t="s">
        <v>1536</v>
      </c>
    </row>
    <row r="18" spans="1:16" x14ac:dyDescent="0.25">
      <c r="B18" s="703" t="s">
        <v>1534</v>
      </c>
      <c r="C18" s="705" t="s">
        <v>1545</v>
      </c>
      <c r="D18" s="709" t="str">
        <f>IF(C18="","",_xlfn.XLOOKUP(C18,'Standalone TB'!B:B,'Standalone TB'!C:C))</f>
        <v>DEFERRED TAX</v>
      </c>
      <c r="E18" s="703" t="s">
        <v>1308</v>
      </c>
      <c r="F18" s="707"/>
      <c r="G18" s="707">
        <v>149102</v>
      </c>
      <c r="H18" s="707">
        <f t="shared" si="1"/>
        <v>-149102</v>
      </c>
      <c r="I18" s="696" t="s">
        <v>1536</v>
      </c>
    </row>
    <row r="19" spans="1:16" x14ac:dyDescent="0.25">
      <c r="B19" s="703" t="s">
        <v>1534</v>
      </c>
      <c r="C19" s="702" t="s">
        <v>1546</v>
      </c>
      <c r="D19" s="709" t="str">
        <f>IF(C19="","",_xlfn.XLOOKUP(C19,'Standalone TB'!B:B,'Standalone TB'!C:C))</f>
        <v>217000 Right of use real estate</v>
      </c>
      <c r="E19" s="703" t="s">
        <v>1308</v>
      </c>
      <c r="F19" s="707"/>
      <c r="G19" s="707">
        <v>498505.75</v>
      </c>
      <c r="H19" s="707">
        <f t="shared" si="1"/>
        <v>-498505.75</v>
      </c>
      <c r="I19" s="696" t="s">
        <v>1536</v>
      </c>
    </row>
    <row r="20" spans="1:16" x14ac:dyDescent="0.25">
      <c r="C20" s="705"/>
      <c r="D20" s="709"/>
      <c r="F20" s="709"/>
      <c r="H20" s="708"/>
    </row>
    <row r="21" spans="1:16" x14ac:dyDescent="0.25">
      <c r="A21" s="720">
        <f>A9+1</f>
        <v>4</v>
      </c>
      <c r="B21" s="703" t="s">
        <v>1534</v>
      </c>
      <c r="C21" s="705" t="s">
        <v>1547</v>
      </c>
      <c r="D21" s="709" t="str">
        <f>IF(C21="","",_xlfn.XLOOKUP(C21,'Standalone TB'!B:B,'Standalone TB'!C:C))</f>
        <v>OTHER PROFESSIONAL FEES</v>
      </c>
      <c r="E21" s="703" t="s">
        <v>1308</v>
      </c>
      <c r="F21" s="707">
        <v>80000</v>
      </c>
      <c r="G21" s="707"/>
      <c r="H21" s="707">
        <f t="shared" ref="H21:H26" si="2">F21-G21</f>
        <v>80000</v>
      </c>
      <c r="I21" s="696" t="s">
        <v>1548</v>
      </c>
    </row>
    <row r="22" spans="1:16" x14ac:dyDescent="0.25">
      <c r="B22" s="703" t="s">
        <v>1534</v>
      </c>
      <c r="C22" s="705" t="s">
        <v>1549</v>
      </c>
      <c r="D22" s="709" t="str">
        <f>IF(C22="","",_xlfn.XLOOKUP(C22,'Standalone TB'!B:B,'Standalone TB'!C:C))</f>
        <v>671400 IRRECOVERABLE DEBTS OF THE PERIOD</v>
      </c>
      <c r="E22" s="703" t="s">
        <v>1308</v>
      </c>
      <c r="F22" s="707">
        <v>17429.2</v>
      </c>
      <c r="G22" s="707"/>
      <c r="H22" s="707">
        <f t="shared" si="2"/>
        <v>17429.2</v>
      </c>
      <c r="I22" s="696" t="s">
        <v>1548</v>
      </c>
    </row>
    <row r="23" spans="1:16" x14ac:dyDescent="0.25">
      <c r="B23" s="703" t="s">
        <v>1534</v>
      </c>
      <c r="C23" s="705" t="s">
        <v>1474</v>
      </c>
      <c r="D23" s="709" t="str">
        <f>IF(C23="","",_xlfn.XLOOKUP(C23,'Standalone TB'!B:B,'Standalone TB'!C:C))</f>
        <v>SALES OF SERVICES - LOCAL</v>
      </c>
      <c r="E23" s="703" t="s">
        <v>1308</v>
      </c>
      <c r="F23" s="707">
        <v>230946.54</v>
      </c>
      <c r="G23" s="707"/>
      <c r="H23" s="707">
        <f t="shared" si="2"/>
        <v>230946.54</v>
      </c>
      <c r="I23" s="696" t="s">
        <v>1548</v>
      </c>
    </row>
    <row r="24" spans="1:16" x14ac:dyDescent="0.25">
      <c r="B24" s="703" t="s">
        <v>1534</v>
      </c>
      <c r="C24" s="705" t="s">
        <v>1444</v>
      </c>
      <c r="D24" s="709" t="str">
        <f>IF(C24="","",_xlfn.XLOOKUP(C24,'Standalone TB'!B:B,'Standalone TB'!C:C))</f>
        <v>Work in Process (Increase) / Decrease</v>
      </c>
      <c r="E24" s="703" t="s">
        <v>1308</v>
      </c>
      <c r="F24" s="707"/>
      <c r="G24" s="707">
        <v>131200.00000000023</v>
      </c>
      <c r="H24" s="707">
        <f t="shared" si="2"/>
        <v>-131200.00000000023</v>
      </c>
      <c r="I24" s="696" t="s">
        <v>1548</v>
      </c>
      <c r="K24" s="938">
        <v>960846</v>
      </c>
    </row>
    <row r="25" spans="1:16" x14ac:dyDescent="0.25">
      <c r="B25" s="703" t="s">
        <v>1534</v>
      </c>
      <c r="C25" s="705" t="s">
        <v>1550</v>
      </c>
      <c r="D25" s="709" t="str">
        <f>IF(C25="","",_xlfn.XLOOKUP(C25,'Standalone TB'!B:B,'Standalone TB'!C:C))</f>
        <v>491010 Valuation allowances on receivables - general</v>
      </c>
      <c r="E25" s="703" t="s">
        <v>1308</v>
      </c>
      <c r="F25" s="707"/>
      <c r="G25" s="707">
        <v>3744.8631577256001</v>
      </c>
      <c r="H25" s="707">
        <f t="shared" si="2"/>
        <v>-3744.8631577256001</v>
      </c>
      <c r="I25" s="696" t="s">
        <v>1548</v>
      </c>
    </row>
    <row r="26" spans="1:16" x14ac:dyDescent="0.25">
      <c r="B26" s="703" t="s">
        <v>1534</v>
      </c>
      <c r="C26" s="702" t="s">
        <v>1535</v>
      </c>
      <c r="D26" s="709" t="str">
        <f>IF(C26="","",_xlfn.XLOOKUP(C26,'Standalone TB'!B:B,'Standalone TB'!C:C))</f>
        <v>NET INCOME FOR THE PERIOD</v>
      </c>
      <c r="E26" s="703" t="s">
        <v>1308</v>
      </c>
      <c r="F26" s="707"/>
      <c r="G26" s="707">
        <v>193430.87684227401</v>
      </c>
      <c r="H26" s="707">
        <f t="shared" si="2"/>
        <v>-193430.87684227401</v>
      </c>
      <c r="I26" s="696" t="s">
        <v>1548</v>
      </c>
    </row>
    <row r="27" spans="1:16" x14ac:dyDescent="0.25">
      <c r="C27" s="705"/>
      <c r="D27" s="709"/>
      <c r="F27" s="709"/>
      <c r="H27" s="708"/>
      <c r="O27" s="700"/>
      <c r="P27" s="697"/>
    </row>
    <row r="28" spans="1:16" x14ac:dyDescent="0.25">
      <c r="A28" s="720">
        <f>A21+1</f>
        <v>5</v>
      </c>
      <c r="B28" s="703" t="s">
        <v>1551</v>
      </c>
      <c r="C28" s="705" t="s">
        <v>1537</v>
      </c>
      <c r="D28" s="709" t="s">
        <v>1552</v>
      </c>
      <c r="E28" s="703" t="s">
        <v>1297</v>
      </c>
      <c r="F28" s="707">
        <v>5.77</v>
      </c>
      <c r="G28" s="707"/>
      <c r="H28" s="707">
        <f t="shared" ref="H28:H33" si="3">F28-G28</f>
        <v>5.77</v>
      </c>
      <c r="I28" s="696" t="s">
        <v>1536</v>
      </c>
      <c r="P28" s="697"/>
    </row>
    <row r="29" spans="1:16" x14ac:dyDescent="0.25">
      <c r="B29" s="703" t="s">
        <v>1551</v>
      </c>
      <c r="C29" s="705" t="s">
        <v>1538</v>
      </c>
      <c r="D29" s="709" t="s">
        <v>1553</v>
      </c>
      <c r="E29" s="703" t="s">
        <v>1297</v>
      </c>
      <c r="F29" s="707"/>
      <c r="G29" s="707">
        <v>11517.3</v>
      </c>
      <c r="H29" s="707">
        <f t="shared" si="3"/>
        <v>-11517.3</v>
      </c>
      <c r="I29" s="696" t="s">
        <v>1536</v>
      </c>
      <c r="O29" s="698"/>
      <c r="P29" s="698"/>
    </row>
    <row r="30" spans="1:16" x14ac:dyDescent="0.25">
      <c r="B30" s="703" t="s">
        <v>1551</v>
      </c>
      <c r="C30" s="705" t="s">
        <v>1539</v>
      </c>
      <c r="D30" s="709" t="s">
        <v>1554</v>
      </c>
      <c r="E30" s="703" t="s">
        <v>1297</v>
      </c>
      <c r="F30" s="707"/>
      <c r="G30" s="707">
        <v>11505.830000000002</v>
      </c>
      <c r="H30" s="707">
        <f t="shared" si="3"/>
        <v>-11505.830000000002</v>
      </c>
      <c r="I30" s="696" t="s">
        <v>1536</v>
      </c>
      <c r="P30" s="698"/>
    </row>
    <row r="31" spans="1:16" x14ac:dyDescent="0.25">
      <c r="B31" s="703" t="s">
        <v>1551</v>
      </c>
      <c r="C31" s="702" t="s">
        <v>1542</v>
      </c>
      <c r="D31" s="709" t="s">
        <v>1555</v>
      </c>
      <c r="E31" s="703" t="s">
        <v>1297</v>
      </c>
      <c r="F31" s="707"/>
      <c r="G31" s="707">
        <v>5.77</v>
      </c>
      <c r="H31" s="707">
        <f t="shared" si="3"/>
        <v>-5.77</v>
      </c>
      <c r="I31" s="696" t="s">
        <v>1536</v>
      </c>
      <c r="P31" s="697"/>
    </row>
    <row r="32" spans="1:16" x14ac:dyDescent="0.25">
      <c r="B32" s="703" t="s">
        <v>1551</v>
      </c>
      <c r="C32" s="705" t="s">
        <v>1541</v>
      </c>
      <c r="D32" s="709" t="s">
        <v>1556</v>
      </c>
      <c r="E32" s="703" t="s">
        <v>1297</v>
      </c>
      <c r="F32" s="707">
        <v>11505.83</v>
      </c>
      <c r="G32" s="707"/>
      <c r="H32" s="707">
        <f t="shared" si="3"/>
        <v>11505.83</v>
      </c>
      <c r="I32" s="696" t="s">
        <v>1536</v>
      </c>
    </row>
    <row r="33" spans="1:13" x14ac:dyDescent="0.25">
      <c r="B33" s="703" t="s">
        <v>1551</v>
      </c>
      <c r="C33" s="705" t="s">
        <v>1543</v>
      </c>
      <c r="D33" s="709" t="s">
        <v>1557</v>
      </c>
      <c r="E33" s="703" t="s">
        <v>1297</v>
      </c>
      <c r="F33" s="707">
        <v>11517.3</v>
      </c>
      <c r="G33" s="707"/>
      <c r="H33" s="707">
        <f t="shared" si="3"/>
        <v>11517.3</v>
      </c>
      <c r="I33" s="696" t="s">
        <v>1536</v>
      </c>
    </row>
    <row r="34" spans="1:13" x14ac:dyDescent="0.25">
      <c r="C34" s="705"/>
      <c r="D34" s="709"/>
      <c r="F34" s="707"/>
      <c r="G34" s="707"/>
      <c r="H34" s="708"/>
    </row>
    <row r="35" spans="1:13" x14ac:dyDescent="0.25">
      <c r="A35" s="720">
        <f>A28+1</f>
        <v>6</v>
      </c>
      <c r="B35" s="703" t="s">
        <v>1526</v>
      </c>
      <c r="C35" s="705" t="s">
        <v>1558</v>
      </c>
      <c r="D35" s="709" t="s">
        <v>1559</v>
      </c>
      <c r="E35" s="703" t="s">
        <v>1428</v>
      </c>
      <c r="F35" s="738">
        <v>76088815.010000005</v>
      </c>
      <c r="G35" s="738"/>
      <c r="H35" s="738">
        <f t="shared" ref="H35:H39" si="4">F35-G35</f>
        <v>76088815.010000005</v>
      </c>
      <c r="I35" s="696" t="s">
        <v>1560</v>
      </c>
      <c r="M35" s="700"/>
    </row>
    <row r="36" spans="1:13" x14ac:dyDescent="0.25">
      <c r="B36" s="703" t="s">
        <v>1526</v>
      </c>
      <c r="C36" s="705" t="s">
        <v>1561</v>
      </c>
      <c r="D36" s="709" t="s">
        <v>1562</v>
      </c>
      <c r="E36" s="703" t="s">
        <v>1428</v>
      </c>
      <c r="F36" s="738"/>
      <c r="G36" s="738">
        <v>76088815.010000005</v>
      </c>
      <c r="H36" s="738">
        <f t="shared" si="4"/>
        <v>-76088815.010000005</v>
      </c>
      <c r="I36" s="696" t="s">
        <v>1560</v>
      </c>
      <c r="M36" s="700"/>
    </row>
    <row r="37" spans="1:13" x14ac:dyDescent="0.25">
      <c r="C37" s="705"/>
      <c r="D37" s="709"/>
      <c r="G37" s="709"/>
      <c r="H37" s="708"/>
      <c r="M37" s="700"/>
    </row>
    <row r="38" spans="1:13" x14ac:dyDescent="0.25">
      <c r="A38" s="720">
        <f>A35+1</f>
        <v>7</v>
      </c>
      <c r="B38" s="703" t="s">
        <v>1526</v>
      </c>
      <c r="C38" s="702" t="s">
        <v>1563</v>
      </c>
      <c r="D38" s="709" t="s">
        <v>1564</v>
      </c>
      <c r="E38" s="703" t="s">
        <v>1428</v>
      </c>
      <c r="F38" s="738">
        <v>58877497</v>
      </c>
      <c r="G38" s="738"/>
      <c r="H38" s="738">
        <f>F38-G38</f>
        <v>58877497</v>
      </c>
      <c r="I38" s="696" t="s">
        <v>1565</v>
      </c>
    </row>
    <row r="39" spans="1:13" x14ac:dyDescent="0.25">
      <c r="B39" s="703" t="s">
        <v>1526</v>
      </c>
      <c r="C39" s="705" t="s">
        <v>1566</v>
      </c>
      <c r="D39" s="709" t="s">
        <v>1567</v>
      </c>
      <c r="E39" s="703" t="s">
        <v>1428</v>
      </c>
      <c r="F39" s="738"/>
      <c r="G39" s="738">
        <v>58877497</v>
      </c>
      <c r="H39" s="738">
        <f t="shared" si="4"/>
        <v>-58877497</v>
      </c>
      <c r="I39" s="696" t="s">
        <v>1565</v>
      </c>
    </row>
    <row r="40" spans="1:13" x14ac:dyDescent="0.25">
      <c r="C40" s="705"/>
      <c r="D40" s="709"/>
      <c r="G40" s="709"/>
      <c r="H40" s="708"/>
    </row>
    <row r="41" spans="1:13" x14ac:dyDescent="0.25">
      <c r="A41" s="720">
        <f>A38+1</f>
        <v>8</v>
      </c>
      <c r="B41" s="703" t="s">
        <v>1526</v>
      </c>
      <c r="C41" s="702" t="s">
        <v>1568</v>
      </c>
      <c r="D41" s="709" t="str">
        <f>IF(C41="","",_xlfn.XLOOKUP(OBE!C41,'Standalone TB'!B:B,'Standalone TB'!C:C))</f>
        <v>Non-realized exchange loss</v>
      </c>
      <c r="E41" s="703" t="s">
        <v>1428</v>
      </c>
      <c r="F41" s="738">
        <f>G42</f>
        <v>673409.956117052</v>
      </c>
      <c r="G41" s="738"/>
      <c r="H41" s="738">
        <f t="shared" ref="H41:H42" si="5">F41-G41</f>
        <v>673409.956117052</v>
      </c>
      <c r="I41" s="696" t="s">
        <v>1569</v>
      </c>
    </row>
    <row r="42" spans="1:13" x14ac:dyDescent="0.25">
      <c r="B42" s="703" t="s">
        <v>1526</v>
      </c>
      <c r="C42" s="729" t="s">
        <v>1570</v>
      </c>
      <c r="D42" s="709" t="str">
        <f>IF(C42="","",_xlfn.XLOOKUP(OBE!C42,'Standalone TB'!B:B,'Standalone TB'!C:C))</f>
        <v>Depreciation - Network</v>
      </c>
      <c r="E42" s="703" t="s">
        <v>1428</v>
      </c>
      <c r="F42" s="738"/>
      <c r="G42" s="738">
        <v>673409.956117052</v>
      </c>
      <c r="H42" s="738">
        <f t="shared" si="5"/>
        <v>-673409.956117052</v>
      </c>
      <c r="I42" s="696" t="s">
        <v>1569</v>
      </c>
    </row>
    <row r="43" spans="1:13" x14ac:dyDescent="0.25">
      <c r="C43" s="705"/>
      <c r="D43" s="709" t="str">
        <f>IF(C43="","",_xlfn.XLOOKUP(C43,'Standalone TB'!B:B,'Standalone TB'!C:C))</f>
        <v/>
      </c>
      <c r="F43" s="709"/>
      <c r="H43" s="708"/>
    </row>
    <row r="44" spans="1:13" x14ac:dyDescent="0.25">
      <c r="A44" s="720">
        <f>A41+1</f>
        <v>9</v>
      </c>
      <c r="B44" s="703" t="s">
        <v>1526</v>
      </c>
      <c r="C44" s="705" t="s">
        <v>1571</v>
      </c>
      <c r="D44" s="709" t="str">
        <f>IF(C44="","",_xlfn.XLOOKUP(C44,'Standalone TB'!B:B,'Standalone TB'!C:C))</f>
        <v>OFFICE FURNITURE</v>
      </c>
      <c r="E44" s="703" t="s">
        <v>1428</v>
      </c>
      <c r="F44" s="738">
        <v>3777</v>
      </c>
      <c r="G44" s="738"/>
      <c r="H44" s="959">
        <f t="shared" ref="H44:H60" si="6">F44-G44</f>
        <v>3777</v>
      </c>
      <c r="I44" s="696" t="s">
        <v>1572</v>
      </c>
    </row>
    <row r="45" spans="1:13" x14ac:dyDescent="0.25">
      <c r="B45" s="703" t="s">
        <v>1526</v>
      </c>
      <c r="C45" s="705" t="s">
        <v>1573</v>
      </c>
      <c r="D45" s="709" t="str">
        <f>IF(C45="","",_xlfn.XLOOKUP(C45,'Standalone TB'!B:B,'Standalone TB'!C:C))</f>
        <v>Network</v>
      </c>
      <c r="E45" s="703" t="s">
        <v>1428</v>
      </c>
      <c r="F45" s="738"/>
      <c r="G45" s="738">
        <v>2055</v>
      </c>
      <c r="H45" s="959">
        <f t="shared" si="6"/>
        <v>-2055</v>
      </c>
      <c r="I45" s="696" t="s">
        <v>1572</v>
      </c>
    </row>
    <row r="46" spans="1:13" x14ac:dyDescent="0.25">
      <c r="B46" s="703" t="s">
        <v>1526</v>
      </c>
      <c r="C46" s="705" t="s">
        <v>1535</v>
      </c>
      <c r="D46" s="709" t="str">
        <f>IF(C46="","",_xlfn.XLOOKUP(C46,'Standalone TB'!B:B,'Standalone TB'!C:C))</f>
        <v>NET INCOME FOR THE PERIOD</v>
      </c>
      <c r="E46" s="703" t="s">
        <v>1428</v>
      </c>
      <c r="F46" s="738"/>
      <c r="G46" s="738">
        <v>1722</v>
      </c>
      <c r="H46" s="959">
        <f t="shared" si="6"/>
        <v>-1722</v>
      </c>
      <c r="I46" s="696" t="s">
        <v>1572</v>
      </c>
    </row>
    <row r="47" spans="1:13" x14ac:dyDescent="0.25">
      <c r="D47" s="709" t="str">
        <f>IF(C47="","",_xlfn.XLOOKUP(C47,'Standalone TB'!B:B,'Standalone TB'!C:C))</f>
        <v/>
      </c>
      <c r="H47" s="708"/>
    </row>
    <row r="48" spans="1:13" x14ac:dyDescent="0.25">
      <c r="A48" s="720">
        <v>10</v>
      </c>
      <c r="B48" s="703" t="s">
        <v>1551</v>
      </c>
      <c r="C48" s="705" t="s">
        <v>1530</v>
      </c>
      <c r="D48" s="709" t="str">
        <f>IF(C48="","",_xlfn.XLOOKUP(C48,'Standalone TB'!B:B,'Standalone TB'!C:C))</f>
        <v>RETAINED EARNINGS</v>
      </c>
      <c r="E48" s="703" t="s">
        <v>1297</v>
      </c>
      <c r="F48" s="709">
        <v>50</v>
      </c>
      <c r="H48" s="736">
        <f t="shared" si="6"/>
        <v>50</v>
      </c>
      <c r="I48" s="696" t="s">
        <v>1574</v>
      </c>
    </row>
    <row r="49" spans="1:11" x14ac:dyDescent="0.25">
      <c r="B49" s="703" t="s">
        <v>1551</v>
      </c>
      <c r="C49" s="705" t="s">
        <v>1460</v>
      </c>
      <c r="D49" s="709" t="str">
        <f>IF(C49="","",_xlfn.XLOOKUP(C49,'Standalone TB'!B:B,'Standalone TB'!C:C))</f>
        <v>EXCHANGE GAINS</v>
      </c>
      <c r="E49" s="703" t="s">
        <v>1297</v>
      </c>
      <c r="G49" s="709">
        <v>50</v>
      </c>
      <c r="H49" s="736">
        <f t="shared" si="6"/>
        <v>-50</v>
      </c>
      <c r="I49" s="696" t="s">
        <v>1574</v>
      </c>
    </row>
    <row r="50" spans="1:11" x14ac:dyDescent="0.25">
      <c r="D50" s="709" t="str">
        <f>IF(C50="","",_xlfn.XLOOKUP(C50,'Standalone TB'!B:B,'Standalone TB'!C:C))</f>
        <v/>
      </c>
      <c r="H50" s="708"/>
    </row>
    <row r="51" spans="1:11" x14ac:dyDescent="0.25">
      <c r="A51" s="720">
        <v>11</v>
      </c>
      <c r="B51" s="703" t="s">
        <v>1534</v>
      </c>
      <c r="C51" s="705" t="s">
        <v>1463</v>
      </c>
      <c r="D51" s="709" t="str">
        <f>IF(C51="","",_xlfn.XLOOKUP(C51,'Standalone TB'!B:B,'Standalone TB'!C:C))</f>
        <v>Offshore Netting Billing</v>
      </c>
      <c r="E51" s="703" t="s">
        <v>1308</v>
      </c>
      <c r="F51" s="703">
        <v>9435.7800000000007</v>
      </c>
      <c r="G51" s="709"/>
      <c r="H51" s="736">
        <f t="shared" si="6"/>
        <v>9435.7800000000007</v>
      </c>
      <c r="I51" s="696" t="s">
        <v>1575</v>
      </c>
      <c r="K51" s="939" t="s">
        <v>1576</v>
      </c>
    </row>
    <row r="52" spans="1:11" x14ac:dyDescent="0.25">
      <c r="B52" s="703" t="s">
        <v>1534</v>
      </c>
      <c r="C52" s="705" t="s">
        <v>1497</v>
      </c>
      <c r="D52" s="709" t="str">
        <f>IF(C52="","",_xlfn.XLOOKUP(C52,'Standalone TB'!B:B,'Standalone TB'!C:C))</f>
        <v>INTERCO FOREIGN VENDORS</v>
      </c>
      <c r="E52" s="703" t="s">
        <v>1308</v>
      </c>
      <c r="G52" s="703">
        <v>9435.7800000000007</v>
      </c>
      <c r="H52" s="736">
        <f t="shared" si="6"/>
        <v>-9435.7800000000007</v>
      </c>
      <c r="I52" s="696" t="s">
        <v>1575</v>
      </c>
      <c r="K52" s="939" t="s">
        <v>1576</v>
      </c>
    </row>
    <row r="53" spans="1:11" x14ac:dyDescent="0.25">
      <c r="C53" s="705"/>
      <c r="D53" s="709" t="str">
        <f>IF(C53="","",_xlfn.XLOOKUP(C53,'Standalone TB'!B:B,'Standalone TB'!C:C))</f>
        <v/>
      </c>
      <c r="F53" s="709"/>
      <c r="G53" s="709"/>
      <c r="H53" s="708"/>
    </row>
    <row r="54" spans="1:11" x14ac:dyDescent="0.25">
      <c r="A54" s="720">
        <f>A51+1</f>
        <v>12</v>
      </c>
      <c r="B54" s="703" t="s">
        <v>1526</v>
      </c>
      <c r="C54" s="705" t="s">
        <v>1504</v>
      </c>
      <c r="D54" s="709" t="str">
        <f>IF(C54="","",_xlfn.XLOOKUP(C54,'Standalone TB'!B:B,'Standalone TB'!C:C))</f>
        <v>TRADE PAYABLES - FOREIGN CURRENCY REVAL</v>
      </c>
      <c r="E54" s="703" t="s">
        <v>1428</v>
      </c>
      <c r="F54" s="738">
        <v>85434002.939999998</v>
      </c>
      <c r="G54" s="738"/>
      <c r="H54" s="959">
        <f t="shared" si="6"/>
        <v>85434002.939999998</v>
      </c>
      <c r="I54" s="696" t="s">
        <v>1577</v>
      </c>
    </row>
    <row r="55" spans="1:11" x14ac:dyDescent="0.25">
      <c r="B55" s="703" t="s">
        <v>1526</v>
      </c>
      <c r="C55" s="702" t="s">
        <v>1568</v>
      </c>
      <c r="D55" s="709" t="str">
        <f>IF(C55="","",_xlfn.XLOOKUP(C55,'Standalone TB'!B:B,'Standalone TB'!C:C))</f>
        <v>Non-realized exchange loss</v>
      </c>
      <c r="E55" s="703" t="s">
        <v>1428</v>
      </c>
      <c r="F55" s="738"/>
      <c r="G55" s="738">
        <f>F54</f>
        <v>85434002.939999998</v>
      </c>
      <c r="H55" s="959">
        <f t="shared" si="6"/>
        <v>-85434002.939999998</v>
      </c>
      <c r="I55" s="696" t="s">
        <v>1577</v>
      </c>
    </row>
    <row r="56" spans="1:11" x14ac:dyDescent="0.25">
      <c r="C56" s="705"/>
      <c r="D56" s="709" t="str">
        <f>IF(C56="","",_xlfn.XLOOKUP(C56,'Standalone TB'!B:B,'Standalone TB'!C:C))</f>
        <v/>
      </c>
      <c r="F56" s="709"/>
      <c r="H56" s="708"/>
    </row>
    <row r="57" spans="1:11" x14ac:dyDescent="0.25">
      <c r="A57" s="720">
        <f>A54+1</f>
        <v>13</v>
      </c>
      <c r="B57" s="703" t="s">
        <v>1551</v>
      </c>
      <c r="C57" s="705" t="s">
        <v>1463</v>
      </c>
      <c r="D57" s="709" t="str">
        <f>IF(C57="","",_xlfn.XLOOKUP(C57,'Standalone TB'!B:B,'Standalone TB'!C:C))</f>
        <v>Offshore Netting Billing</v>
      </c>
      <c r="E57" s="703" t="s">
        <v>1297</v>
      </c>
      <c r="F57" s="707">
        <v>3994.93</v>
      </c>
      <c r="G57" s="707"/>
      <c r="H57" s="736">
        <f t="shared" si="6"/>
        <v>3994.93</v>
      </c>
      <c r="I57" s="696" t="s">
        <v>1578</v>
      </c>
      <c r="K57" s="939" t="s">
        <v>1576</v>
      </c>
    </row>
    <row r="58" spans="1:11" x14ac:dyDescent="0.25">
      <c r="B58" s="703" t="s">
        <v>1551</v>
      </c>
      <c r="C58" s="702" t="s">
        <v>1497</v>
      </c>
      <c r="D58" s="709" t="str">
        <f>IF(C58="","",_xlfn.XLOOKUP(C58,'Standalone TB'!B:B,'Standalone TB'!C:C))</f>
        <v>INTERCO FOREIGN VENDORS</v>
      </c>
      <c r="E58" s="703" t="s">
        <v>1297</v>
      </c>
      <c r="F58" s="707"/>
      <c r="G58" s="707">
        <f>F57</f>
        <v>3994.93</v>
      </c>
      <c r="H58" s="736">
        <f t="shared" si="6"/>
        <v>-3994.93</v>
      </c>
      <c r="I58" s="696" t="s">
        <v>1578</v>
      </c>
      <c r="K58" s="939" t="s">
        <v>1576</v>
      </c>
    </row>
    <row r="59" spans="1:11" x14ac:dyDescent="0.25">
      <c r="C59" s="705"/>
      <c r="D59" s="709" t="str">
        <f>IF(C59="","",_xlfn.XLOOKUP(C59,'Standalone TB'!B:B,'Standalone TB'!C:C))</f>
        <v/>
      </c>
      <c r="F59" s="709"/>
      <c r="H59" s="708"/>
    </row>
    <row r="60" spans="1:11" x14ac:dyDescent="0.25">
      <c r="A60" s="720">
        <f>A57+1</f>
        <v>14</v>
      </c>
      <c r="B60" s="703" t="s">
        <v>1526</v>
      </c>
      <c r="C60" s="702" t="s">
        <v>1568</v>
      </c>
      <c r="D60" s="709" t="str">
        <f>IF(C60="","",_xlfn.XLOOKUP(C60,'Standalone TB'!B:B,'Standalone TB'!C:C))</f>
        <v>Non-realized exchange loss</v>
      </c>
      <c r="E60" s="703" t="s">
        <v>1428</v>
      </c>
      <c r="F60" s="738">
        <f>219695.081454029</f>
        <v>219695.08145402899</v>
      </c>
      <c r="G60" s="738"/>
      <c r="H60" s="959">
        <f t="shared" si="6"/>
        <v>219695.08145402899</v>
      </c>
      <c r="I60" s="696" t="s">
        <v>1579</v>
      </c>
    </row>
    <row r="61" spans="1:11" x14ac:dyDescent="0.25">
      <c r="D61" s="709" t="str">
        <f>IF(C61="","",_xlfn.XLOOKUP(C61,'Standalone TB'!B:B,'Standalone TB'!C:C))</f>
        <v/>
      </c>
      <c r="G61" s="704"/>
      <c r="H61" s="708"/>
    </row>
    <row r="62" spans="1:11" x14ac:dyDescent="0.25">
      <c r="A62" s="720">
        <v>15</v>
      </c>
      <c r="B62" s="703" t="s">
        <v>1526</v>
      </c>
      <c r="C62" s="705" t="s">
        <v>1580</v>
      </c>
      <c r="D62" s="709" t="str">
        <f>IF(C62="","",_xlfn.XLOOKUP(C62,'Standalone TB'!B:B,'Standalone TB'!C:C))</f>
        <v>GS Recharge General Management</v>
      </c>
      <c r="E62" s="703" t="s">
        <v>1428</v>
      </c>
      <c r="F62" s="738">
        <f>G63+G64</f>
        <v>3792281.69</v>
      </c>
      <c r="G62" s="738"/>
      <c r="H62" s="738">
        <f t="shared" ref="H62:H76" si="7">F62-G62</f>
        <v>3792281.69</v>
      </c>
      <c r="I62" s="696" t="s">
        <v>1581</v>
      </c>
      <c r="K62" s="939" t="s">
        <v>1031</v>
      </c>
    </row>
    <row r="63" spans="1:11" x14ac:dyDescent="0.25">
      <c r="B63" s="703" t="s">
        <v>1526</v>
      </c>
      <c r="C63" s="705" t="s">
        <v>1487</v>
      </c>
      <c r="D63" s="709" t="str">
        <f>IF(C63="","",_xlfn.XLOOKUP(C63,'Standalone TB'!B:B,'Standalone TB'!C:C))</f>
        <v>OPERATING AND PRODUCTION SUB-CONTRACTING</v>
      </c>
      <c r="E63" s="703" t="s">
        <v>1428</v>
      </c>
      <c r="F63" s="738"/>
      <c r="G63" s="738">
        <v>3502596.48</v>
      </c>
      <c r="H63" s="738">
        <f t="shared" si="7"/>
        <v>-3502596.48</v>
      </c>
      <c r="I63" s="696" t="s">
        <v>1581</v>
      </c>
      <c r="K63" s="939" t="s">
        <v>1031</v>
      </c>
    </row>
    <row r="64" spans="1:11" x14ac:dyDescent="0.25">
      <c r="B64" s="703" t="s">
        <v>1526</v>
      </c>
      <c r="C64" s="705" t="s">
        <v>1489</v>
      </c>
      <c r="D64" s="709" t="str">
        <f>IF(C64="","",_xlfn.XLOOKUP(C64,'Standalone TB'!B:B,'Standalone TB'!C:C))</f>
        <v>OPERATING SUB-CONTRACTING -TIME AND MATERIALS</v>
      </c>
      <c r="E64" s="703" t="s">
        <v>1428</v>
      </c>
      <c r="F64" s="738"/>
      <c r="G64" s="738">
        <v>289685.21000000008</v>
      </c>
      <c r="H64" s="738">
        <f t="shared" si="7"/>
        <v>-289685.21000000008</v>
      </c>
      <c r="I64" s="696" t="s">
        <v>1581</v>
      </c>
      <c r="K64" s="939" t="s">
        <v>1031</v>
      </c>
    </row>
    <row r="65" spans="1:11" x14ac:dyDescent="0.25">
      <c r="A65" s="720">
        <v>16</v>
      </c>
      <c r="B65" s="703" t="s">
        <v>1526</v>
      </c>
      <c r="C65" s="705" t="s">
        <v>1582</v>
      </c>
      <c r="D65" s="709" t="str">
        <f>IF(C65="","",_xlfn.XLOOKUP(C65,'Standalone TB'!B:B,'Standalone TB'!C:C))</f>
        <v>OTHER PROFESSIONAL FEES</v>
      </c>
      <c r="E65" s="703" t="s">
        <v>1428</v>
      </c>
      <c r="F65" s="738">
        <v>51451.199999999997</v>
      </c>
      <c r="G65" s="738"/>
      <c r="H65" s="738">
        <f t="shared" si="7"/>
        <v>51451.199999999997</v>
      </c>
      <c r="I65" s="696" t="s">
        <v>1583</v>
      </c>
      <c r="K65" s="939" t="s">
        <v>1031</v>
      </c>
    </row>
    <row r="66" spans="1:11" x14ac:dyDescent="0.25">
      <c r="B66" s="703" t="s">
        <v>1526</v>
      </c>
      <c r="C66" s="705" t="s">
        <v>1547</v>
      </c>
      <c r="D66" s="709" t="str">
        <f>IF(C66="","",_xlfn.XLOOKUP(C66,'Standalone TB'!B:B,'Standalone TB'!C:C))</f>
        <v>OTHER PROFESSIONAL FEES</v>
      </c>
      <c r="E66" s="703" t="s">
        <v>1428</v>
      </c>
      <c r="F66" s="738"/>
      <c r="G66" s="738">
        <f>F65</f>
        <v>51451.199999999997</v>
      </c>
      <c r="H66" s="738">
        <f t="shared" si="7"/>
        <v>-51451.199999999997</v>
      </c>
      <c r="I66" s="696" t="s">
        <v>1583</v>
      </c>
      <c r="K66" s="939" t="s">
        <v>1031</v>
      </c>
    </row>
    <row r="67" spans="1:11" x14ac:dyDescent="0.25">
      <c r="A67" s="720">
        <f>A65+1</f>
        <v>17</v>
      </c>
      <c r="B67" s="703" t="s">
        <v>1526</v>
      </c>
      <c r="C67" s="705" t="s">
        <v>1584</v>
      </c>
      <c r="D67" s="709" t="str">
        <f>IF(C67="","",_xlfn.XLOOKUP(C67,'Standalone TB'!B:B,'Standalone TB'!C:C))</f>
        <v>TRAINING INVOICES</v>
      </c>
      <c r="E67" s="703" t="s">
        <v>1428</v>
      </c>
      <c r="F67" s="738">
        <v>241190.25</v>
      </c>
      <c r="G67" s="738"/>
      <c r="H67" s="738">
        <f t="shared" si="7"/>
        <v>241190.25</v>
      </c>
      <c r="I67" s="696" t="s">
        <v>1585</v>
      </c>
      <c r="K67" s="939" t="s">
        <v>1031</v>
      </c>
    </row>
    <row r="68" spans="1:11" x14ac:dyDescent="0.25">
      <c r="B68" s="703" t="s">
        <v>1526</v>
      </c>
      <c r="C68" s="705" t="s">
        <v>1586</v>
      </c>
      <c r="D68" s="709" t="str">
        <f>IF(C68="","",_xlfn.XLOOKUP(C68,'Standalone TB'!B:B,'Standalone TB'!C:C))</f>
        <v>TRAINING INVOICES</v>
      </c>
      <c r="E68" s="703" t="s">
        <v>1428</v>
      </c>
      <c r="F68" s="738"/>
      <c r="G68" s="738">
        <f>F67</f>
        <v>241190.25</v>
      </c>
      <c r="H68" s="738">
        <f t="shared" si="7"/>
        <v>-241190.25</v>
      </c>
      <c r="I68" s="696" t="s">
        <v>1585</v>
      </c>
      <c r="K68" s="939" t="s">
        <v>1031</v>
      </c>
    </row>
    <row r="69" spans="1:11" x14ac:dyDescent="0.25">
      <c r="A69" s="720">
        <f>A67+1</f>
        <v>18</v>
      </c>
      <c r="B69" s="703" t="s">
        <v>1534</v>
      </c>
      <c r="C69" s="705" t="s">
        <v>1587</v>
      </c>
      <c r="D69" s="709" t="str">
        <f>IF(C69="","",_xlfn.XLOOKUP(C69,'Standalone TB'!B:B,'Standalone TB'!C:C))</f>
        <v>OPERATING AND PRODUCTION SUB-CONTRACTING</v>
      </c>
      <c r="E69" s="703" t="s">
        <v>1308</v>
      </c>
      <c r="F69" s="709">
        <v>9445.99</v>
      </c>
      <c r="G69" s="704"/>
      <c r="H69" s="708">
        <f t="shared" si="7"/>
        <v>9445.99</v>
      </c>
      <c r="I69" s="696" t="s">
        <v>1581</v>
      </c>
      <c r="K69" s="939" t="s">
        <v>1031</v>
      </c>
    </row>
    <row r="70" spans="1:11" x14ac:dyDescent="0.25">
      <c r="B70" s="703" t="s">
        <v>1534</v>
      </c>
      <c r="C70" s="705" t="s">
        <v>1487</v>
      </c>
      <c r="D70" s="709" t="str">
        <f>IF(C70="","",_xlfn.XLOOKUP(C70,'Standalone TB'!B:B,'Standalone TB'!C:C))</f>
        <v>OPERATING AND PRODUCTION SUB-CONTRACTING</v>
      </c>
      <c r="E70" s="703" t="s">
        <v>1308</v>
      </c>
      <c r="F70" s="709"/>
      <c r="G70" s="704">
        <f>F69</f>
        <v>9445.99</v>
      </c>
      <c r="H70" s="708">
        <f t="shared" si="7"/>
        <v>-9445.99</v>
      </c>
      <c r="I70" s="696" t="s">
        <v>1581</v>
      </c>
      <c r="K70" s="939" t="s">
        <v>1031</v>
      </c>
    </row>
    <row r="71" spans="1:11" x14ac:dyDescent="0.25">
      <c r="A71" s="720">
        <f>A69+1</f>
        <v>19</v>
      </c>
      <c r="B71" s="703" t="s">
        <v>1551</v>
      </c>
      <c r="C71" s="705" t="s">
        <v>1582</v>
      </c>
      <c r="D71" s="709" t="str">
        <f>IF(C71="","",_xlfn.XLOOKUP(C71,'Standalone TB'!B:B,'Standalone TB'!C:C))</f>
        <v>OTHER PROFESSIONAL FEES</v>
      </c>
      <c r="E71" s="703" t="s">
        <v>1297</v>
      </c>
      <c r="F71" s="709">
        <v>774.94</v>
      </c>
      <c r="H71" s="708">
        <f t="shared" si="7"/>
        <v>774.94</v>
      </c>
      <c r="I71" s="696" t="s">
        <v>1583</v>
      </c>
      <c r="K71" s="939" t="s">
        <v>1031</v>
      </c>
    </row>
    <row r="72" spans="1:11" x14ac:dyDescent="0.25">
      <c r="B72" s="703" t="s">
        <v>1551</v>
      </c>
      <c r="C72" s="705" t="s">
        <v>1547</v>
      </c>
      <c r="D72" s="709" t="str">
        <f>IF(C72="","",_xlfn.XLOOKUP(C72,'Standalone TB'!B:B,'Standalone TB'!C:C))</f>
        <v>OTHER PROFESSIONAL FEES</v>
      </c>
      <c r="E72" s="703" t="s">
        <v>1297</v>
      </c>
      <c r="F72" s="709"/>
      <c r="G72" s="704">
        <f>F71</f>
        <v>774.94</v>
      </c>
      <c r="H72" s="708">
        <f t="shared" si="7"/>
        <v>-774.94</v>
      </c>
      <c r="I72" s="696" t="s">
        <v>1583</v>
      </c>
      <c r="K72" s="939" t="s">
        <v>1031</v>
      </c>
    </row>
    <row r="73" spans="1:11" x14ac:dyDescent="0.25">
      <c r="A73" s="720">
        <f>A71+1</f>
        <v>20</v>
      </c>
      <c r="B73" s="703" t="s">
        <v>1551</v>
      </c>
      <c r="C73" s="705" t="s">
        <v>1587</v>
      </c>
      <c r="D73" s="709" t="str">
        <f>IF(C73="","",_xlfn.XLOOKUP(C73,'Standalone TB'!B:B,'Standalone TB'!C:C))</f>
        <v>OPERATING AND PRODUCTION SUB-CONTRACTING</v>
      </c>
      <c r="E73" s="703" t="s">
        <v>1297</v>
      </c>
      <c r="F73" s="709">
        <v>78901.350000000006</v>
      </c>
      <c r="G73" s="704"/>
      <c r="H73" s="708">
        <f t="shared" si="7"/>
        <v>78901.350000000006</v>
      </c>
      <c r="I73" s="696" t="s">
        <v>1581</v>
      </c>
      <c r="K73" s="939" t="s">
        <v>1031</v>
      </c>
    </row>
    <row r="74" spans="1:11" x14ac:dyDescent="0.25">
      <c r="B74" s="703" t="s">
        <v>1551</v>
      </c>
      <c r="C74" s="705" t="s">
        <v>1487</v>
      </c>
      <c r="D74" s="709" t="str">
        <f>IF(C74="","",_xlfn.XLOOKUP(C74,'Standalone TB'!B:B,'Standalone TB'!C:C))</f>
        <v>OPERATING AND PRODUCTION SUB-CONTRACTING</v>
      </c>
      <c r="E74" s="703" t="s">
        <v>1297</v>
      </c>
      <c r="F74" s="709"/>
      <c r="G74" s="704">
        <f>F73</f>
        <v>78901.350000000006</v>
      </c>
      <c r="H74" s="708">
        <f t="shared" si="7"/>
        <v>-78901.350000000006</v>
      </c>
      <c r="I74" s="696" t="s">
        <v>1581</v>
      </c>
      <c r="K74" s="939" t="s">
        <v>1031</v>
      </c>
    </row>
    <row r="75" spans="1:11" x14ac:dyDescent="0.25">
      <c r="A75" s="720">
        <f>A73+1</f>
        <v>21</v>
      </c>
      <c r="B75" s="703" t="s">
        <v>1534</v>
      </c>
      <c r="C75" s="705" t="s">
        <v>1588</v>
      </c>
      <c r="D75" s="709" t="str">
        <f>IF(C75="","",_xlfn.XLOOKUP(C75,'Standalone TB'!B:B,'Standalone TB'!C:C))</f>
        <v>Lease Deposits</v>
      </c>
      <c r="E75" s="703" t="s">
        <v>1308</v>
      </c>
      <c r="F75" s="707"/>
      <c r="G75" s="707">
        <v>32649.15</v>
      </c>
      <c r="H75" s="708">
        <f t="shared" si="7"/>
        <v>-32649.15</v>
      </c>
      <c r="I75" s="696" t="s">
        <v>1589</v>
      </c>
    </row>
    <row r="76" spans="1:11" x14ac:dyDescent="0.25">
      <c r="B76" s="703" t="s">
        <v>1534</v>
      </c>
      <c r="C76" s="705" t="s">
        <v>1590</v>
      </c>
      <c r="D76" s="709" t="str">
        <f>IF(C76="","",_xlfn.XLOOKUP(C76,'Standalone TB'!B:B,'Standalone TB'!C:C))</f>
        <v>General Deposits</v>
      </c>
      <c r="E76" s="703" t="s">
        <v>1308</v>
      </c>
      <c r="F76" s="707">
        <f>G75</f>
        <v>32649.15</v>
      </c>
      <c r="G76" s="707"/>
      <c r="H76" s="708">
        <f t="shared" si="7"/>
        <v>32649.15</v>
      </c>
      <c r="I76" s="696" t="s">
        <v>1589</v>
      </c>
    </row>
    <row r="77" spans="1:11" x14ac:dyDescent="0.25">
      <c r="C77" s="705"/>
      <c r="D77" s="709" t="str">
        <f>IF(C77="","",_xlfn.XLOOKUP(C77,'Standalone TB'!B:B,'Standalone TB'!C:C))</f>
        <v/>
      </c>
      <c r="G77" s="709"/>
      <c r="H77" s="708"/>
    </row>
    <row r="78" spans="1:11" x14ac:dyDescent="0.25">
      <c r="A78" s="720">
        <v>22</v>
      </c>
      <c r="B78" s="703" t="s">
        <v>1526</v>
      </c>
      <c r="C78" s="705" t="s">
        <v>1591</v>
      </c>
      <c r="D78" s="709" t="str">
        <f>IF(C78="","",_xlfn.XLOOKUP(C78,'Standalone TB'!B:B,'Standalone TB'!C:C))</f>
        <v>REPAIRS -  ADMINISTRATIVE MEANS</v>
      </c>
      <c r="E78" s="703" t="s">
        <v>1428</v>
      </c>
      <c r="F78" s="738">
        <v>310896.81000000006</v>
      </c>
      <c r="G78" s="738"/>
      <c r="H78" s="738">
        <f>F78-G78</f>
        <v>310896.81000000006</v>
      </c>
      <c r="I78" s="696" t="s">
        <v>1592</v>
      </c>
    </row>
    <row r="79" spans="1:11" x14ac:dyDescent="0.25">
      <c r="B79" s="703" t="s">
        <v>1526</v>
      </c>
      <c r="C79" s="705" t="s">
        <v>1593</v>
      </c>
      <c r="D79" s="709" t="str">
        <f>IF(C79="","",_xlfn.XLOOKUP(C79,'Standalone TB'!B:B,'Standalone TB'!C:C))</f>
        <v>OTHER INSURANCE</v>
      </c>
      <c r="E79" s="703" t="s">
        <v>1428</v>
      </c>
      <c r="F79" s="738"/>
      <c r="G79" s="738">
        <f>F78</f>
        <v>310896.81000000006</v>
      </c>
      <c r="H79" s="738">
        <f>F79-G79</f>
        <v>-310896.81000000006</v>
      </c>
      <c r="I79" s="696" t="s">
        <v>1592</v>
      </c>
    </row>
    <row r="80" spans="1:11" x14ac:dyDescent="0.25">
      <c r="C80" s="705"/>
      <c r="D80" s="709"/>
      <c r="F80" s="707"/>
      <c r="G80" s="707"/>
      <c r="H80" s="707"/>
    </row>
    <row r="81" spans="1:11" x14ac:dyDescent="0.25">
      <c r="A81" s="720">
        <v>23</v>
      </c>
      <c r="B81" s="703" t="s">
        <v>1526</v>
      </c>
      <c r="C81" s="705" t="s">
        <v>1591</v>
      </c>
      <c r="D81" s="709" t="str">
        <f>IF(C81="","",_xlfn.XLOOKUP(C81,'Standalone TB'!B:B,'Standalone TB'!C:C))</f>
        <v>REPAIRS -  ADMINISTRATIVE MEANS</v>
      </c>
      <c r="E81" s="703" t="s">
        <v>1428</v>
      </c>
      <c r="F81" s="738">
        <v>334322.57</v>
      </c>
      <c r="G81" s="738"/>
      <c r="H81" s="738">
        <f>F81-G81</f>
        <v>334322.57</v>
      </c>
      <c r="I81" s="696" t="s">
        <v>1592</v>
      </c>
      <c r="K81" s="939" t="s">
        <v>1047</v>
      </c>
    </row>
    <row r="82" spans="1:11" x14ac:dyDescent="0.25">
      <c r="B82" s="703" t="s">
        <v>1526</v>
      </c>
      <c r="C82" s="705" t="s">
        <v>1593</v>
      </c>
      <c r="D82" s="709" t="str">
        <f>IF(C82="","",_xlfn.XLOOKUP(C82,'Standalone TB'!B:B,'Standalone TB'!C:C))</f>
        <v>OTHER INSURANCE</v>
      </c>
      <c r="E82" s="703" t="s">
        <v>1428</v>
      </c>
      <c r="F82" s="738"/>
      <c r="G82" s="738">
        <f>F81</f>
        <v>334322.57</v>
      </c>
      <c r="H82" s="738">
        <f>F82-G82</f>
        <v>-334322.57</v>
      </c>
      <c r="I82" s="696" t="s">
        <v>1592</v>
      </c>
      <c r="K82" s="939" t="s">
        <v>1047</v>
      </c>
    </row>
    <row r="83" spans="1:11" x14ac:dyDescent="0.25">
      <c r="C83" s="705"/>
      <c r="D83" s="709"/>
      <c r="G83" s="709"/>
      <c r="H83" s="708"/>
    </row>
    <row r="84" spans="1:11" x14ac:dyDescent="0.25">
      <c r="A84" s="720">
        <v>24</v>
      </c>
      <c r="B84" s="703" t="s">
        <v>1534</v>
      </c>
      <c r="C84" s="729" t="s">
        <v>1594</v>
      </c>
      <c r="D84" s="709" t="str">
        <f>IF(C84="","",_xlfn.XLOOKUP(C84,'Standalone TB'!B:B,'Standalone TB'!C:C))</f>
        <v>613200 REAL-ESTATE RENTAL</v>
      </c>
      <c r="E84" s="703" t="s">
        <v>1308</v>
      </c>
      <c r="F84" s="707"/>
      <c r="G84" s="707">
        <f>F85</f>
        <v>7824.92</v>
      </c>
      <c r="H84" s="707">
        <f>F84-G84</f>
        <v>-7824.92</v>
      </c>
      <c r="I84" s="696" t="s">
        <v>1595</v>
      </c>
    </row>
    <row r="85" spans="1:11" x14ac:dyDescent="0.25">
      <c r="B85" s="703" t="s">
        <v>1534</v>
      </c>
      <c r="C85" s="705" t="s">
        <v>1588</v>
      </c>
      <c r="D85" s="709" t="str">
        <f>IF(C85="","",_xlfn.XLOOKUP(C85,'Standalone TB'!B:B,'Standalone TB'!C:C))</f>
        <v>Lease Deposits</v>
      </c>
      <c r="E85" s="703" t="s">
        <v>1308</v>
      </c>
      <c r="F85" s="958">
        <v>7824.92</v>
      </c>
      <c r="G85" s="707"/>
      <c r="H85" s="707">
        <f>F85-G85</f>
        <v>7824.92</v>
      </c>
      <c r="I85" s="696" t="s">
        <v>1595</v>
      </c>
    </row>
    <row r="86" spans="1:11" x14ac:dyDescent="0.25">
      <c r="C86" s="705"/>
      <c r="D86" s="709" t="str">
        <f>IF(C86="","",_xlfn.XLOOKUP(C86,'Standalone TB'!B:B,'Standalone TB'!C:C))</f>
        <v/>
      </c>
      <c r="G86" s="709"/>
      <c r="H86" s="708"/>
    </row>
    <row r="87" spans="1:11" x14ac:dyDescent="0.25">
      <c r="A87" s="720">
        <f>A84+1</f>
        <v>25</v>
      </c>
      <c r="B87" s="703" t="s">
        <v>1534</v>
      </c>
      <c r="C87" s="702" t="s">
        <v>1596</v>
      </c>
      <c r="D87" s="709" t="str">
        <f>IF(C87="","",_xlfn.XLOOKUP(C87,'Standalone TB'!B:B,'Standalone TB'!C:C))</f>
        <v>Right of use others</v>
      </c>
      <c r="E87" s="703" t="s">
        <v>1308</v>
      </c>
      <c r="F87" s="707">
        <v>444799.24409327307</v>
      </c>
      <c r="G87" s="707"/>
      <c r="H87" s="708">
        <f>F87-G87</f>
        <v>444799.24409327307</v>
      </c>
      <c r="I87" s="696" t="s">
        <v>1597</v>
      </c>
    </row>
    <row r="88" spans="1:11" x14ac:dyDescent="0.25">
      <c r="B88" s="703" t="s">
        <v>1534</v>
      </c>
      <c r="C88" s="705" t="s">
        <v>1598</v>
      </c>
      <c r="D88" s="709" t="str">
        <f>IF(C88="","",_xlfn.XLOOKUP(C88,'Standalone TB'!B:B,'Standalone TB'!C:C))</f>
        <v>Security Deposit as per IndAS Entry (Fair Valuation on Security Deposits)</v>
      </c>
      <c r="E88" s="703" t="s">
        <v>1308</v>
      </c>
      <c r="F88" s="707"/>
      <c r="G88" s="707">
        <v>1681.1781294551038</v>
      </c>
      <c r="H88" s="708">
        <f t="shared" ref="H88:H89" si="8">F88-G88</f>
        <v>-1681.1781294551038</v>
      </c>
      <c r="I88" s="696" t="s">
        <v>1597</v>
      </c>
    </row>
    <row r="89" spans="1:11" x14ac:dyDescent="0.25">
      <c r="B89" s="703" t="s">
        <v>1534</v>
      </c>
      <c r="C89" s="705" t="s">
        <v>1599</v>
      </c>
      <c r="D89" s="709" t="str">
        <f>IF(C89="","",_xlfn.XLOOKUP(C89,'Standalone TB'!B:B,'Standalone TB'!C:C))</f>
        <v>Accrued interests – lease liability Others</v>
      </c>
      <c r="E89" s="703" t="s">
        <v>1308</v>
      </c>
      <c r="F89" s="707"/>
      <c r="G89" s="707">
        <v>443118.06596381799</v>
      </c>
      <c r="H89" s="708">
        <f t="shared" si="8"/>
        <v>-443118.06596381799</v>
      </c>
      <c r="I89" s="696" t="s">
        <v>1597</v>
      </c>
    </row>
    <row r="90" spans="1:11" x14ac:dyDescent="0.25">
      <c r="C90" s="705"/>
      <c r="D90" s="709" t="str">
        <f>IF(C90="","",_xlfn.XLOOKUP(C90,'Standalone TB'!B:B,'Standalone TB'!C:C))</f>
        <v/>
      </c>
      <c r="F90" s="709"/>
      <c r="H90" s="708"/>
    </row>
    <row r="91" spans="1:11" x14ac:dyDescent="0.25">
      <c r="A91" s="720">
        <v>26</v>
      </c>
      <c r="B91" s="703" t="s">
        <v>1534</v>
      </c>
      <c r="C91" s="702" t="s">
        <v>1543</v>
      </c>
      <c r="D91" s="709" t="str">
        <f>IF(C91="","",_xlfn.XLOOKUP(C91,'Standalone TB'!B:B,'Standalone TB'!C:C))</f>
        <v>681210 Depreciations and impairment right of use - IndAS</v>
      </c>
      <c r="E91" s="703" t="s">
        <v>1308</v>
      </c>
      <c r="F91" s="707">
        <v>72442</v>
      </c>
      <c r="G91" s="708"/>
      <c r="H91" s="707">
        <f>F91-G91</f>
        <v>72442</v>
      </c>
      <c r="I91" s="696" t="s">
        <v>1600</v>
      </c>
    </row>
    <row r="92" spans="1:11" x14ac:dyDescent="0.25">
      <c r="B92" s="703" t="s">
        <v>1534</v>
      </c>
      <c r="C92" s="705" t="s">
        <v>1538</v>
      </c>
      <c r="D92" s="709" t="str">
        <f>IF(C92="","",_xlfn.XLOOKUP(C92,'Standalone TB'!B:B,'Standalone TB'!C:C))</f>
        <v>281700 Depreciation right of use real estate</v>
      </c>
      <c r="E92" s="703" t="s">
        <v>1308</v>
      </c>
      <c r="F92" s="707"/>
      <c r="G92" s="708">
        <f>F91</f>
        <v>72442</v>
      </c>
      <c r="H92" s="707">
        <f>F92-G92</f>
        <v>-72442</v>
      </c>
      <c r="I92" s="696" t="s">
        <v>1600</v>
      </c>
    </row>
    <row r="93" spans="1:11" x14ac:dyDescent="0.25">
      <c r="C93" s="705"/>
      <c r="D93" s="709" t="str">
        <f>IF(C93="","",_xlfn.XLOOKUP(C93,'Standalone TB'!B:B,'Standalone TB'!C:C))</f>
        <v/>
      </c>
      <c r="G93" s="709"/>
      <c r="H93" s="708"/>
    </row>
    <row r="94" spans="1:11" x14ac:dyDescent="0.25">
      <c r="A94" s="720">
        <f>A91+1</f>
        <v>27</v>
      </c>
      <c r="B94" s="703" t="s">
        <v>1534</v>
      </c>
      <c r="C94" s="702" t="s">
        <v>1601</v>
      </c>
      <c r="D94" s="709" t="str">
        <f>IF(C94="","",_xlfn.XLOOKUP(C94,'Standalone TB'!B:B,'Standalone TB'!C:C))</f>
        <v>Financial interests on lease liability</v>
      </c>
      <c r="E94" s="703" t="s">
        <v>1308</v>
      </c>
      <c r="F94" s="707">
        <v>30990.700780557152</v>
      </c>
      <c r="G94" s="707"/>
      <c r="H94" s="707">
        <f>F94-G94</f>
        <v>30990.700780557152</v>
      </c>
      <c r="I94" s="696" t="s">
        <v>1602</v>
      </c>
    </row>
    <row r="95" spans="1:11" x14ac:dyDescent="0.25">
      <c r="B95" s="703" t="s">
        <v>1534</v>
      </c>
      <c r="C95" s="705" t="s">
        <v>1599</v>
      </c>
      <c r="D95" s="709" t="str">
        <f>IF(C95="","",_xlfn.XLOOKUP(C95,'Standalone TB'!B:B,'Standalone TB'!C:C))</f>
        <v>Accrued interests – lease liability Others</v>
      </c>
      <c r="E95" s="703" t="s">
        <v>1308</v>
      </c>
      <c r="F95" s="707"/>
      <c r="G95" s="707">
        <f>F94</f>
        <v>30990.700780557152</v>
      </c>
      <c r="H95" s="707">
        <f>F95-G95</f>
        <v>-30990.700780557152</v>
      </c>
      <c r="I95" s="696" t="s">
        <v>1602</v>
      </c>
    </row>
    <row r="96" spans="1:11" x14ac:dyDescent="0.25">
      <c r="C96" s="705"/>
      <c r="D96" s="709" t="str">
        <f>IF(C96="","",_xlfn.XLOOKUP(C96,'Standalone TB'!B:B,'Standalone TB'!C:C))</f>
        <v/>
      </c>
      <c r="F96" s="709"/>
      <c r="G96" s="709"/>
      <c r="H96" s="708"/>
    </row>
    <row r="97" spans="1:9" x14ac:dyDescent="0.25">
      <c r="A97" s="720">
        <f>A94+1</f>
        <v>28</v>
      </c>
      <c r="B97" s="703" t="s">
        <v>1534</v>
      </c>
      <c r="C97" s="702" t="s">
        <v>1599</v>
      </c>
      <c r="D97" s="709" t="str">
        <f>IF(C97="","",_xlfn.XLOOKUP(C97,'Standalone TB'!B:B,'Standalone TB'!C:C))</f>
        <v>Accrued interests – lease liability Others</v>
      </c>
      <c r="E97" s="703" t="s">
        <v>1308</v>
      </c>
      <c r="F97" s="958">
        <v>44534.16</v>
      </c>
      <c r="G97" s="707"/>
      <c r="H97" s="707">
        <f>F97-G97</f>
        <v>44534.16</v>
      </c>
      <c r="I97" s="696" t="s">
        <v>1603</v>
      </c>
    </row>
    <row r="98" spans="1:9" x14ac:dyDescent="0.25">
      <c r="B98" s="703" t="s">
        <v>1534</v>
      </c>
      <c r="C98" s="705" t="s">
        <v>1594</v>
      </c>
      <c r="D98" s="709" t="str">
        <f>IF(C98="","",_xlfn.XLOOKUP(C98,'Standalone TB'!B:B,'Standalone TB'!C:C))</f>
        <v>613200 REAL-ESTATE RENTAL</v>
      </c>
      <c r="E98" s="703" t="s">
        <v>1308</v>
      </c>
      <c r="F98" s="707"/>
      <c r="G98" s="707">
        <f>F97</f>
        <v>44534.16</v>
      </c>
      <c r="H98" s="707">
        <f>F98-G98</f>
        <v>-44534.16</v>
      </c>
      <c r="I98" s="696" t="s">
        <v>1603</v>
      </c>
    </row>
    <row r="99" spans="1:9" x14ac:dyDescent="0.25">
      <c r="C99" s="705"/>
      <c r="D99" s="709" t="str">
        <f>IF(C99="","",_xlfn.XLOOKUP(C99,'Standalone TB'!B:B,'Standalone TB'!C:C))</f>
        <v/>
      </c>
      <c r="G99" s="709"/>
      <c r="H99" s="708"/>
    </row>
    <row r="100" spans="1:9" x14ac:dyDescent="0.25">
      <c r="A100" s="720">
        <f>A97+1</f>
        <v>29</v>
      </c>
      <c r="B100" s="703" t="s">
        <v>1526</v>
      </c>
      <c r="C100" s="702" t="s">
        <v>1543</v>
      </c>
      <c r="D100" s="709" t="str">
        <f>IF(C100="","",_xlfn.XLOOKUP(C100,'Standalone TB'!B:B,'Standalone TB'!C:C))</f>
        <v>681210 Depreciations and impairment right of use - IndAS</v>
      </c>
      <c r="E100" s="703" t="s">
        <v>1428</v>
      </c>
      <c r="F100" s="738">
        <f>10956574.5189878+17130556.3899152</f>
        <v>28087130.908903003</v>
      </c>
      <c r="G100" s="738"/>
      <c r="H100" s="738">
        <f>F100-G100</f>
        <v>28087130.908903003</v>
      </c>
      <c r="I100" s="696" t="s">
        <v>1604</v>
      </c>
    </row>
    <row r="101" spans="1:9" x14ac:dyDescent="0.25">
      <c r="B101" s="703" t="s">
        <v>1526</v>
      </c>
      <c r="C101" s="705" t="s">
        <v>1538</v>
      </c>
      <c r="D101" s="709" t="str">
        <f>IF(C101="","",_xlfn.XLOOKUP(C101,'Standalone TB'!B:B,'Standalone TB'!C:C))</f>
        <v>281700 Depreciation right of use real estate</v>
      </c>
      <c r="E101" s="703" t="s">
        <v>1428</v>
      </c>
      <c r="F101" s="738"/>
      <c r="G101" s="738">
        <f>F100</f>
        <v>28087130.908903003</v>
      </c>
      <c r="H101" s="738">
        <f>F101-G101</f>
        <v>-28087130.908903003</v>
      </c>
      <c r="I101" s="696" t="s">
        <v>1604</v>
      </c>
    </row>
    <row r="102" spans="1:9" x14ac:dyDescent="0.25">
      <c r="C102" s="705"/>
      <c r="D102" s="709" t="str">
        <f>IF(C102="","",_xlfn.XLOOKUP(C102,'Standalone TB'!B:B,'Standalone TB'!C:C))</f>
        <v/>
      </c>
      <c r="G102" s="709"/>
      <c r="H102" s="708"/>
    </row>
    <row r="103" spans="1:9" x14ac:dyDescent="0.25">
      <c r="A103" s="720">
        <f>A100+1</f>
        <v>30</v>
      </c>
      <c r="B103" s="703" t="s">
        <v>1526</v>
      </c>
      <c r="C103" s="702" t="s">
        <v>1601</v>
      </c>
      <c r="D103" s="709" t="str">
        <f>IF(C103="","",_xlfn.XLOOKUP(C103,'Standalone TB'!B:B,'Standalone TB'!C:C))</f>
        <v>Financial interests on lease liability</v>
      </c>
      <c r="E103" s="703" t="s">
        <v>1428</v>
      </c>
      <c r="F103" s="738">
        <f>905120.911328329+7107257.34034108</f>
        <v>8012378.2516694088</v>
      </c>
      <c r="G103" s="738"/>
      <c r="H103" s="738">
        <f>F103-G103</f>
        <v>8012378.2516694088</v>
      </c>
      <c r="I103" s="696" t="s">
        <v>1605</v>
      </c>
    </row>
    <row r="104" spans="1:9" x14ac:dyDescent="0.25">
      <c r="B104" s="703" t="s">
        <v>1526</v>
      </c>
      <c r="C104" s="705" t="s">
        <v>1599</v>
      </c>
      <c r="D104" s="709" t="str">
        <f>IF(C104="","",_xlfn.XLOOKUP(C104,'Standalone TB'!B:B,'Standalone TB'!C:C))</f>
        <v>Accrued interests – lease liability Others</v>
      </c>
      <c r="E104" s="703" t="s">
        <v>1428</v>
      </c>
      <c r="F104" s="738"/>
      <c r="G104" s="738">
        <f>F103</f>
        <v>8012378.2516694088</v>
      </c>
      <c r="H104" s="738">
        <f>F104-G104</f>
        <v>-8012378.2516694088</v>
      </c>
      <c r="I104" s="696" t="s">
        <v>1605</v>
      </c>
    </row>
    <row r="105" spans="1:9" x14ac:dyDescent="0.25">
      <c r="C105" s="705"/>
      <c r="D105" s="709" t="str">
        <f>IF(C105="","",_xlfn.XLOOKUP(C105,'Standalone TB'!B:B,'Standalone TB'!C:C))</f>
        <v/>
      </c>
      <c r="G105" s="709"/>
      <c r="H105" s="708"/>
    </row>
    <row r="106" spans="1:9" x14ac:dyDescent="0.25">
      <c r="A106" s="720">
        <f>A103+1</f>
        <v>31</v>
      </c>
      <c r="B106" s="703" t="s">
        <v>1526</v>
      </c>
      <c r="C106" s="702" t="s">
        <v>1599</v>
      </c>
      <c r="D106" s="709" t="str">
        <f>IF(C106="","",_xlfn.XLOOKUP(C106,'Standalone TB'!B:B,'Standalone TB'!C:C))</f>
        <v>Accrued interests – lease liability Others</v>
      </c>
      <c r="E106" s="703" t="s">
        <v>1428</v>
      </c>
      <c r="F106" s="738">
        <f>12164578+27305207.85</f>
        <v>39469785.850000001</v>
      </c>
      <c r="G106" s="738"/>
      <c r="H106" s="738">
        <f>F106-G106</f>
        <v>39469785.850000001</v>
      </c>
      <c r="I106" s="696" t="s">
        <v>1603</v>
      </c>
    </row>
    <row r="107" spans="1:9" x14ac:dyDescent="0.25">
      <c r="B107" s="703" t="s">
        <v>1526</v>
      </c>
      <c r="C107" s="705" t="s">
        <v>1594</v>
      </c>
      <c r="D107" s="709" t="str">
        <f>IF(C107="","",_xlfn.XLOOKUP(C107,'Standalone TB'!B:B,'Standalone TB'!C:C))</f>
        <v>613200 REAL-ESTATE RENTAL</v>
      </c>
      <c r="E107" s="703" t="s">
        <v>1428</v>
      </c>
      <c r="F107" s="738"/>
      <c r="G107" s="738">
        <f>F106</f>
        <v>39469785.850000001</v>
      </c>
      <c r="H107" s="738">
        <f>F107-G107</f>
        <v>-39469785.850000001</v>
      </c>
      <c r="I107" s="696" t="s">
        <v>1603</v>
      </c>
    </row>
    <row r="108" spans="1:9" x14ac:dyDescent="0.25">
      <c r="C108" s="705"/>
      <c r="D108" s="709" t="str">
        <f>IF(C108="","",_xlfn.XLOOKUP(C108,'Standalone TB'!B:B,'Standalone TB'!C:C))</f>
        <v/>
      </c>
      <c r="F108" s="709"/>
      <c r="H108" s="708"/>
    </row>
    <row r="109" spans="1:9" x14ac:dyDescent="0.25">
      <c r="A109" s="720">
        <f>A106+1</f>
        <v>32</v>
      </c>
      <c r="B109" s="703" t="s">
        <v>1526</v>
      </c>
      <c r="C109" s="705" t="s">
        <v>1606</v>
      </c>
      <c r="D109" s="709" t="str">
        <f>IF(C109="","",_xlfn.XLOOKUP(C109,'Standalone TB'!B:B,'Standalone TB'!C:C))</f>
        <v xml:space="preserve">DEPOSITS AND SURETIES PAID </v>
      </c>
      <c r="E109" s="703" t="s">
        <v>1428</v>
      </c>
      <c r="F109" s="738">
        <f>444773.091117834+780615.383896003</f>
        <v>1225388.475013837</v>
      </c>
      <c r="G109" s="738"/>
      <c r="H109" s="738">
        <f>F109-G109</f>
        <v>1225388.475013837</v>
      </c>
      <c r="I109" s="696" t="s">
        <v>1607</v>
      </c>
    </row>
    <row r="110" spans="1:9" x14ac:dyDescent="0.25">
      <c r="B110" s="703" t="s">
        <v>1526</v>
      </c>
      <c r="C110" s="705" t="s">
        <v>1608</v>
      </c>
      <c r="D110" s="709" t="str">
        <f>IF(C110="","",_xlfn.XLOOKUP(C110,'Standalone TB'!B:B,'Standalone TB'!C:C))</f>
        <v>Miscellaneous operating income (Interest on Security Deposit - IndAS)</v>
      </c>
      <c r="E110" s="703" t="s">
        <v>1428</v>
      </c>
      <c r="F110" s="738"/>
      <c r="G110" s="738">
        <f>F109</f>
        <v>1225388.475013837</v>
      </c>
      <c r="H110" s="738">
        <f>F110-G110</f>
        <v>-1225388.475013837</v>
      </c>
      <c r="I110" s="696" t="s">
        <v>1607</v>
      </c>
    </row>
    <row r="111" spans="1:9" x14ac:dyDescent="0.25">
      <c r="D111" s="709" t="str">
        <f>IF(C111="","",_xlfn.XLOOKUP(C111,'Standalone TB'!B:B,'Standalone TB'!C:C))</f>
        <v/>
      </c>
      <c r="H111" s="708"/>
    </row>
    <row r="112" spans="1:9" x14ac:dyDescent="0.25">
      <c r="A112" s="720">
        <f>A109+1</f>
        <v>33</v>
      </c>
      <c r="B112" s="703" t="s">
        <v>1534</v>
      </c>
      <c r="C112" s="705" t="s">
        <v>1606</v>
      </c>
      <c r="D112" s="709" t="str">
        <f>IF(C112="","",_xlfn.XLOOKUP(C112,'Standalone TB'!B:B,'Standalone TB'!C:C))</f>
        <v xml:space="preserve">DEPOSITS AND SURETIES PAID </v>
      </c>
      <c r="E112" s="703" t="s">
        <v>1308</v>
      </c>
      <c r="F112" s="709">
        <v>272.00674389000403</v>
      </c>
      <c r="G112" s="709"/>
      <c r="H112" s="708">
        <f>F112-G112</f>
        <v>272.00674389000403</v>
      </c>
      <c r="I112" s="696" t="s">
        <v>1607</v>
      </c>
    </row>
    <row r="113" spans="1:11" x14ac:dyDescent="0.25">
      <c r="B113" s="703" t="s">
        <v>1534</v>
      </c>
      <c r="C113" s="705" t="s">
        <v>1608</v>
      </c>
      <c r="D113" s="709" t="str">
        <f>IF(C113="","",_xlfn.XLOOKUP(C113,'Standalone TB'!B:B,'Standalone TB'!C:C))</f>
        <v>Miscellaneous operating income (Interest on Security Deposit - IndAS)</v>
      </c>
      <c r="E113" s="703" t="s">
        <v>1308</v>
      </c>
      <c r="F113" s="709"/>
      <c r="G113" s="709">
        <f>F112</f>
        <v>272.00674389000403</v>
      </c>
      <c r="H113" s="708">
        <f>F113-G113</f>
        <v>-272.00674389000403</v>
      </c>
      <c r="I113" s="696" t="s">
        <v>1607</v>
      </c>
    </row>
    <row r="114" spans="1:11" x14ac:dyDescent="0.25">
      <c r="D114" s="709" t="str">
        <f>IF(C114="","",_xlfn.XLOOKUP(C114,'Standalone TB'!B:B,'Standalone TB'!C:C))</f>
        <v/>
      </c>
      <c r="H114" s="708"/>
    </row>
    <row r="115" spans="1:11" x14ac:dyDescent="0.25">
      <c r="A115" s="720">
        <f>A112+1</f>
        <v>34</v>
      </c>
      <c r="B115" s="703" t="s">
        <v>1526</v>
      </c>
      <c r="C115" s="705" t="s">
        <v>1541</v>
      </c>
      <c r="D115" s="709" t="str">
        <f>IF(C115="","",_xlfn.XLOOKUP(C115,'Standalone TB'!B:B,'Standalone TB'!C:C))</f>
        <v>Manual Accruals in FI - IFRS 16</v>
      </c>
      <c r="E115" s="703" t="s">
        <v>1428</v>
      </c>
      <c r="F115" s="738">
        <v>239594.77727200589</v>
      </c>
      <c r="G115" s="738"/>
      <c r="H115" s="738">
        <f>F115-G115</f>
        <v>239594.77727200589</v>
      </c>
      <c r="I115" s="696" t="s">
        <v>1609</v>
      </c>
      <c r="K115" s="696">
        <v>960115</v>
      </c>
    </row>
    <row r="116" spans="1:11" x14ac:dyDescent="0.25">
      <c r="B116" s="703" t="s">
        <v>1526</v>
      </c>
      <c r="C116" s="705" t="s">
        <v>1610</v>
      </c>
      <c r="D116" s="709" t="str">
        <f>IF(C116="","",_xlfn.XLOOKUP(C116,'Standalone TB'!B:B,'Standalone TB'!C:C))</f>
        <v>Amortisation of Deferred Rent</v>
      </c>
      <c r="E116" s="703" t="s">
        <v>1428</v>
      </c>
      <c r="F116" s="738"/>
      <c r="G116" s="738">
        <f>F115</f>
        <v>239594.77727200589</v>
      </c>
      <c r="H116" s="738">
        <f>F116-G116</f>
        <v>-239594.77727200589</v>
      </c>
      <c r="I116" s="696" t="s">
        <v>1609</v>
      </c>
      <c r="K116" s="696">
        <v>960115</v>
      </c>
    </row>
    <row r="117" spans="1:11" x14ac:dyDescent="0.25">
      <c r="C117" s="705"/>
      <c r="D117" s="709"/>
      <c r="G117" s="709"/>
      <c r="H117" s="708"/>
    </row>
    <row r="118" spans="1:11" x14ac:dyDescent="0.25">
      <c r="A118" s="720">
        <f>A115+1</f>
        <v>35</v>
      </c>
      <c r="B118" s="703" t="s">
        <v>1526</v>
      </c>
      <c r="C118" s="705" t="s">
        <v>1594</v>
      </c>
      <c r="D118" s="726" t="str">
        <f>IF(C118="","",_xlfn.XLOOKUP(C118,'Standalone TB'!B:B,'Standalone TB'!C:C))</f>
        <v>613200 REAL-ESTATE RENTAL</v>
      </c>
      <c r="E118" s="703" t="s">
        <v>1428</v>
      </c>
      <c r="F118" s="959">
        <f>655531*12</f>
        <v>7866372</v>
      </c>
      <c r="G118" s="959"/>
      <c r="H118" s="959">
        <f>F118-G118</f>
        <v>7866372</v>
      </c>
      <c r="I118" s="696" t="s">
        <v>1611</v>
      </c>
      <c r="K118" s="696">
        <v>960115</v>
      </c>
    </row>
    <row r="119" spans="1:11" x14ac:dyDescent="0.25">
      <c r="B119" s="703" t="s">
        <v>1526</v>
      </c>
      <c r="C119" s="705" t="s">
        <v>1612</v>
      </c>
      <c r="D119" s="726" t="str">
        <f>IF(C119="","",_xlfn.XLOOKUP(C119,'Standalone TB'!B:B,'Standalone TB'!C:C))</f>
        <v>CARETAKER AND TELE-SURVEILLANCE EXPENSES</v>
      </c>
      <c r="E119" s="703" t="s">
        <v>1428</v>
      </c>
      <c r="F119" s="959">
        <f>173600*12</f>
        <v>2083200</v>
      </c>
      <c r="G119" s="959"/>
      <c r="H119" s="959">
        <f>F119-G119</f>
        <v>2083200</v>
      </c>
      <c r="I119" s="696" t="s">
        <v>1611</v>
      </c>
      <c r="K119" s="696">
        <v>960115</v>
      </c>
    </row>
    <row r="120" spans="1:11" x14ac:dyDescent="0.25">
      <c r="B120" s="703" t="s">
        <v>1526</v>
      </c>
      <c r="C120" s="920" t="s">
        <v>1617</v>
      </c>
      <c r="D120" s="726" t="str">
        <f>IF(C120="","",_xlfn.XLOOKUP(C120,'Standalone TB'!B:B,'Standalone TB'!C:C))</f>
        <v>REPAIRS - OTHER</v>
      </c>
      <c r="E120" s="703" t="s">
        <v>1428</v>
      </c>
      <c r="F120" s="959">
        <v>6371168</v>
      </c>
      <c r="G120" s="959"/>
      <c r="H120" s="959">
        <f>F120-G120</f>
        <v>6371168</v>
      </c>
      <c r="I120" s="696" t="s">
        <v>1613</v>
      </c>
      <c r="K120" s="696">
        <v>960115</v>
      </c>
    </row>
    <row r="121" spans="1:11" x14ac:dyDescent="0.25">
      <c r="B121" s="703" t="s">
        <v>1526</v>
      </c>
      <c r="C121" s="729" t="s">
        <v>1546</v>
      </c>
      <c r="D121" s="726" t="str">
        <f>IF(C121="","",_xlfn.XLOOKUP(C121,'Standalone TB'!B:B,'Standalone TB'!C:C))</f>
        <v>217000 Right of use real estate</v>
      </c>
      <c r="E121" s="703" t="s">
        <v>1428</v>
      </c>
      <c r="F121" s="959"/>
      <c r="G121" s="959">
        <f>F119+F118+F120</f>
        <v>16320740</v>
      </c>
      <c r="H121" s="959">
        <f>F121-G121</f>
        <v>-16320740</v>
      </c>
      <c r="I121" s="696" t="s">
        <v>1611</v>
      </c>
      <c r="K121" s="696">
        <v>960115</v>
      </c>
    </row>
    <row r="122" spans="1:11" x14ac:dyDescent="0.25">
      <c r="C122" s="705"/>
      <c r="D122" s="709" t="str">
        <f>IF(C122="","",_xlfn.XLOOKUP(C122,'Standalone TB'!B:B,'Standalone TB'!C:C))</f>
        <v/>
      </c>
      <c r="F122" s="709"/>
      <c r="H122" s="708"/>
    </row>
    <row r="123" spans="1:11" x14ac:dyDescent="0.25">
      <c r="A123" s="720">
        <v>36</v>
      </c>
      <c r="B123" s="703" t="s">
        <v>1526</v>
      </c>
      <c r="C123" s="705" t="s">
        <v>1546</v>
      </c>
      <c r="D123" s="709" t="str">
        <f>IF(C123="","",_xlfn.XLOOKUP(C123,'Standalone TB'!B:B,'Standalone TB'!C:C))</f>
        <v>217000 Right of use real estate</v>
      </c>
      <c r="E123" s="703" t="s">
        <v>1428</v>
      </c>
      <c r="F123" s="738">
        <v>2746032.9881389299</v>
      </c>
      <c r="G123" s="738"/>
      <c r="H123" s="738">
        <f>F123-G123</f>
        <v>2746032.9881389299</v>
      </c>
      <c r="I123" s="696" t="s">
        <v>1614</v>
      </c>
      <c r="K123" s="696">
        <v>960115</v>
      </c>
    </row>
    <row r="124" spans="1:11" x14ac:dyDescent="0.25">
      <c r="B124" s="703" t="s">
        <v>1526</v>
      </c>
      <c r="C124" s="705" t="s">
        <v>1615</v>
      </c>
      <c r="D124" s="709" t="str">
        <f>IF(C124="","",_xlfn.XLOOKUP(C124,'Standalone TB'!B:B,'Standalone TB'!C:C))</f>
        <v>Interest income on Lease receivable</v>
      </c>
      <c r="E124" s="703" t="s">
        <v>1428</v>
      </c>
      <c r="F124" s="738"/>
      <c r="G124" s="738">
        <f>F123</f>
        <v>2746032.9881389299</v>
      </c>
      <c r="H124" s="738">
        <f>F124-G124</f>
        <v>-2746032.9881389299</v>
      </c>
      <c r="I124" s="696" t="s">
        <v>1614</v>
      </c>
      <c r="K124" s="696">
        <v>960115</v>
      </c>
    </row>
    <row r="125" spans="1:11" x14ac:dyDescent="0.25">
      <c r="C125" s="705"/>
      <c r="D125" s="709"/>
      <c r="F125" s="709"/>
      <c r="G125" s="709"/>
      <c r="H125" s="708"/>
    </row>
    <row r="126" spans="1:11" x14ac:dyDescent="0.25">
      <c r="A126" s="720">
        <f>A123+1</f>
        <v>37</v>
      </c>
      <c r="B126" s="703" t="s">
        <v>1526</v>
      </c>
      <c r="C126" s="705" t="s">
        <v>1612</v>
      </c>
      <c r="D126" s="709" t="str">
        <f>IF(C126="","",_xlfn.XLOOKUP(C126,'Standalone TB'!B:B,'Standalone TB'!C:C))</f>
        <v>CARETAKER AND TELE-SURVEILLANCE EXPENSES</v>
      </c>
      <c r="E126" s="703" t="s">
        <v>1428</v>
      </c>
      <c r="F126" s="738"/>
      <c r="G126" s="738">
        <f>F127</f>
        <v>112740</v>
      </c>
      <c r="H126" s="738">
        <f>F126-G126</f>
        <v>-112740</v>
      </c>
      <c r="I126" s="696" t="s">
        <v>1616</v>
      </c>
    </row>
    <row r="127" spans="1:11" x14ac:dyDescent="0.25">
      <c r="B127" s="703" t="s">
        <v>1526</v>
      </c>
      <c r="C127" s="729" t="s">
        <v>1594</v>
      </c>
      <c r="D127" s="709" t="str">
        <f>IF(C127="","",_xlfn.XLOOKUP(C127,'Standalone TB'!B:B,'Standalone TB'!C:C))</f>
        <v>613200 REAL-ESTATE RENTAL</v>
      </c>
      <c r="E127" s="703" t="s">
        <v>1428</v>
      </c>
      <c r="F127" s="738">
        <f>112940-200</f>
        <v>112740</v>
      </c>
      <c r="G127" s="738"/>
      <c r="H127" s="738">
        <f>F127-G127</f>
        <v>112740</v>
      </c>
      <c r="I127" s="696" t="s">
        <v>1616</v>
      </c>
    </row>
    <row r="128" spans="1:11" x14ac:dyDescent="0.25">
      <c r="C128" s="705"/>
      <c r="D128" s="709"/>
      <c r="F128" s="709"/>
      <c r="G128" s="709"/>
      <c r="H128" s="708"/>
    </row>
    <row r="129" spans="1:15" x14ac:dyDescent="0.25">
      <c r="A129" s="720">
        <f>A126+1</f>
        <v>38</v>
      </c>
      <c r="B129" s="703" t="s">
        <v>1526</v>
      </c>
      <c r="C129" s="705" t="s">
        <v>1617</v>
      </c>
      <c r="D129" s="709" t="str">
        <f>IF(C129="","",_xlfn.XLOOKUP(C129,'Standalone TB'!B:B,'Standalone TB'!C:C))</f>
        <v>REPAIRS - OTHER</v>
      </c>
      <c r="E129" s="703" t="s">
        <v>1428</v>
      </c>
      <c r="F129" s="738">
        <f>411656</f>
        <v>411656</v>
      </c>
      <c r="G129" s="738"/>
      <c r="H129" s="738">
        <f>F129-G129</f>
        <v>411656</v>
      </c>
      <c r="I129" s="696" t="s">
        <v>1618</v>
      </c>
    </row>
    <row r="130" spans="1:15" x14ac:dyDescent="0.25">
      <c r="B130" s="703" t="s">
        <v>1526</v>
      </c>
      <c r="C130" s="729" t="s">
        <v>1594</v>
      </c>
      <c r="D130" s="709" t="str">
        <f>IF(C130="","",_xlfn.XLOOKUP(C130,'Standalone TB'!B:B,'Standalone TB'!C:C))</f>
        <v>613200 REAL-ESTATE RENTAL</v>
      </c>
      <c r="E130" s="703" t="s">
        <v>1428</v>
      </c>
      <c r="F130" s="738"/>
      <c r="G130" s="738">
        <f>F129</f>
        <v>411656</v>
      </c>
      <c r="H130" s="738">
        <f>F130-G130</f>
        <v>-411656</v>
      </c>
      <c r="I130" s="696" t="s">
        <v>1618</v>
      </c>
    </row>
    <row r="131" spans="1:15" x14ac:dyDescent="0.25">
      <c r="C131" s="705"/>
      <c r="D131" s="709"/>
      <c r="F131" s="709"/>
      <c r="G131" s="709"/>
      <c r="H131" s="708"/>
    </row>
    <row r="132" spans="1:15" x14ac:dyDescent="0.25">
      <c r="A132" s="720">
        <f>A129+1</f>
        <v>39</v>
      </c>
      <c r="B132" s="703" t="s">
        <v>1551</v>
      </c>
      <c r="C132" s="729" t="s">
        <v>1619</v>
      </c>
      <c r="D132" s="709" t="str">
        <f>IF(C132="","",_xlfn.XLOOKUP(C132,'Standalone TB'!B:B,'Standalone TB'!C:C))</f>
        <v>Outstanding Liabilities</v>
      </c>
      <c r="E132" s="703" t="s">
        <v>1297</v>
      </c>
      <c r="F132" s="707">
        <v>62226.847224443998</v>
      </c>
      <c r="G132" s="707"/>
      <c r="H132" s="707">
        <f>F132-G132</f>
        <v>62226.847224443998</v>
      </c>
      <c r="I132" s="696" t="s">
        <v>1620</v>
      </c>
    </row>
    <row r="133" spans="1:15" x14ac:dyDescent="0.25">
      <c r="B133" s="703" t="s">
        <v>1551</v>
      </c>
      <c r="C133" s="705" t="s">
        <v>1621</v>
      </c>
      <c r="D133" s="709" t="str">
        <f>IF(C133="","",_xlfn.XLOOKUP(C133,'Standalone TB'!B:B,'Standalone TB'!C:C))</f>
        <v>PROVISION - TRADE DEBTORS AND RELATED ACCOUNTS</v>
      </c>
      <c r="E133" s="703" t="s">
        <v>1297</v>
      </c>
      <c r="F133" s="707"/>
      <c r="G133" s="707">
        <f>F132</f>
        <v>62226.847224443998</v>
      </c>
      <c r="H133" s="707">
        <f>F133-G133</f>
        <v>-62226.847224443998</v>
      </c>
      <c r="I133" s="696" t="s">
        <v>1620</v>
      </c>
    </row>
    <row r="134" spans="1:15" x14ac:dyDescent="0.25">
      <c r="C134" s="705"/>
      <c r="D134" s="709"/>
      <c r="G134" s="709"/>
      <c r="H134" s="708"/>
    </row>
    <row r="135" spans="1:15" x14ac:dyDescent="0.25">
      <c r="A135" s="720">
        <f>A132+1</f>
        <v>40</v>
      </c>
      <c r="B135" s="703" t="s">
        <v>1526</v>
      </c>
      <c r="C135" s="729" t="s">
        <v>1619</v>
      </c>
      <c r="D135" s="709" t="str">
        <f>IF(C135="","",_xlfn.XLOOKUP(C135,'Standalone TB'!B:B,'Standalone TB'!C:C))</f>
        <v>Outstanding Liabilities</v>
      </c>
      <c r="E135" s="703" t="s">
        <v>1428</v>
      </c>
      <c r="F135" s="738">
        <v>3141014.4488923941</v>
      </c>
      <c r="G135" s="738"/>
      <c r="H135" s="738">
        <f>F135-G135</f>
        <v>3141014.4488923941</v>
      </c>
      <c r="I135" s="696" t="s">
        <v>1620</v>
      </c>
    </row>
    <row r="136" spans="1:15" x14ac:dyDescent="0.25">
      <c r="B136" s="703" t="s">
        <v>1526</v>
      </c>
      <c r="C136" s="705" t="s">
        <v>1621</v>
      </c>
      <c r="D136" s="709" t="str">
        <f>IF(C136="","",_xlfn.XLOOKUP(C136,'Standalone TB'!B:B,'Standalone TB'!C:C))</f>
        <v>PROVISION - TRADE DEBTORS AND RELATED ACCOUNTS</v>
      </c>
      <c r="E136" s="703" t="s">
        <v>1428</v>
      </c>
      <c r="F136" s="738"/>
      <c r="G136" s="738">
        <f>F135</f>
        <v>3141014.4488923941</v>
      </c>
      <c r="H136" s="738">
        <f>F136-G136</f>
        <v>-3141014.4488923941</v>
      </c>
      <c r="I136" s="696" t="s">
        <v>1620</v>
      </c>
    </row>
    <row r="137" spans="1:15" x14ac:dyDescent="0.25">
      <c r="C137" s="705"/>
      <c r="D137" s="709"/>
      <c r="F137" s="709"/>
      <c r="G137" s="709"/>
      <c r="H137" s="708"/>
    </row>
    <row r="138" spans="1:15" x14ac:dyDescent="0.25">
      <c r="A138" s="720">
        <f>A135+1</f>
        <v>41</v>
      </c>
      <c r="B138" s="703" t="s">
        <v>1534</v>
      </c>
      <c r="C138" s="729" t="s">
        <v>1622</v>
      </c>
      <c r="D138" s="709" t="str">
        <f>IF(C138="","",_xlfn.XLOOKUP(C138,'Standalone TB'!B:B,'Standalone TB'!C:C))</f>
        <v>451B72 C/A Eviden USA, Inc.</v>
      </c>
      <c r="E138" s="703" t="s">
        <v>1308</v>
      </c>
      <c r="F138" s="707">
        <f>768169.83175+22260.62</f>
        <v>790430.45175000001</v>
      </c>
      <c r="G138" s="707"/>
      <c r="H138" s="707">
        <f>F138-G138</f>
        <v>790430.45175000001</v>
      </c>
      <c r="I138" s="696" t="s">
        <v>1623</v>
      </c>
      <c r="K138" s="938" t="s">
        <v>1045</v>
      </c>
      <c r="O138" s="700"/>
    </row>
    <row r="139" spans="1:15" x14ac:dyDescent="0.25">
      <c r="B139" s="703" t="s">
        <v>1534</v>
      </c>
      <c r="C139" s="729" t="s">
        <v>1441</v>
      </c>
      <c r="D139" s="709" t="str">
        <f>IF(C139="","",_xlfn.XLOOKUP(C139,'Standalone TB'!B:B,'Standalone TB'!C:C))</f>
        <v>OP S/C T&amp;M. Interco</v>
      </c>
      <c r="E139" s="703" t="s">
        <v>1308</v>
      </c>
      <c r="F139" s="707"/>
      <c r="G139" s="707">
        <f>F138</f>
        <v>790430.45175000001</v>
      </c>
      <c r="H139" s="707">
        <f>F139-G139</f>
        <v>-790430.45175000001</v>
      </c>
      <c r="I139" s="696" t="s">
        <v>1623</v>
      </c>
      <c r="K139" s="938" t="s">
        <v>1045</v>
      </c>
    </row>
    <row r="140" spans="1:15" x14ac:dyDescent="0.25">
      <c r="C140" s="705"/>
      <c r="D140" s="709"/>
      <c r="F140" s="709"/>
      <c r="G140" s="709"/>
      <c r="H140" s="708"/>
    </row>
    <row r="141" spans="1:15" x14ac:dyDescent="0.25">
      <c r="A141" s="720">
        <f>A138+1</f>
        <v>42</v>
      </c>
      <c r="B141" s="703" t="s">
        <v>1534</v>
      </c>
      <c r="C141" s="702" t="s">
        <v>1550</v>
      </c>
      <c r="D141" s="709" t="str">
        <f>IF(C141="","",_xlfn.XLOOKUP(C141,'Standalone TB'!B:B,'Standalone TB'!C:C))</f>
        <v>491010 Valuation allowances on receivables - general</v>
      </c>
      <c r="E141" s="703" t="s">
        <v>1308</v>
      </c>
      <c r="F141" s="707">
        <v>3744.8631577256001</v>
      </c>
      <c r="G141" s="707"/>
      <c r="H141" s="708">
        <f>F141-G141</f>
        <v>3744.8631577256001</v>
      </c>
      <c r="I141" s="696" t="s">
        <v>1624</v>
      </c>
    </row>
    <row r="142" spans="1:15" x14ac:dyDescent="0.25">
      <c r="B142" s="703" t="s">
        <v>1534</v>
      </c>
      <c r="C142" s="705" t="s">
        <v>1625</v>
      </c>
      <c r="D142" s="709" t="str">
        <f>IF(C142="","",_xlfn.XLOOKUP(C142,'Standalone TB'!B:B,'Standalone TB'!C:C))</f>
        <v>RELEASES FROM DEBTOR PROVISIONS</v>
      </c>
      <c r="E142" s="703" t="s">
        <v>1308</v>
      </c>
      <c r="F142" s="707"/>
      <c r="G142" s="707">
        <f>F141</f>
        <v>3744.8631577256001</v>
      </c>
      <c r="H142" s="708">
        <f>F142-G142</f>
        <v>-3744.8631577256001</v>
      </c>
      <c r="I142" s="696" t="s">
        <v>1624</v>
      </c>
    </row>
    <row r="143" spans="1:15" x14ac:dyDescent="0.25">
      <c r="C143" s="705"/>
      <c r="D143" s="709"/>
      <c r="G143" s="709"/>
      <c r="H143" s="708"/>
    </row>
    <row r="144" spans="1:15" x14ac:dyDescent="0.25">
      <c r="A144" s="720">
        <f>A141+1</f>
        <v>43</v>
      </c>
      <c r="B144" s="703" t="s">
        <v>1551</v>
      </c>
      <c r="C144" s="702" t="s">
        <v>1625</v>
      </c>
      <c r="D144" s="709" t="str">
        <f>IF(C144="","",_xlfn.XLOOKUP(C144,'Standalone TB'!B:B,'Standalone TB'!C:C))</f>
        <v>RELEASES FROM DEBTOR PROVISIONS</v>
      </c>
      <c r="E144" s="703" t="s">
        <v>1297</v>
      </c>
      <c r="F144" s="707">
        <v>32282.457873196399</v>
      </c>
      <c r="G144" s="707"/>
      <c r="H144" s="708">
        <f>F144-G144</f>
        <v>32282.457873196399</v>
      </c>
      <c r="I144" s="696" t="s">
        <v>1626</v>
      </c>
    </row>
    <row r="145" spans="1:11" x14ac:dyDescent="0.25">
      <c r="B145" s="703" t="s">
        <v>1551</v>
      </c>
      <c r="C145" s="705" t="s">
        <v>1621</v>
      </c>
      <c r="D145" s="709" t="str">
        <f>IF(C145="","",_xlfn.XLOOKUP(C145,'Standalone TB'!B:B,'Standalone TB'!C:C))</f>
        <v>PROVISION - TRADE DEBTORS AND RELATED ACCOUNTS</v>
      </c>
      <c r="E145" s="703" t="s">
        <v>1297</v>
      </c>
      <c r="F145" s="707"/>
      <c r="G145" s="707">
        <f>F144</f>
        <v>32282.457873196399</v>
      </c>
      <c r="H145" s="708">
        <f>F145-G145</f>
        <v>-32282.457873196399</v>
      </c>
      <c r="I145" s="696" t="s">
        <v>1626</v>
      </c>
    </row>
    <row r="146" spans="1:11" x14ac:dyDescent="0.25">
      <c r="C146" s="705"/>
      <c r="D146" s="709"/>
      <c r="F146" s="709"/>
      <c r="H146" s="708"/>
    </row>
    <row r="147" spans="1:11" x14ac:dyDescent="0.25">
      <c r="A147" s="720">
        <f>A144+1</f>
        <v>44</v>
      </c>
      <c r="B147" s="703" t="s">
        <v>1526</v>
      </c>
      <c r="C147" s="702" t="s">
        <v>1625</v>
      </c>
      <c r="D147" s="709" t="str">
        <f>IF(C147="","",_xlfn.XLOOKUP(C147,'Standalone TB'!B:B,'Standalone TB'!C:C))</f>
        <v>RELEASES FROM DEBTOR PROVISIONS</v>
      </c>
      <c r="E147" s="703" t="s">
        <v>1428</v>
      </c>
      <c r="F147" s="738">
        <v>2207044.7960620727</v>
      </c>
      <c r="G147" s="738"/>
      <c r="H147" s="738">
        <f>F147-G147</f>
        <v>2207044.7960620727</v>
      </c>
      <c r="I147" s="696" t="s">
        <v>1626</v>
      </c>
    </row>
    <row r="148" spans="1:11" x14ac:dyDescent="0.25">
      <c r="B148" s="703" t="s">
        <v>1526</v>
      </c>
      <c r="C148" s="705" t="s">
        <v>1621</v>
      </c>
      <c r="D148" s="709" t="str">
        <f>IF(C148="","",_xlfn.XLOOKUP(C148,'Standalone TB'!B:B,'Standalone TB'!C:C))</f>
        <v>PROVISION - TRADE DEBTORS AND RELATED ACCOUNTS</v>
      </c>
      <c r="E148" s="703" t="s">
        <v>1428</v>
      </c>
      <c r="F148" s="738"/>
      <c r="G148" s="738">
        <f>F147</f>
        <v>2207044.7960620727</v>
      </c>
      <c r="H148" s="738">
        <f>F148-G148</f>
        <v>-2207044.7960620727</v>
      </c>
      <c r="I148" s="696" t="s">
        <v>1626</v>
      </c>
    </row>
    <row r="149" spans="1:11" x14ac:dyDescent="0.25">
      <c r="C149" s="705"/>
      <c r="D149" s="709"/>
      <c r="G149" s="709"/>
      <c r="H149" s="708"/>
    </row>
    <row r="150" spans="1:11" x14ac:dyDescent="0.25">
      <c r="A150" s="720">
        <f>A147+1</f>
        <v>45</v>
      </c>
      <c r="B150" s="703" t="s">
        <v>1526</v>
      </c>
      <c r="C150" s="920" t="s">
        <v>1627</v>
      </c>
      <c r="D150" s="709" t="str">
        <f>IF(C150="","",_xlfn.XLOOKUP(C150,'Standalone TB'!B:B,'Standalone TB'!C:C))</f>
        <v>OPERATING LEASE - OTHER</v>
      </c>
      <c r="E150" s="703" t="s">
        <v>1428</v>
      </c>
      <c r="F150" s="738">
        <v>224872.70157632098</v>
      </c>
      <c r="G150" s="738"/>
      <c r="H150" s="738">
        <f>F150-G150</f>
        <v>224872.70157632098</v>
      </c>
      <c r="I150" s="696" t="s">
        <v>1628</v>
      </c>
      <c r="K150" s="696">
        <v>960115</v>
      </c>
    </row>
    <row r="151" spans="1:11" x14ac:dyDescent="0.25">
      <c r="B151" s="703" t="s">
        <v>1526</v>
      </c>
      <c r="C151" s="729" t="s">
        <v>1629</v>
      </c>
      <c r="D151" s="709" t="str">
        <f>IF(C151="","",_xlfn.XLOOKUP(C151,'Standalone TB'!B:B,'Standalone TB'!C:C))</f>
        <v>401997 Adjustment regroup payables in debit</v>
      </c>
      <c r="E151" s="703" t="s">
        <v>1428</v>
      </c>
      <c r="F151" s="738"/>
      <c r="G151" s="738">
        <f>F150</f>
        <v>224872.70157632098</v>
      </c>
      <c r="H151" s="738">
        <f>F151-G151</f>
        <v>-224872.70157632098</v>
      </c>
      <c r="I151" s="696" t="s">
        <v>1628</v>
      </c>
      <c r="K151" s="696">
        <v>960115</v>
      </c>
    </row>
    <row r="152" spans="1:11" x14ac:dyDescent="0.25">
      <c r="C152" s="705"/>
      <c r="D152" s="709"/>
      <c r="F152" s="709"/>
      <c r="H152" s="708"/>
    </row>
    <row r="153" spans="1:11" x14ac:dyDescent="0.25">
      <c r="A153" s="720">
        <f>A150+1</f>
        <v>46</v>
      </c>
      <c r="B153" s="703" t="s">
        <v>1526</v>
      </c>
      <c r="C153" s="705" t="s">
        <v>1500</v>
      </c>
      <c r="D153" s="709" t="str">
        <f>IF(C153="","",_xlfn.XLOOKUP(C153,'Standalone TB'!B:B,'Standalone TB'!C:C))</f>
        <v>Foreign Interco customers</v>
      </c>
      <c r="E153" s="703" t="s">
        <v>1428</v>
      </c>
      <c r="F153" s="738">
        <v>309316.13</v>
      </c>
      <c r="G153" s="738"/>
      <c r="H153" s="738">
        <f>F153-G153</f>
        <v>309316.13</v>
      </c>
      <c r="I153" s="696" t="s">
        <v>1630</v>
      </c>
      <c r="K153" s="937" t="s">
        <v>1118</v>
      </c>
    </row>
    <row r="154" spans="1:11" x14ac:dyDescent="0.25">
      <c r="B154" s="703" t="s">
        <v>1526</v>
      </c>
      <c r="C154" s="705" t="s">
        <v>1631</v>
      </c>
      <c r="D154" s="709" t="str">
        <f>IF(C154="","",_xlfn.XLOOKUP(C154,'Standalone TB'!B:B,'Standalone TB'!C:C))</f>
        <v>Trade Debtors Advance from Customers</v>
      </c>
      <c r="E154" s="703" t="s">
        <v>1428</v>
      </c>
      <c r="F154" s="738"/>
      <c r="G154" s="738">
        <f>F153</f>
        <v>309316.13</v>
      </c>
      <c r="H154" s="738">
        <f>F154-G154</f>
        <v>-309316.13</v>
      </c>
      <c r="I154" s="696" t="s">
        <v>1630</v>
      </c>
      <c r="K154" s="937" t="s">
        <v>1118</v>
      </c>
    </row>
    <row r="155" spans="1:11" x14ac:dyDescent="0.25">
      <c r="C155" s="705"/>
      <c r="D155" s="709"/>
      <c r="F155" s="709"/>
      <c r="H155" s="708"/>
    </row>
    <row r="156" spans="1:11" x14ac:dyDescent="0.25">
      <c r="A156" s="720">
        <f>A153+1</f>
        <v>47</v>
      </c>
      <c r="B156" s="703" t="s">
        <v>1526</v>
      </c>
      <c r="C156" s="705" t="s">
        <v>1632</v>
      </c>
      <c r="D156" s="709" t="str">
        <f>IF(C156="","",_xlfn.XLOOKUP(C156,'Standalone TB'!B:B,'Standalone TB'!C:C))</f>
        <v>Unfunded post employment DB plans</v>
      </c>
      <c r="E156" s="703" t="s">
        <v>1428</v>
      </c>
      <c r="F156" s="738">
        <v>470565</v>
      </c>
      <c r="G156" s="738"/>
      <c r="H156" s="738">
        <f>F156-G156</f>
        <v>470565</v>
      </c>
      <c r="I156" s="696" t="s">
        <v>1633</v>
      </c>
    </row>
    <row r="157" spans="1:11" x14ac:dyDescent="0.25">
      <c r="B157" s="703" t="s">
        <v>1526</v>
      </c>
      <c r="C157" s="705" t="s">
        <v>1634</v>
      </c>
      <c r="D157" s="709" t="str">
        <f>IF(C157="","",_xlfn.XLOOKUP(C157,'Standalone TB'!B:B,'Standalone TB'!C:C))</f>
        <v>PROVISION - PAID HOLIDAYS</v>
      </c>
      <c r="E157" s="703" t="s">
        <v>1428</v>
      </c>
      <c r="F157" s="738">
        <v>187770</v>
      </c>
      <c r="G157" s="738"/>
      <c r="H157" s="738">
        <f t="shared" ref="H157:H168" si="9">F157-G157</f>
        <v>187770</v>
      </c>
      <c r="I157" s="696" t="s">
        <v>1633</v>
      </c>
    </row>
    <row r="158" spans="1:11" x14ac:dyDescent="0.25">
      <c r="B158" s="703" t="s">
        <v>1526</v>
      </c>
      <c r="C158" s="705" t="s">
        <v>1635</v>
      </c>
      <c r="D158" s="709" t="str">
        <f>IF(C158="","",_xlfn.XLOOKUP(C158,'Standalone TB'!B:B,'Standalone TB'!C:C))</f>
        <v>Telephone Charges</v>
      </c>
      <c r="E158" s="703" t="s">
        <v>1428</v>
      </c>
      <c r="F158" s="738">
        <v>28629</v>
      </c>
      <c r="G158" s="738"/>
      <c r="H158" s="738">
        <f t="shared" si="9"/>
        <v>28629</v>
      </c>
      <c r="I158" s="696" t="s">
        <v>1633</v>
      </c>
    </row>
    <row r="159" spans="1:11" x14ac:dyDescent="0.25">
      <c r="B159" s="703" t="s">
        <v>1526</v>
      </c>
      <c r="C159" s="705" t="s">
        <v>1636</v>
      </c>
      <c r="D159" s="709" t="str">
        <f>IF(C159="","",_xlfn.XLOOKUP(C159,'Standalone TB'!B:B,'Standalone TB'!C:C))</f>
        <v>WAGES AND SALARIES</v>
      </c>
      <c r="E159" s="703" t="s">
        <v>1428</v>
      </c>
      <c r="F159" s="738">
        <v>87783</v>
      </c>
      <c r="G159" s="738"/>
      <c r="H159" s="738">
        <f t="shared" si="9"/>
        <v>87783</v>
      </c>
      <c r="I159" s="696" t="s">
        <v>1633</v>
      </c>
    </row>
    <row r="160" spans="1:11" x14ac:dyDescent="0.25">
      <c r="B160" s="703" t="s">
        <v>1526</v>
      </c>
      <c r="C160" s="705" t="s">
        <v>1637</v>
      </c>
      <c r="D160" s="709" t="str">
        <f>IF(C160="","",_xlfn.XLOOKUP(C160,'Standalone TB'!B:B,'Standalone TB'!C:C))</f>
        <v>HOUSING ALLOWANCE</v>
      </c>
      <c r="E160" s="703" t="s">
        <v>1428</v>
      </c>
      <c r="F160" s="738">
        <v>39190</v>
      </c>
      <c r="G160" s="738"/>
      <c r="H160" s="738">
        <f t="shared" si="9"/>
        <v>39190</v>
      </c>
      <c r="I160" s="696" t="s">
        <v>1633</v>
      </c>
    </row>
    <row r="161" spans="1:13" x14ac:dyDescent="0.25">
      <c r="B161" s="703" t="s">
        <v>1526</v>
      </c>
      <c r="C161" s="705" t="s">
        <v>1638</v>
      </c>
      <c r="D161" s="709" t="str">
        <f>IF(C161="","",_xlfn.XLOOKUP(C161,'Standalone TB'!B:B,'Standalone TB'!C:C))</f>
        <v>Allowance 2</v>
      </c>
      <c r="E161" s="703" t="s">
        <v>1428</v>
      </c>
      <c r="F161" s="738">
        <v>132293</v>
      </c>
      <c r="G161" s="738"/>
      <c r="H161" s="738">
        <f t="shared" si="9"/>
        <v>132293</v>
      </c>
      <c r="I161" s="696" t="s">
        <v>1633</v>
      </c>
    </row>
    <row r="162" spans="1:13" x14ac:dyDescent="0.25">
      <c r="B162" s="703" t="s">
        <v>1526</v>
      </c>
      <c r="C162" s="705" t="s">
        <v>1639</v>
      </c>
      <c r="D162" s="709" t="str">
        <f>IF(C162="","",_xlfn.XLOOKUP(C162,'Standalone TB'!B:B,'Standalone TB'!C:C))</f>
        <v>LTA</v>
      </c>
      <c r="E162" s="703" t="s">
        <v>1428</v>
      </c>
      <c r="F162" s="738">
        <v>140323</v>
      </c>
      <c r="G162" s="738"/>
      <c r="H162" s="738">
        <f t="shared" si="9"/>
        <v>140323</v>
      </c>
      <c r="I162" s="696" t="s">
        <v>1633</v>
      </c>
    </row>
    <row r="163" spans="1:13" x14ac:dyDescent="0.25">
      <c r="B163" s="703" t="s">
        <v>1526</v>
      </c>
      <c r="C163" s="705" t="s">
        <v>1640</v>
      </c>
      <c r="D163" s="709" t="str">
        <f>IF(C163="","",_xlfn.XLOOKUP(C163,'Standalone TB'!B:B,'Standalone TB'!C:C))</f>
        <v>Petrol Exps-Personnel</v>
      </c>
      <c r="E163" s="703" t="s">
        <v>1428</v>
      </c>
      <c r="F163" s="738">
        <v>20613</v>
      </c>
      <c r="G163" s="738"/>
      <c r="H163" s="738">
        <f t="shared" si="9"/>
        <v>20613</v>
      </c>
      <c r="I163" s="696" t="s">
        <v>1633</v>
      </c>
    </row>
    <row r="164" spans="1:13" x14ac:dyDescent="0.25">
      <c r="B164" s="703" t="s">
        <v>1526</v>
      </c>
      <c r="C164" s="705" t="s">
        <v>1641</v>
      </c>
      <c r="D164" s="709" t="str">
        <f>IF(C164="","",_xlfn.XLOOKUP(C164,'Standalone TB'!B:B,'Standalone TB'!C:C))</f>
        <v>Car Hire-Personnel</v>
      </c>
      <c r="E164" s="703" t="s">
        <v>1428</v>
      </c>
      <c r="F164" s="738">
        <v>10306</v>
      </c>
      <c r="G164" s="738"/>
      <c r="H164" s="738">
        <f t="shared" si="9"/>
        <v>10306</v>
      </c>
      <c r="I164" s="696" t="s">
        <v>1633</v>
      </c>
    </row>
    <row r="165" spans="1:13" x14ac:dyDescent="0.25">
      <c r="B165" s="703" t="s">
        <v>1526</v>
      </c>
      <c r="C165" s="705" t="s">
        <v>1642</v>
      </c>
      <c r="D165" s="709" t="str">
        <f>IF(C165="","",_xlfn.XLOOKUP(C165,'Standalone TB'!B:B,'Standalone TB'!C:C))</f>
        <v>Emp PF Pension Payable</v>
      </c>
      <c r="E165" s="703" t="s">
        <v>1428</v>
      </c>
      <c r="F165" s="738"/>
      <c r="G165" s="738">
        <v>10534</v>
      </c>
      <c r="H165" s="738">
        <f t="shared" si="9"/>
        <v>-10534</v>
      </c>
      <c r="I165" s="696" t="s">
        <v>1633</v>
      </c>
    </row>
    <row r="166" spans="1:13" x14ac:dyDescent="0.25">
      <c r="B166" s="703" t="s">
        <v>1526</v>
      </c>
      <c r="C166" s="705" t="s">
        <v>1643</v>
      </c>
      <c r="D166" s="709" t="str">
        <f>IF(C166="","",_xlfn.XLOOKUP(C166,'Standalone TB'!B:B,'Standalone TB'!C:C))</f>
        <v>Emp Prof. Tax Payable</v>
      </c>
      <c r="E166" s="703" t="s">
        <v>1428</v>
      </c>
      <c r="F166" s="738"/>
      <c r="G166" s="738">
        <v>400</v>
      </c>
      <c r="H166" s="738">
        <f t="shared" si="9"/>
        <v>-400</v>
      </c>
      <c r="I166" s="696" t="s">
        <v>1633</v>
      </c>
    </row>
    <row r="167" spans="1:13" x14ac:dyDescent="0.25">
      <c r="B167" s="703" t="s">
        <v>1526</v>
      </c>
      <c r="C167" s="705" t="s">
        <v>1644</v>
      </c>
      <c r="D167" s="709" t="str">
        <f>IF(C167="","",_xlfn.XLOOKUP(C167,'Standalone TB'!B:B,'Standalone TB'!C:C))</f>
        <v>INCOME TAXES ON SALARIES</v>
      </c>
      <c r="E167" s="703" t="s">
        <v>1428</v>
      </c>
      <c r="F167" s="738"/>
      <c r="G167" s="738">
        <v>85742</v>
      </c>
      <c r="H167" s="738">
        <f t="shared" si="9"/>
        <v>-85742</v>
      </c>
      <c r="I167" s="696" t="s">
        <v>1633</v>
      </c>
      <c r="M167" s="699"/>
    </row>
    <row r="168" spans="1:13" x14ac:dyDescent="0.25">
      <c r="B168" s="703" t="s">
        <v>1526</v>
      </c>
      <c r="C168" s="705" t="s">
        <v>1645</v>
      </c>
      <c r="D168" s="709" t="str">
        <f>IF(C168="","",_xlfn.XLOOKUP(C168,'Standalone TB'!B:B,'Standalone TB'!C:C))</f>
        <v>Pending Final Settlement Provision</v>
      </c>
      <c r="E168" s="703" t="s">
        <v>1428</v>
      </c>
      <c r="F168" s="738"/>
      <c r="G168" s="738">
        <v>1020796</v>
      </c>
      <c r="H168" s="738">
        <f t="shared" si="9"/>
        <v>-1020796</v>
      </c>
      <c r="I168" s="696" t="s">
        <v>1633</v>
      </c>
    </row>
    <row r="169" spans="1:13" x14ac:dyDescent="0.25">
      <c r="C169" s="705"/>
      <c r="D169" s="709"/>
      <c r="G169" s="726"/>
      <c r="H169" s="708"/>
      <c r="M169" s="700"/>
    </row>
    <row r="170" spans="1:13" x14ac:dyDescent="0.25">
      <c r="A170" s="720">
        <v>48</v>
      </c>
      <c r="B170" s="703" t="s">
        <v>1526</v>
      </c>
      <c r="C170" s="705" t="s">
        <v>1644</v>
      </c>
      <c r="D170" s="709" t="str">
        <f>IF(C170="","",_xlfn.XLOOKUP(C170,'Standalone TB'!B:B,'Standalone TB'!C:C))</f>
        <v>INCOME TAXES ON SALARIES</v>
      </c>
      <c r="E170" s="703" t="s">
        <v>1428</v>
      </c>
      <c r="F170" s="738">
        <v>1287</v>
      </c>
      <c r="G170" s="738">
        <v>0</v>
      </c>
      <c r="H170" s="738">
        <f>F170-G170</f>
        <v>1287</v>
      </c>
      <c r="I170" s="696" t="s">
        <v>1646</v>
      </c>
    </row>
    <row r="171" spans="1:13" x14ac:dyDescent="0.25">
      <c r="B171" s="703" t="s">
        <v>1526</v>
      </c>
      <c r="C171" s="705" t="s">
        <v>1638</v>
      </c>
      <c r="D171" s="709" t="str">
        <f>IF(C171="","",_xlfn.XLOOKUP(C171,'Standalone TB'!B:B,'Standalone TB'!C:C))</f>
        <v>Allowance 2</v>
      </c>
      <c r="E171" s="703" t="s">
        <v>1428</v>
      </c>
      <c r="F171" s="738">
        <v>4873</v>
      </c>
      <c r="G171" s="738">
        <v>0</v>
      </c>
      <c r="H171" s="738">
        <f t="shared" ref="H171:H172" si="10">F171-G171</f>
        <v>4873</v>
      </c>
      <c r="I171" s="696" t="s">
        <v>1646</v>
      </c>
    </row>
    <row r="172" spans="1:13" x14ac:dyDescent="0.25">
      <c r="B172" s="703" t="s">
        <v>1526</v>
      </c>
      <c r="C172" s="705" t="s">
        <v>1639</v>
      </c>
      <c r="D172" s="709" t="str">
        <f>IF(C172="","",_xlfn.XLOOKUP(C172,'Standalone TB'!B:B,'Standalone TB'!C:C))</f>
        <v>LTA</v>
      </c>
      <c r="E172" s="703" t="s">
        <v>1428</v>
      </c>
      <c r="F172" s="738">
        <v>0</v>
      </c>
      <c r="G172" s="738">
        <v>6160</v>
      </c>
      <c r="H172" s="738">
        <f t="shared" si="10"/>
        <v>-6160</v>
      </c>
      <c r="I172" s="696" t="s">
        <v>1646</v>
      </c>
    </row>
    <row r="173" spans="1:13" x14ac:dyDescent="0.25">
      <c r="C173" s="705"/>
      <c r="D173" s="709"/>
      <c r="F173" s="709"/>
      <c r="H173" s="708"/>
    </row>
    <row r="174" spans="1:13" x14ac:dyDescent="0.25">
      <c r="A174" s="720">
        <v>49</v>
      </c>
      <c r="B174" s="703" t="s">
        <v>1526</v>
      </c>
      <c r="C174" s="936" t="s">
        <v>1647</v>
      </c>
      <c r="D174" s="709" t="str">
        <f>IF(C174="","",_xlfn.XLOOKUP(C174,'Standalone TB'!B:B,'Standalone TB'!C:C))</f>
        <v>445891 Input IGST Availed</v>
      </c>
      <c r="E174" s="703" t="s">
        <v>1428</v>
      </c>
      <c r="F174" s="738">
        <v>8291951</v>
      </c>
      <c r="G174" s="738"/>
      <c r="H174" s="738">
        <f>F174-G174</f>
        <v>8291951</v>
      </c>
      <c r="I174" s="696" t="s">
        <v>1648</v>
      </c>
    </row>
    <row r="175" spans="1:13" x14ac:dyDescent="0.25">
      <c r="B175" s="703" t="s">
        <v>1526</v>
      </c>
      <c r="C175" s="936" t="s">
        <v>1649</v>
      </c>
      <c r="D175" s="709" t="str">
        <f>IF(C175="","",_xlfn.XLOOKUP(C175,'Standalone TB'!B:B,'Standalone TB'!C:C))</f>
        <v>445894 IGST Payable</v>
      </c>
      <c r="E175" s="703" t="s">
        <v>1428</v>
      </c>
      <c r="F175" s="738"/>
      <c r="G175" s="738">
        <f>F174</f>
        <v>8291951</v>
      </c>
      <c r="H175" s="738">
        <f>F175-G175</f>
        <v>-8291951</v>
      </c>
      <c r="I175" s="696" t="s">
        <v>1648</v>
      </c>
    </row>
    <row r="176" spans="1:13" x14ac:dyDescent="0.25">
      <c r="D176" s="709"/>
      <c r="H176" s="708"/>
    </row>
    <row r="177" spans="1:14" x14ac:dyDescent="0.25">
      <c r="A177" s="720">
        <f>A174+1</f>
        <v>50</v>
      </c>
      <c r="B177" s="703" t="s">
        <v>1526</v>
      </c>
      <c r="C177" s="705" t="s">
        <v>1650</v>
      </c>
      <c r="D177" s="709" t="str">
        <f>IF(C177="","",_xlfn.XLOOKUP(C177,'Standalone TB'!B:B,'Standalone TB'!C:C))</f>
        <v>TDS - Contractor &amp; Sub Contractor</v>
      </c>
      <c r="E177" s="703" t="s">
        <v>1428</v>
      </c>
      <c r="F177" s="738"/>
      <c r="G177" s="738">
        <v>254694</v>
      </c>
      <c r="H177" s="738">
        <f>F177-G177</f>
        <v>-254694</v>
      </c>
      <c r="I177" s="696" t="s">
        <v>1651</v>
      </c>
    </row>
    <row r="178" spans="1:14" x14ac:dyDescent="0.25">
      <c r="B178" s="703" t="s">
        <v>1526</v>
      </c>
      <c r="C178" s="705" t="s">
        <v>1652</v>
      </c>
      <c r="D178" s="709" t="str">
        <f>IF(C178="","",_xlfn.XLOOKUP(C178,'Standalone TB'!B:B,'Standalone TB'!C:C))</f>
        <v>PREPAYMENTS</v>
      </c>
      <c r="E178" s="703" t="s">
        <v>1428</v>
      </c>
      <c r="F178" s="738">
        <v>1267006</v>
      </c>
      <c r="G178" s="738"/>
      <c r="H178" s="738">
        <f t="shared" ref="H178:H181" si="11">F178-G178</f>
        <v>1267006</v>
      </c>
      <c r="I178" s="696" t="s">
        <v>1651</v>
      </c>
    </row>
    <row r="179" spans="1:14" x14ac:dyDescent="0.25">
      <c r="B179" s="703" t="s">
        <v>1526</v>
      </c>
      <c r="C179" s="705" t="s">
        <v>1653</v>
      </c>
      <c r="D179" s="709" t="str">
        <f>IF(C179="","",_xlfn.XLOOKUP(C179,'Standalone TB'!B:B,'Standalone TB'!C:C))</f>
        <v>Interco Prepayment</v>
      </c>
      <c r="E179" s="703" t="s">
        <v>1428</v>
      </c>
      <c r="F179" s="738">
        <v>7208998</v>
      </c>
      <c r="G179" s="738"/>
      <c r="H179" s="738">
        <f t="shared" si="11"/>
        <v>7208998</v>
      </c>
      <c r="I179" s="696" t="s">
        <v>1651</v>
      </c>
    </row>
    <row r="180" spans="1:14" x14ac:dyDescent="0.25">
      <c r="B180" s="703" t="s">
        <v>1526</v>
      </c>
      <c r="C180" s="705" t="s">
        <v>1654</v>
      </c>
      <c r="D180" s="709" t="str">
        <f>IF(C180="","",_xlfn.XLOOKUP(C180,'Standalone TB'!B:B,'Standalone TB'!C:C))</f>
        <v>TDS - Professional Fees</v>
      </c>
      <c r="E180" s="703" t="s">
        <v>1428</v>
      </c>
      <c r="F180" s="738"/>
      <c r="G180" s="738">
        <v>1311391</v>
      </c>
      <c r="H180" s="738">
        <f t="shared" si="11"/>
        <v>-1311391</v>
      </c>
      <c r="I180" s="696" t="s">
        <v>1651</v>
      </c>
    </row>
    <row r="181" spans="1:14" x14ac:dyDescent="0.25">
      <c r="B181" s="703" t="s">
        <v>1526</v>
      </c>
      <c r="C181" s="702" t="s">
        <v>1655</v>
      </c>
      <c r="D181" s="709" t="str">
        <f>IF(C181="","",_xlfn.XLOOKUP(C181,'Standalone TB'!B:B,'Standalone TB'!C:C))</f>
        <v>TDS - Foreign Payments</v>
      </c>
      <c r="E181" s="703" t="s">
        <v>1428</v>
      </c>
      <c r="F181" s="738"/>
      <c r="G181" s="738">
        <v>6909919</v>
      </c>
      <c r="H181" s="738">
        <f t="shared" si="11"/>
        <v>-6909919</v>
      </c>
      <c r="I181" s="696" t="s">
        <v>1651</v>
      </c>
    </row>
    <row r="182" spans="1:14" x14ac:dyDescent="0.25">
      <c r="C182" s="705"/>
      <c r="D182" s="709"/>
      <c r="F182" s="726"/>
      <c r="G182" s="709"/>
      <c r="H182" s="708"/>
      <c r="N182" s="700"/>
    </row>
    <row r="183" spans="1:14" x14ac:dyDescent="0.25">
      <c r="A183" s="720">
        <v>51</v>
      </c>
      <c r="B183" s="703" t="s">
        <v>1526</v>
      </c>
      <c r="C183" s="705" t="s">
        <v>1656</v>
      </c>
      <c r="D183" s="709" t="str">
        <f>IF(C183="","",_xlfn.XLOOKUP(C183,'Standalone TB'!B:B,'Standalone TB'!C:C))</f>
        <v>OTHER FINANCIAL EXPENSES</v>
      </c>
      <c r="E183" s="703" t="s">
        <v>1428</v>
      </c>
      <c r="F183" s="959">
        <v>461.03611223229927</v>
      </c>
      <c r="G183" s="738"/>
      <c r="H183" s="738">
        <f>F183-G183</f>
        <v>461.03611223229927</v>
      </c>
      <c r="I183" s="696" t="s">
        <v>1657</v>
      </c>
    </row>
    <row r="184" spans="1:14" x14ac:dyDescent="0.25">
      <c r="B184" s="703" t="s">
        <v>1526</v>
      </c>
      <c r="C184" s="705" t="s">
        <v>1619</v>
      </c>
      <c r="D184" s="709" t="str">
        <f>IF(C184="","",_xlfn.XLOOKUP(C184,'Standalone TB'!B:B,'Standalone TB'!C:C))</f>
        <v>Outstanding Liabilities</v>
      </c>
      <c r="E184" s="703" t="s">
        <v>1428</v>
      </c>
      <c r="F184" s="959"/>
      <c r="G184" s="738">
        <f>F183</f>
        <v>461.03611223229927</v>
      </c>
      <c r="H184" s="738">
        <f>F184-G184</f>
        <v>-461.03611223229927</v>
      </c>
      <c r="I184" s="696" t="s">
        <v>1657</v>
      </c>
    </row>
    <row r="185" spans="1:14" x14ac:dyDescent="0.25">
      <c r="D185" s="709"/>
      <c r="H185" s="708"/>
    </row>
    <row r="186" spans="1:14" x14ac:dyDescent="0.25">
      <c r="A186" s="720">
        <v>52</v>
      </c>
      <c r="B186" s="703" t="s">
        <v>1526</v>
      </c>
      <c r="C186" s="705" t="s">
        <v>1658</v>
      </c>
      <c r="D186" s="709" t="str">
        <f>IF(C186="","",_xlfn.XLOOKUP(C186,'Standalone TB'!B:B,'Standalone TB'!C:C))</f>
        <v>WIP Current Asset</v>
      </c>
      <c r="E186" s="703" t="s">
        <v>1428</v>
      </c>
      <c r="F186" s="959">
        <f>G187</f>
        <v>4773481.5700000077</v>
      </c>
      <c r="G186" s="738"/>
      <c r="H186" s="738">
        <f>F186-G186</f>
        <v>4773481.5700000077</v>
      </c>
      <c r="I186" s="696" t="s">
        <v>1659</v>
      </c>
    </row>
    <row r="187" spans="1:14" x14ac:dyDescent="0.25">
      <c r="B187" s="703" t="s">
        <v>1526</v>
      </c>
      <c r="C187" s="705" t="s">
        <v>1660</v>
      </c>
      <c r="D187" s="709" t="str">
        <f>IF(C187="","",_xlfn.XLOOKUP(C187,'Standalone TB'!B:B,'Standalone TB'!C:C))</f>
        <v>DEFERRED INCOME</v>
      </c>
      <c r="E187" s="703" t="s">
        <v>1428</v>
      </c>
      <c r="F187" s="738"/>
      <c r="G187" s="738">
        <v>4773481.5700000077</v>
      </c>
      <c r="H187" s="738">
        <f>F187-G187</f>
        <v>-4773481.5700000077</v>
      </c>
      <c r="I187" s="696" t="s">
        <v>1659</v>
      </c>
    </row>
    <row r="188" spans="1:14" x14ac:dyDescent="0.25">
      <c r="C188" s="705"/>
      <c r="D188" s="709"/>
      <c r="F188" s="726"/>
      <c r="G188" s="704"/>
      <c r="H188" s="708"/>
    </row>
    <row r="189" spans="1:14" x14ac:dyDescent="0.25">
      <c r="A189" s="720">
        <v>53</v>
      </c>
      <c r="B189" s="703" t="s">
        <v>1526</v>
      </c>
      <c r="C189" s="705" t="s">
        <v>1661</v>
      </c>
      <c r="D189" s="709" t="str">
        <f>IF(C189="","",_xlfn.XLOOKUP(C189,'Standalone TB'!B:B,'Standalone TB'!C:C))</f>
        <v>ACCRUED INTEREST/DEPOSITS AND SURETIES PAID</v>
      </c>
      <c r="E189" s="703" t="s">
        <v>1428</v>
      </c>
      <c r="F189" s="738"/>
      <c r="G189" s="738">
        <f>2361+907555</f>
        <v>909916</v>
      </c>
      <c r="H189" s="738">
        <f>F189-G189</f>
        <v>-909916</v>
      </c>
      <c r="I189" s="696" t="s">
        <v>1662</v>
      </c>
    </row>
    <row r="190" spans="1:14" x14ac:dyDescent="0.25">
      <c r="B190" s="703" t="s">
        <v>1526</v>
      </c>
      <c r="C190" s="705" t="s">
        <v>1663</v>
      </c>
      <c r="D190" s="709" t="str">
        <f>IF(C190="","",_xlfn.XLOOKUP(C190,'Standalone TB'!B:B,'Standalone TB'!C:C))</f>
        <v>761700 Interest income Credit Card business</v>
      </c>
      <c r="E190" s="703" t="s">
        <v>1428</v>
      </c>
      <c r="F190" s="738">
        <v>942339</v>
      </c>
      <c r="G190" s="738"/>
      <c r="H190" s="738">
        <f>F190-G190</f>
        <v>942339</v>
      </c>
      <c r="I190" s="696" t="s">
        <v>1662</v>
      </c>
    </row>
    <row r="191" spans="1:14" x14ac:dyDescent="0.25">
      <c r="B191" s="703" t="s">
        <v>1526</v>
      </c>
      <c r="C191" s="705" t="s">
        <v>1664</v>
      </c>
      <c r="D191" s="709" t="str">
        <f>IF(C191="","",_xlfn.XLOOKUP(C191,'Standalone TB'!B:B,'Standalone TB'!C:C))</f>
        <v>Recl TDS-Income 12</v>
      </c>
      <c r="E191" s="703" t="s">
        <v>1428</v>
      </c>
      <c r="F191" s="738"/>
      <c r="G191" s="738">
        <v>81391</v>
      </c>
      <c r="H191" s="738">
        <f>F191-G191</f>
        <v>-81391</v>
      </c>
      <c r="I191" s="696" t="s">
        <v>1662</v>
      </c>
    </row>
    <row r="192" spans="1:14" x14ac:dyDescent="0.25">
      <c r="B192" s="703" t="s">
        <v>1526</v>
      </c>
      <c r="C192" s="673" t="s">
        <v>1665</v>
      </c>
      <c r="D192" s="709" t="str">
        <f>IF(C192="","",_xlfn.XLOOKUP(C192,'Standalone TB'!B:B,'Standalone TB'!C:C))</f>
        <v>Guarantee Given Account</v>
      </c>
      <c r="E192" s="703" t="s">
        <v>1428</v>
      </c>
      <c r="F192" s="738">
        <v>48968</v>
      </c>
      <c r="G192" s="738"/>
      <c r="H192" s="738">
        <f>F192-G192</f>
        <v>48968</v>
      </c>
      <c r="I192" s="696" t="s">
        <v>1662</v>
      </c>
    </row>
    <row r="193" spans="1:14" x14ac:dyDescent="0.25">
      <c r="C193" s="705"/>
      <c r="D193" s="709"/>
      <c r="F193" s="709"/>
      <c r="G193" s="704"/>
      <c r="H193" s="708"/>
      <c r="N193" s="700"/>
    </row>
    <row r="194" spans="1:14" x14ac:dyDescent="0.25">
      <c r="A194" s="720">
        <v>54</v>
      </c>
      <c r="B194" s="703" t="s">
        <v>1526</v>
      </c>
      <c r="C194" s="702" t="s">
        <v>1666</v>
      </c>
      <c r="D194" s="709" t="str">
        <f>IF(C194="","",_xlfn.XLOOKUP(C194,'Standalone TB'!B:B,'Standalone TB'!C:C))</f>
        <v>Interco Down payment</v>
      </c>
      <c r="E194" s="703" t="s">
        <v>1428</v>
      </c>
      <c r="F194" s="738">
        <v>4222000</v>
      </c>
      <c r="G194" s="738"/>
      <c r="H194" s="738">
        <f>F194-G194</f>
        <v>4222000</v>
      </c>
      <c r="I194" s="696" t="s">
        <v>1667</v>
      </c>
      <c r="K194" s="937" t="s">
        <v>1016</v>
      </c>
      <c r="N194" s="700"/>
    </row>
    <row r="195" spans="1:14" x14ac:dyDescent="0.25">
      <c r="B195" s="703" t="s">
        <v>1526</v>
      </c>
      <c r="C195" s="705" t="s">
        <v>1668</v>
      </c>
      <c r="D195" s="709" t="str">
        <f>IF(C195="","",_xlfn.XLOOKUP(C195,'Standalone TB'!B:B,'Standalone TB'!C:C))</f>
        <v>Interco Down payment</v>
      </c>
      <c r="E195" s="703" t="s">
        <v>1428</v>
      </c>
      <c r="F195" s="738"/>
      <c r="G195" s="738">
        <f>F194</f>
        <v>4222000</v>
      </c>
      <c r="H195" s="738">
        <f>F195-G195</f>
        <v>-4222000</v>
      </c>
      <c r="I195" s="696" t="s">
        <v>1667</v>
      </c>
      <c r="K195" s="937" t="s">
        <v>1016</v>
      </c>
      <c r="N195" s="700"/>
    </row>
    <row r="196" spans="1:14" x14ac:dyDescent="0.25">
      <c r="C196" s="705"/>
      <c r="D196" s="709"/>
      <c r="F196" s="707"/>
      <c r="G196" s="707"/>
      <c r="H196" s="707"/>
    </row>
    <row r="197" spans="1:14" x14ac:dyDescent="0.25">
      <c r="A197" s="720">
        <v>55</v>
      </c>
      <c r="B197" s="703" t="s">
        <v>1534</v>
      </c>
      <c r="C197" s="705" t="s">
        <v>1622</v>
      </c>
      <c r="D197" s="709" t="str">
        <f>IF(C197="","",_xlfn.XLOOKUP(C197,'Standalone TB'!B:B,'Standalone TB'!C:C))</f>
        <v>451B72 C/A Eviden USA, Inc.</v>
      </c>
      <c r="E197" s="703" t="s">
        <v>1308</v>
      </c>
      <c r="F197" s="707">
        <f>SUM(G198:G207)</f>
        <v>232064.79</v>
      </c>
      <c r="G197" s="707"/>
      <c r="H197" s="707">
        <f>F197-G197</f>
        <v>232064.79</v>
      </c>
      <c r="I197" s="696" t="s">
        <v>1623</v>
      </c>
      <c r="K197" s="938" t="s">
        <v>1045</v>
      </c>
    </row>
    <row r="198" spans="1:14" x14ac:dyDescent="0.25">
      <c r="B198" s="703" t="s">
        <v>1534</v>
      </c>
      <c r="C198" s="705" t="s">
        <v>1487</v>
      </c>
      <c r="D198" s="709" t="str">
        <f>IF(C198="","",_xlfn.XLOOKUP(C198,'Standalone TB'!B:B,'Standalone TB'!C:C))</f>
        <v>OPERATING AND PRODUCTION SUB-CONTRACTING</v>
      </c>
      <c r="E198" s="703" t="s">
        <v>1308</v>
      </c>
      <c r="F198" s="707"/>
      <c r="G198" s="738">
        <v>131362.06999999998</v>
      </c>
      <c r="H198" s="707">
        <f t="shared" ref="H198:H210" si="12">F198-G198</f>
        <v>-131362.06999999998</v>
      </c>
      <c r="I198" s="696" t="s">
        <v>1623</v>
      </c>
      <c r="K198" s="938" t="s">
        <v>1045</v>
      </c>
    </row>
    <row r="199" spans="1:14" x14ac:dyDescent="0.25">
      <c r="B199" s="703" t="s">
        <v>1534</v>
      </c>
      <c r="C199" s="705" t="s">
        <v>1612</v>
      </c>
      <c r="D199" s="709" t="str">
        <f>IF(C199="","",_xlfn.XLOOKUP(C199,'Standalone TB'!B:B,'Standalone TB'!C:C))</f>
        <v>CARETAKER AND TELE-SURVEILLANCE EXPENSES</v>
      </c>
      <c r="E199" s="703" t="s">
        <v>1308</v>
      </c>
      <c r="F199" s="707"/>
      <c r="G199" s="738">
        <v>3153.17</v>
      </c>
      <c r="H199" s="707">
        <f t="shared" si="12"/>
        <v>-3153.17</v>
      </c>
      <c r="I199" s="696" t="s">
        <v>1623</v>
      </c>
      <c r="K199" s="938" t="s">
        <v>1045</v>
      </c>
    </row>
    <row r="200" spans="1:14" x14ac:dyDescent="0.25">
      <c r="B200" s="703" t="s">
        <v>1534</v>
      </c>
      <c r="C200" s="705" t="s">
        <v>1669</v>
      </c>
      <c r="D200" s="709" t="str">
        <f>IF(C200="","",_xlfn.XLOOKUP(C200,'Standalone TB'!B:B,'Standalone TB'!C:C))</f>
        <v>REPAIRS AND MAINTENANCE - REAL-ESTATE</v>
      </c>
      <c r="E200" s="703" t="s">
        <v>1308</v>
      </c>
      <c r="F200" s="707"/>
      <c r="G200" s="738">
        <v>4887.42</v>
      </c>
      <c r="H200" s="707">
        <f t="shared" si="12"/>
        <v>-4887.42</v>
      </c>
      <c r="I200" s="696" t="s">
        <v>1623</v>
      </c>
      <c r="K200" s="938" t="s">
        <v>1045</v>
      </c>
    </row>
    <row r="201" spans="1:14" x14ac:dyDescent="0.25">
      <c r="B201" s="703" t="s">
        <v>1534</v>
      </c>
      <c r="C201" s="705" t="s">
        <v>1670</v>
      </c>
      <c r="D201" s="709" t="str">
        <f>IF(C201="","",_xlfn.XLOOKUP(C201,'Standalone TB'!B:B,'Standalone TB'!C:C))</f>
        <v>STAFF RECRUITMENT - FEES AND ADVERTISING</v>
      </c>
      <c r="E201" s="703" t="s">
        <v>1308</v>
      </c>
      <c r="F201" s="707"/>
      <c r="G201" s="738">
        <v>25500</v>
      </c>
      <c r="H201" s="707">
        <f t="shared" si="12"/>
        <v>-25500</v>
      </c>
      <c r="I201" s="696" t="s">
        <v>1623</v>
      </c>
      <c r="K201" s="938" t="s">
        <v>1045</v>
      </c>
    </row>
    <row r="202" spans="1:14" x14ac:dyDescent="0.25">
      <c r="B202" s="703" t="s">
        <v>1534</v>
      </c>
      <c r="C202" s="705" t="s">
        <v>1671</v>
      </c>
      <c r="D202" s="709" t="str">
        <f>IF(C202="","",_xlfn.XLOOKUP(C202,'Standalone TB'!B:B,'Standalone TB'!C:C))</f>
        <v>Removal of Equipment</v>
      </c>
      <c r="E202" s="703" t="s">
        <v>1308</v>
      </c>
      <c r="F202" s="707"/>
      <c r="G202" s="738">
        <v>10413.19</v>
      </c>
      <c r="H202" s="707">
        <f t="shared" si="12"/>
        <v>-10413.19</v>
      </c>
      <c r="I202" s="696" t="s">
        <v>1623</v>
      </c>
      <c r="K202" s="938" t="s">
        <v>1045</v>
      </c>
    </row>
    <row r="203" spans="1:14" x14ac:dyDescent="0.25">
      <c r="B203" s="703" t="s">
        <v>1534</v>
      </c>
      <c r="C203" s="705" t="s">
        <v>1672</v>
      </c>
      <c r="D203" s="709" t="str">
        <f>IF(C203="","",_xlfn.XLOOKUP(C203,'Standalone TB'!B:B,'Standalone TB'!C:C))</f>
        <v>ADMINISTRATIVE LINES</v>
      </c>
      <c r="E203" s="703" t="s">
        <v>1308</v>
      </c>
      <c r="F203" s="707"/>
      <c r="G203" s="738">
        <v>10411.450000000001</v>
      </c>
      <c r="H203" s="707">
        <f t="shared" si="12"/>
        <v>-10411.450000000001</v>
      </c>
      <c r="I203" s="696" t="s">
        <v>1623</v>
      </c>
      <c r="K203" s="938" t="s">
        <v>1045</v>
      </c>
    </row>
    <row r="204" spans="1:14" x14ac:dyDescent="0.25">
      <c r="B204" s="703" t="s">
        <v>1534</v>
      </c>
      <c r="C204" s="705" t="s">
        <v>1673</v>
      </c>
      <c r="D204" s="709" t="str">
        <f>IF(C204="","",_xlfn.XLOOKUP(C204,'Standalone TB'!B:B,'Standalone TB'!C:C))</f>
        <v>Printing &amp; Stationery</v>
      </c>
      <c r="E204" s="703" t="s">
        <v>1308</v>
      </c>
      <c r="F204" s="707"/>
      <c r="G204" s="738">
        <v>23399.25</v>
      </c>
      <c r="H204" s="707">
        <f t="shared" si="12"/>
        <v>-23399.25</v>
      </c>
      <c r="I204" s="696" t="s">
        <v>1623</v>
      </c>
      <c r="K204" s="938" t="s">
        <v>1045</v>
      </c>
    </row>
    <row r="205" spans="1:14" x14ac:dyDescent="0.25">
      <c r="B205" s="703" t="s">
        <v>1534</v>
      </c>
      <c r="C205" s="702" t="s">
        <v>1586</v>
      </c>
      <c r="D205" s="709" t="str">
        <f>IF(C205="","",_xlfn.XLOOKUP(C205,'Standalone TB'!B:B,'Standalone TB'!C:C))</f>
        <v>TRAINING INVOICES</v>
      </c>
      <c r="E205" s="703" t="s">
        <v>1308</v>
      </c>
      <c r="G205" s="738">
        <v>20930</v>
      </c>
      <c r="H205" s="707">
        <f t="shared" si="12"/>
        <v>-20930</v>
      </c>
      <c r="I205" s="696" t="s">
        <v>1623</v>
      </c>
      <c r="K205" s="938" t="s">
        <v>1045</v>
      </c>
    </row>
    <row r="206" spans="1:14" x14ac:dyDescent="0.25">
      <c r="B206" s="703" t="s">
        <v>1534</v>
      </c>
      <c r="C206" s="702" t="s">
        <v>1674</v>
      </c>
      <c r="D206" s="709" t="str">
        <f>IF(C206="","",_xlfn.XLOOKUP(C206,'Standalone TB'!B:B,'Standalone TB'!C:C))</f>
        <v>SOFTWARE ROYALTIES, PATENT USER RIGHTS</v>
      </c>
      <c r="E206" s="703" t="s">
        <v>1308</v>
      </c>
      <c r="F206" s="707"/>
      <c r="G206" s="738">
        <v>216.82999999999197</v>
      </c>
      <c r="H206" s="707">
        <f t="shared" si="12"/>
        <v>-216.82999999999197</v>
      </c>
      <c r="I206" s="696" t="s">
        <v>1623</v>
      </c>
      <c r="K206" s="938" t="s">
        <v>1045</v>
      </c>
    </row>
    <row r="207" spans="1:14" x14ac:dyDescent="0.25">
      <c r="B207" s="703" t="s">
        <v>1534</v>
      </c>
      <c r="C207" s="702" t="s">
        <v>1675</v>
      </c>
      <c r="D207" s="709" t="str">
        <f>IF(C207="","",_xlfn.XLOOKUP(C207,'Standalone TB'!B:B,'Standalone TB'!C:C))</f>
        <v>OTHER OPERATING EXPENSES</v>
      </c>
      <c r="E207" s="703" t="s">
        <v>1308</v>
      </c>
      <c r="F207" s="707"/>
      <c r="G207" s="738">
        <v>1791.41</v>
      </c>
      <c r="H207" s="707">
        <f t="shared" si="12"/>
        <v>-1791.41</v>
      </c>
      <c r="I207" s="696" t="s">
        <v>1623</v>
      </c>
      <c r="K207" s="938" t="s">
        <v>1045</v>
      </c>
    </row>
    <row r="208" spans="1:14" x14ac:dyDescent="0.25">
      <c r="D208" s="709"/>
      <c r="F208" s="707"/>
      <c r="G208" s="696"/>
    </row>
    <row r="209" spans="1:21" x14ac:dyDescent="0.25">
      <c r="A209" s="720">
        <v>56</v>
      </c>
      <c r="B209" s="703" t="s">
        <v>1534</v>
      </c>
      <c r="C209" s="705" t="s">
        <v>1622</v>
      </c>
      <c r="D209" s="709" t="str">
        <f>IF(C209="","",_xlfn.XLOOKUP(C209,'Standalone TB'!B:B,'Standalone TB'!C:C))</f>
        <v>451B72 C/A Eviden USA, Inc.</v>
      </c>
      <c r="E209" s="703" t="s">
        <v>1308</v>
      </c>
      <c r="F209" s="959">
        <v>35127.06</v>
      </c>
      <c r="G209" s="736"/>
      <c r="H209" s="707">
        <f t="shared" si="12"/>
        <v>35127.06</v>
      </c>
      <c r="I209" s="696" t="s">
        <v>1623</v>
      </c>
      <c r="K209" s="938" t="s">
        <v>1045</v>
      </c>
      <c r="U209" s="700"/>
    </row>
    <row r="210" spans="1:21" x14ac:dyDescent="0.25">
      <c r="B210" s="703" t="s">
        <v>1534</v>
      </c>
      <c r="C210" s="703" t="s">
        <v>1676</v>
      </c>
      <c r="D210" s="709" t="str">
        <f>IF(C210="","",_xlfn.XLOOKUP(C210,'Standalone TB'!B:B,'Standalone TB'!C:C))</f>
        <v>INCOME FROM ORDINARY ACTIVITIES</v>
      </c>
      <c r="E210" s="703" t="s">
        <v>1308</v>
      </c>
      <c r="F210" s="736"/>
      <c r="G210" s="959">
        <f>F209</f>
        <v>35127.06</v>
      </c>
      <c r="H210" s="707">
        <f t="shared" si="12"/>
        <v>-35127.06</v>
      </c>
      <c r="I210" s="696" t="s">
        <v>1623</v>
      </c>
      <c r="K210" s="938" t="s">
        <v>1045</v>
      </c>
    </row>
    <row r="211" spans="1:21" x14ac:dyDescent="0.25">
      <c r="D211" s="709"/>
      <c r="F211" s="736"/>
      <c r="G211" s="736"/>
    </row>
    <row r="212" spans="1:21" x14ac:dyDescent="0.25">
      <c r="A212" s="720">
        <v>57</v>
      </c>
      <c r="B212" s="703" t="s">
        <v>1534</v>
      </c>
      <c r="C212" s="920" t="s">
        <v>1622</v>
      </c>
      <c r="D212" s="709" t="str">
        <f>IF(C212="","",_xlfn.XLOOKUP(C212,'Standalone TB'!B:B,'Standalone TB'!C:C))</f>
        <v>451B72 C/A Eviden USA, Inc.</v>
      </c>
      <c r="E212" s="703" t="s">
        <v>1308</v>
      </c>
      <c r="F212" s="707">
        <f>G213</f>
        <v>79043.05</v>
      </c>
      <c r="G212" s="707"/>
      <c r="H212" s="707">
        <f>F212-G212</f>
        <v>79043.05</v>
      </c>
      <c r="I212" s="696" t="s">
        <v>1623</v>
      </c>
      <c r="K212" s="938" t="s">
        <v>1045</v>
      </c>
    </row>
    <row r="213" spans="1:21" x14ac:dyDescent="0.25">
      <c r="B213" s="703" t="s">
        <v>1534</v>
      </c>
      <c r="C213" s="729" t="s">
        <v>1463</v>
      </c>
      <c r="D213" s="709" t="str">
        <f>IF(C213="","",_xlfn.XLOOKUP(C213,'Standalone TB'!B:B,'Standalone TB'!C:C))</f>
        <v>Offshore Netting Billing</v>
      </c>
      <c r="E213" s="703" t="s">
        <v>1308</v>
      </c>
      <c r="F213" s="707"/>
      <c r="G213" s="707">
        <v>79043.05</v>
      </c>
      <c r="H213" s="707">
        <f>F213-G213</f>
        <v>-79043.05</v>
      </c>
      <c r="I213" s="696" t="s">
        <v>1623</v>
      </c>
      <c r="K213" s="938" t="s">
        <v>1045</v>
      </c>
    </row>
    <row r="214" spans="1:21" x14ac:dyDescent="0.25">
      <c r="D214" s="726"/>
    </row>
    <row r="215" spans="1:21" x14ac:dyDescent="0.25">
      <c r="A215" s="960">
        <v>58</v>
      </c>
      <c r="B215" s="961" t="s">
        <v>1551</v>
      </c>
      <c r="C215" s="962" t="s">
        <v>1677</v>
      </c>
      <c r="D215" s="969" t="str">
        <f>IF(C215="","",_xlfn.XLOOKUP(C215,'Standalone TB'!B:B,'Standalone TB'!C:C))</f>
        <v>TRAVELLING EXPENSES</v>
      </c>
      <c r="E215" s="961" t="s">
        <v>1297</v>
      </c>
      <c r="F215" s="964">
        <f>G216</f>
        <v>20000</v>
      </c>
      <c r="G215" s="964"/>
      <c r="H215" s="964">
        <f>F215-G215</f>
        <v>20000</v>
      </c>
      <c r="I215" s="965" t="s">
        <v>1678</v>
      </c>
      <c r="J215" s="965"/>
      <c r="K215" s="965"/>
      <c r="L215" s="965"/>
    </row>
    <row r="216" spans="1:21" x14ac:dyDescent="0.25">
      <c r="A216" s="960"/>
      <c r="B216" s="961" t="s">
        <v>1551</v>
      </c>
      <c r="C216" s="962" t="s">
        <v>1679</v>
      </c>
      <c r="D216" s="969" t="str">
        <f>IF(C216="","",_xlfn.XLOOKUP(C216,'Standalone TB'!B:B,'Standalone TB'!C:C))</f>
        <v>ADVANCES ON SALARIES</v>
      </c>
      <c r="E216" s="961" t="s">
        <v>1297</v>
      </c>
      <c r="F216" s="964"/>
      <c r="G216" s="964">
        <v>20000</v>
      </c>
      <c r="H216" s="964">
        <f>F216-G216</f>
        <v>-20000</v>
      </c>
      <c r="I216" s="965" t="s">
        <v>1678</v>
      </c>
      <c r="J216" s="965"/>
      <c r="K216" s="965"/>
      <c r="L216" s="965"/>
    </row>
    <row r="217" spans="1:21" x14ac:dyDescent="0.25">
      <c r="A217" s="960"/>
      <c r="B217" s="961"/>
      <c r="C217" s="962"/>
      <c r="D217" s="963"/>
      <c r="E217" s="961"/>
      <c r="F217" s="961"/>
      <c r="G217" s="961"/>
      <c r="H217" s="961"/>
      <c r="I217" s="965"/>
      <c r="J217" s="965"/>
      <c r="K217" s="965"/>
      <c r="L217" s="965"/>
    </row>
    <row r="218" spans="1:21" x14ac:dyDescent="0.25">
      <c r="A218" s="960">
        <v>59</v>
      </c>
      <c r="B218" s="961" t="s">
        <v>1526</v>
      </c>
      <c r="C218" s="967" t="s">
        <v>1680</v>
      </c>
      <c r="D218" s="969" t="str">
        <f>IF(C218="","",_xlfn.XLOOKUP(C218,'Standalone TB'!B:B,'Standalone TB'!C:C))</f>
        <v>TRADE DEBTORS GROUP</v>
      </c>
      <c r="E218" s="961" t="s">
        <v>1428</v>
      </c>
      <c r="F218" s="970">
        <f>G219</f>
        <v>6396817</v>
      </c>
      <c r="G218" s="970"/>
      <c r="H218" s="970">
        <f>F218-G218</f>
        <v>6396817</v>
      </c>
      <c r="I218" s="965" t="s">
        <v>1681</v>
      </c>
      <c r="J218" s="965"/>
      <c r="K218" s="968" t="s">
        <v>1016</v>
      </c>
      <c r="L218" s="965"/>
    </row>
    <row r="219" spans="1:21" x14ac:dyDescent="0.25">
      <c r="A219" s="960"/>
      <c r="B219" s="961" t="s">
        <v>1526</v>
      </c>
      <c r="C219" s="962" t="s">
        <v>1682</v>
      </c>
      <c r="D219" s="969" t="str">
        <f>IF(C219="","",_xlfn.XLOOKUP(C219,'Standalone TB'!B:B,'Standalone TB'!C:C))</f>
        <v>Disbursement of cost recoverable</v>
      </c>
      <c r="E219" s="961" t="s">
        <v>1428</v>
      </c>
      <c r="F219" s="970"/>
      <c r="G219" s="970">
        <v>6396817</v>
      </c>
      <c r="H219" s="970">
        <f>F219-G219</f>
        <v>-6396817</v>
      </c>
      <c r="I219" s="965" t="s">
        <v>1681</v>
      </c>
      <c r="J219" s="965"/>
      <c r="K219" s="968" t="s">
        <v>1016</v>
      </c>
      <c r="L219" s="965"/>
    </row>
    <row r="220" spans="1:21" x14ac:dyDescent="0.25">
      <c r="A220" s="960"/>
      <c r="B220" s="961"/>
      <c r="C220" s="962"/>
      <c r="D220" s="969"/>
      <c r="E220" s="961"/>
      <c r="F220" s="964"/>
      <c r="G220" s="964"/>
      <c r="H220" s="964"/>
      <c r="I220" s="965"/>
      <c r="J220" s="965"/>
      <c r="K220" s="965"/>
      <c r="L220" s="965"/>
    </row>
    <row r="221" spans="1:21" x14ac:dyDescent="0.25">
      <c r="A221" s="960">
        <v>60</v>
      </c>
      <c r="B221" s="961" t="s">
        <v>1526</v>
      </c>
      <c r="C221" s="962" t="s">
        <v>1682</v>
      </c>
      <c r="D221" s="969" t="str">
        <f>IF(C221="","",_xlfn.XLOOKUP(C221,'Standalone TB'!B:B,'Standalone TB'!C:C))</f>
        <v>Disbursement of cost recoverable</v>
      </c>
      <c r="E221" s="961" t="s">
        <v>1428</v>
      </c>
      <c r="F221" s="970">
        <f>G222+G223</f>
        <v>5548876</v>
      </c>
      <c r="G221" s="970"/>
      <c r="H221" s="970">
        <f>F221-G221</f>
        <v>5548876</v>
      </c>
      <c r="I221" s="965" t="s">
        <v>1683</v>
      </c>
      <c r="J221" s="965"/>
      <c r="K221" s="968" t="s">
        <v>1016</v>
      </c>
      <c r="L221" s="965"/>
    </row>
    <row r="222" spans="1:21" x14ac:dyDescent="0.25">
      <c r="A222" s="960"/>
      <c r="B222" s="961" t="s">
        <v>1526</v>
      </c>
      <c r="C222" s="967" t="s">
        <v>1502</v>
      </c>
      <c r="D222" s="969" t="str">
        <f>IF(C222="","",_xlfn.XLOOKUP(C222,'Standalone TB'!B:B,'Standalone TB'!C:C))</f>
        <v>TRADE DEBTORS - SALES INVOICE ACCRUALS - INTERCO</v>
      </c>
      <c r="E222" s="961" t="s">
        <v>1428</v>
      </c>
      <c r="F222" s="970">
        <v>2043580</v>
      </c>
      <c r="G222" s="970">
        <f>4824944-105199</f>
        <v>4719745</v>
      </c>
      <c r="H222" s="970">
        <f>F222-G222</f>
        <v>-2676165</v>
      </c>
      <c r="I222" s="965" t="s">
        <v>1683</v>
      </c>
      <c r="J222" s="965"/>
      <c r="K222" s="968" t="s">
        <v>1016</v>
      </c>
      <c r="L222" s="965"/>
    </row>
    <row r="223" spans="1:21" x14ac:dyDescent="0.25">
      <c r="A223" s="960"/>
      <c r="B223" s="961" t="s">
        <v>1526</v>
      </c>
      <c r="C223" s="967" t="s">
        <v>1680</v>
      </c>
      <c r="D223" s="969" t="str">
        <f>IF(C223="","",_xlfn.XLOOKUP(C223,'Standalone TB'!B:B,'Standalone TB'!C:C))</f>
        <v>TRADE DEBTORS GROUP</v>
      </c>
      <c r="E223" s="961" t="s">
        <v>1428</v>
      </c>
      <c r="F223" s="970"/>
      <c r="G223" s="970">
        <v>829131</v>
      </c>
      <c r="H223" s="970">
        <f>F223-G223</f>
        <v>-829131</v>
      </c>
      <c r="I223" s="965" t="s">
        <v>1683</v>
      </c>
      <c r="J223" s="965"/>
      <c r="K223" s="968" t="s">
        <v>1016</v>
      </c>
      <c r="L223" s="965"/>
    </row>
    <row r="224" spans="1:21" x14ac:dyDescent="0.25">
      <c r="A224" s="960"/>
      <c r="B224" s="961" t="s">
        <v>1526</v>
      </c>
      <c r="C224" s="967" t="s">
        <v>1684</v>
      </c>
      <c r="D224" s="969" t="str">
        <f>IF(C224="","",_xlfn.XLOOKUP(C224,'Standalone TB'!B:B,'Standalone TB'!C:C))</f>
        <v>INTERCOMPANY CURRENT ACCOUNTS ASSETS-India</v>
      </c>
      <c r="E224" s="961" t="s">
        <v>1428</v>
      </c>
      <c r="F224" s="970"/>
      <c r="G224" s="970">
        <v>2043580</v>
      </c>
      <c r="H224" s="970">
        <f>F224-G224</f>
        <v>-2043580</v>
      </c>
      <c r="I224" s="965" t="s">
        <v>1685</v>
      </c>
      <c r="J224" s="965"/>
      <c r="K224" s="968" t="s">
        <v>1016</v>
      </c>
      <c r="L224" s="965"/>
    </row>
    <row r="225" spans="1:12" x14ac:dyDescent="0.25">
      <c r="A225" s="960"/>
      <c r="B225" s="961"/>
      <c r="C225" s="962"/>
      <c r="D225" s="963"/>
      <c r="E225" s="961"/>
      <c r="F225" s="964"/>
      <c r="G225" s="964"/>
      <c r="H225" s="964"/>
      <c r="I225" s="965"/>
      <c r="J225" s="965"/>
      <c r="K225" s="965"/>
      <c r="L225" s="965"/>
    </row>
    <row r="226" spans="1:12" x14ac:dyDescent="0.25">
      <c r="A226" s="960">
        <v>61</v>
      </c>
      <c r="B226" s="961" t="s">
        <v>1526</v>
      </c>
      <c r="C226" s="967" t="s">
        <v>1686</v>
      </c>
      <c r="D226" s="969" t="str">
        <f>IF(C226="","",_xlfn.XLOOKUP(C226,'Standalone TB'!B:B,'Standalone TB'!C:C))</f>
        <v>Disbursement of cost recoverable</v>
      </c>
      <c r="E226" s="961" t="s">
        <v>1428</v>
      </c>
      <c r="F226" s="970">
        <f>F221</f>
        <v>5548876</v>
      </c>
      <c r="G226" s="970"/>
      <c r="H226" s="970">
        <f>F226-G226</f>
        <v>5548876</v>
      </c>
      <c r="I226" s="965" t="s">
        <v>1687</v>
      </c>
      <c r="J226" s="965"/>
      <c r="K226" s="968" t="s">
        <v>1016</v>
      </c>
      <c r="L226" s="965"/>
    </row>
    <row r="227" spans="1:12" x14ac:dyDescent="0.25">
      <c r="A227" s="960"/>
      <c r="B227" s="961" t="s">
        <v>1526</v>
      </c>
      <c r="C227" s="962" t="s">
        <v>1682</v>
      </c>
      <c r="D227" s="969" t="str">
        <f>IF(C227="","",_xlfn.XLOOKUP(C227,'Standalone TB'!B:B,'Standalone TB'!C:C))</f>
        <v>Disbursement of cost recoverable</v>
      </c>
      <c r="E227" s="961" t="s">
        <v>1428</v>
      </c>
      <c r="F227" s="970"/>
      <c r="G227" s="970">
        <f>F226</f>
        <v>5548876</v>
      </c>
      <c r="H227" s="970">
        <f>F227-G227</f>
        <v>-5548876</v>
      </c>
      <c r="I227" s="965" t="s">
        <v>1687</v>
      </c>
      <c r="J227" s="965"/>
      <c r="K227" s="968" t="s">
        <v>1016</v>
      </c>
      <c r="L227" s="965"/>
    </row>
    <row r="228" spans="1:12" x14ac:dyDescent="0.25">
      <c r="A228" s="960"/>
      <c r="B228" s="961"/>
      <c r="C228" s="962"/>
      <c r="D228" s="963"/>
      <c r="E228" s="961"/>
      <c r="F228" s="964"/>
      <c r="G228" s="964"/>
      <c r="H228" s="964"/>
      <c r="I228" s="965"/>
      <c r="J228" s="965"/>
      <c r="K228" s="965"/>
      <c r="L228" s="965"/>
    </row>
    <row r="229" spans="1:12" x14ac:dyDescent="0.25">
      <c r="A229" s="960">
        <v>62</v>
      </c>
      <c r="B229" s="961" t="s">
        <v>1526</v>
      </c>
      <c r="C229" s="962" t="s">
        <v>1500</v>
      </c>
      <c r="D229" s="969" t="str">
        <f>IF(C229="","",_xlfn.XLOOKUP(C229,'Standalone TB'!B:B,'Standalone TB'!C:C))</f>
        <v>Foreign Interco customers</v>
      </c>
      <c r="E229" s="961" t="s">
        <v>1428</v>
      </c>
      <c r="F229" s="970">
        <v>21003204.969999999</v>
      </c>
      <c r="G229" s="970"/>
      <c r="H229" s="970">
        <f>F229-G229</f>
        <v>21003204.969999999</v>
      </c>
      <c r="I229" s="965" t="s">
        <v>1688</v>
      </c>
      <c r="J229" s="965"/>
      <c r="K229" s="968" t="s">
        <v>1020</v>
      </c>
      <c r="L229" s="965"/>
    </row>
    <row r="230" spans="1:12" x14ac:dyDescent="0.25">
      <c r="A230" s="960"/>
      <c r="B230" s="961" t="s">
        <v>1526</v>
      </c>
      <c r="C230" s="962" t="s">
        <v>1631</v>
      </c>
      <c r="D230" s="969" t="str">
        <f>IF(C230="","",_xlfn.XLOOKUP(C230,'Standalone TB'!B:B,'Standalone TB'!C:C))</f>
        <v>Trade Debtors Advance from Customers</v>
      </c>
      <c r="E230" s="961" t="s">
        <v>1428</v>
      </c>
      <c r="F230" s="970"/>
      <c r="G230" s="970">
        <f>F229</f>
        <v>21003204.969999999</v>
      </c>
      <c r="H230" s="970">
        <f>F230-G230</f>
        <v>-21003204.969999999</v>
      </c>
      <c r="I230" s="965" t="s">
        <v>1688</v>
      </c>
      <c r="J230" s="965"/>
      <c r="K230" s="968" t="s">
        <v>1020</v>
      </c>
      <c r="L230" s="965"/>
    </row>
    <row r="231" spans="1:12" x14ac:dyDescent="0.25">
      <c r="A231" s="960"/>
      <c r="B231" s="961"/>
      <c r="C231" s="962"/>
      <c r="D231" s="963"/>
      <c r="E231" s="961"/>
      <c r="F231" s="964"/>
      <c r="G231" s="964"/>
      <c r="H231" s="964"/>
      <c r="I231" s="965"/>
      <c r="J231" s="965"/>
      <c r="K231" s="965"/>
      <c r="L231" s="965"/>
    </row>
    <row r="232" spans="1:12" x14ac:dyDescent="0.25">
      <c r="A232" s="960">
        <v>63</v>
      </c>
      <c r="B232" s="961" t="s">
        <v>1551</v>
      </c>
      <c r="C232" s="962" t="s">
        <v>1658</v>
      </c>
      <c r="D232" s="969" t="str">
        <f>IF(C232="","",_xlfn.XLOOKUP(C232,'Standalone TB'!B:B,'Standalone TB'!C:C))</f>
        <v>WIP Current Asset</v>
      </c>
      <c r="E232" s="961" t="s">
        <v>1297</v>
      </c>
      <c r="F232" s="964">
        <v>1002319.81</v>
      </c>
      <c r="G232" s="964"/>
      <c r="H232" s="966">
        <f>F232-G232</f>
        <v>1002319.81</v>
      </c>
      <c r="I232" s="965" t="s">
        <v>1689</v>
      </c>
      <c r="J232" s="965"/>
      <c r="K232" s="965"/>
      <c r="L232" s="965"/>
    </row>
    <row r="233" spans="1:12" x14ac:dyDescent="0.25">
      <c r="A233" s="960"/>
      <c r="B233" s="961" t="s">
        <v>1551</v>
      </c>
      <c r="C233" s="962" t="s">
        <v>1660</v>
      </c>
      <c r="D233" s="969" t="str">
        <f>IF(C233="","",_xlfn.XLOOKUP(C233,'Standalone TB'!B:B,'Standalone TB'!C:C))</f>
        <v>DEFERRED INCOME</v>
      </c>
      <c r="E233" s="961" t="s">
        <v>1297</v>
      </c>
      <c r="F233" s="964"/>
      <c r="G233" s="964">
        <v>1002319.81</v>
      </c>
      <c r="H233" s="966">
        <f>F233-G233</f>
        <v>-1002319.81</v>
      </c>
      <c r="I233" s="965" t="s">
        <v>1689</v>
      </c>
      <c r="J233" s="965"/>
      <c r="K233" s="965"/>
      <c r="L233" s="965"/>
    </row>
    <row r="234" spans="1:12" x14ac:dyDescent="0.25">
      <c r="A234" s="960"/>
      <c r="B234" s="961"/>
      <c r="C234" s="962"/>
      <c r="D234" s="963"/>
      <c r="E234" s="961"/>
      <c r="F234" s="964"/>
      <c r="G234" s="964"/>
      <c r="H234" s="966"/>
      <c r="I234" s="965"/>
      <c r="J234" s="965"/>
      <c r="K234" s="965"/>
      <c r="L234" s="965"/>
    </row>
    <row r="235" spans="1:12" x14ac:dyDescent="0.25">
      <c r="A235" s="960">
        <v>64</v>
      </c>
      <c r="B235" s="961" t="s">
        <v>1551</v>
      </c>
      <c r="C235" s="962" t="s">
        <v>1690</v>
      </c>
      <c r="D235" s="969" t="str">
        <f>IF(C235="","",_xlfn.XLOOKUP(C235,'Standalone TB'!B:B,'Standalone TB'!C:C))</f>
        <v>TRADE DEBTORS  - MANUAL CROSS-MATCHING</v>
      </c>
      <c r="E235" s="961" t="s">
        <v>1297</v>
      </c>
      <c r="F235" s="970">
        <v>203704.58</v>
      </c>
      <c r="G235" s="970"/>
      <c r="H235" s="970">
        <f>F235-G235</f>
        <v>203704.58</v>
      </c>
      <c r="I235" s="965" t="s">
        <v>1689</v>
      </c>
      <c r="J235" s="965"/>
      <c r="K235" s="965"/>
      <c r="L235" s="965"/>
    </row>
    <row r="236" spans="1:12" x14ac:dyDescent="0.25">
      <c r="A236" s="960"/>
      <c r="B236" s="961" t="s">
        <v>1551</v>
      </c>
      <c r="C236" s="962" t="s">
        <v>1660</v>
      </c>
      <c r="D236" s="969" t="str">
        <f>IF(C236="","",_xlfn.XLOOKUP(C236,'Standalone TB'!B:B,'Standalone TB'!C:C))</f>
        <v>DEFERRED INCOME</v>
      </c>
      <c r="E236" s="961" t="s">
        <v>1297</v>
      </c>
      <c r="F236" s="970"/>
      <c r="G236" s="970">
        <f>F235</f>
        <v>203704.58</v>
      </c>
      <c r="H236" s="970">
        <f>F236-G236</f>
        <v>-203704.58</v>
      </c>
      <c r="I236" s="965" t="s">
        <v>1689</v>
      </c>
      <c r="J236" s="965"/>
      <c r="K236" s="965"/>
      <c r="L236" s="965"/>
    </row>
    <row r="237" spans="1:12" x14ac:dyDescent="0.25">
      <c r="A237" s="960"/>
      <c r="B237" s="961"/>
      <c r="C237" s="962"/>
      <c r="D237" s="963"/>
      <c r="E237" s="961"/>
      <c r="F237" s="964"/>
      <c r="G237" s="964"/>
      <c r="H237" s="964"/>
      <c r="I237" s="965"/>
      <c r="J237" s="965"/>
      <c r="K237" s="965"/>
      <c r="L237" s="965"/>
    </row>
    <row r="238" spans="1:12" x14ac:dyDescent="0.25">
      <c r="A238" s="960">
        <v>65</v>
      </c>
      <c r="B238" s="961" t="s">
        <v>1526</v>
      </c>
      <c r="C238" s="967" t="s">
        <v>1502</v>
      </c>
      <c r="D238" s="969" t="str">
        <f>IF(C238="","",_xlfn.XLOOKUP(C238,'Standalone TB'!B:B,'Standalone TB'!C:C))</f>
        <v>TRADE DEBTORS - SALES INVOICE ACCRUALS - INTERCO</v>
      </c>
      <c r="E238" s="961" t="s">
        <v>1428</v>
      </c>
      <c r="F238" s="970">
        <f>G239</f>
        <v>105488716.55635141</v>
      </c>
      <c r="G238" s="970"/>
      <c r="H238" s="970">
        <f>F238-G238</f>
        <v>105488716.55635141</v>
      </c>
      <c r="I238" s="965" t="s">
        <v>1691</v>
      </c>
      <c r="J238" s="965"/>
      <c r="K238" s="965" t="s">
        <v>1186</v>
      </c>
      <c r="L238" s="965"/>
    </row>
    <row r="239" spans="1:12" x14ac:dyDescent="0.25">
      <c r="A239" s="960"/>
      <c r="B239" s="961" t="s">
        <v>1526</v>
      </c>
      <c r="C239" s="967" t="s">
        <v>1446</v>
      </c>
      <c r="D239" s="969" t="str">
        <f>IF(C239="","",_xlfn.XLOOKUP(C239,'Standalone TB'!B:B,'Standalone TB'!C:C))</f>
        <v>Revenue Offshore Netting Billing</v>
      </c>
      <c r="E239" s="961" t="s">
        <v>1428</v>
      </c>
      <c r="F239" s="970"/>
      <c r="G239" s="970">
        <v>105488716.55635141</v>
      </c>
      <c r="H239" s="970">
        <f>F239-G239</f>
        <v>-105488716.55635141</v>
      </c>
      <c r="I239" s="965" t="s">
        <v>1691</v>
      </c>
      <c r="J239" s="965"/>
      <c r="K239" s="965" t="s">
        <v>1186</v>
      </c>
      <c r="L239" s="965"/>
    </row>
    <row r="240" spans="1:12" x14ac:dyDescent="0.25">
      <c r="A240" s="960"/>
      <c r="B240" s="961"/>
      <c r="C240" s="962"/>
      <c r="D240" s="963"/>
      <c r="E240" s="961"/>
      <c r="F240" s="964"/>
      <c r="G240" s="964"/>
      <c r="H240" s="966"/>
      <c r="I240" s="965"/>
      <c r="J240" s="965"/>
      <c r="K240" s="965"/>
      <c r="L240" s="965"/>
    </row>
    <row r="241" spans="1:12" x14ac:dyDescent="0.25">
      <c r="A241" s="960">
        <v>66</v>
      </c>
      <c r="B241" s="961" t="s">
        <v>1526</v>
      </c>
      <c r="C241" s="967" t="s">
        <v>1502</v>
      </c>
      <c r="D241" s="969" t="str">
        <f>IF(C241="","",_xlfn.XLOOKUP(C241,'Standalone TB'!B:B,'Standalone TB'!C:C))</f>
        <v>TRADE DEBTORS - SALES INVOICE ACCRUALS - INTERCO</v>
      </c>
      <c r="E241" s="961" t="s">
        <v>1428</v>
      </c>
      <c r="F241" s="970">
        <f>G242</f>
        <v>49260829.704730339</v>
      </c>
      <c r="G241" s="970"/>
      <c r="H241" s="970">
        <f>F241-G241</f>
        <v>49260829.704730339</v>
      </c>
      <c r="I241" s="965" t="s">
        <v>1692</v>
      </c>
      <c r="J241" s="965"/>
      <c r="K241" s="965" t="s">
        <v>1186</v>
      </c>
      <c r="L241" s="965"/>
    </row>
    <row r="242" spans="1:12" x14ac:dyDescent="0.25">
      <c r="A242" s="960"/>
      <c r="B242" s="961" t="s">
        <v>1526</v>
      </c>
      <c r="C242" s="967" t="s">
        <v>1446</v>
      </c>
      <c r="D242" s="969" t="str">
        <f>IF(C242="","",_xlfn.XLOOKUP(C242,'Standalone TB'!B:B,'Standalone TB'!C:C))</f>
        <v>Revenue Offshore Netting Billing</v>
      </c>
      <c r="E242" s="961" t="s">
        <v>1428</v>
      </c>
      <c r="F242" s="970"/>
      <c r="G242" s="970">
        <v>49260829.704730339</v>
      </c>
      <c r="H242" s="970">
        <f>F242-G242</f>
        <v>-49260829.704730339</v>
      </c>
      <c r="I242" s="965" t="s">
        <v>1692</v>
      </c>
      <c r="J242" s="965"/>
      <c r="K242" s="965" t="s">
        <v>1186</v>
      </c>
      <c r="L242" s="965"/>
    </row>
    <row r="243" spans="1:12" x14ac:dyDescent="0.25">
      <c r="D243" s="726"/>
      <c r="F243" s="736"/>
      <c r="G243" s="736"/>
      <c r="H243" s="708"/>
    </row>
    <row r="244" spans="1:12" x14ac:dyDescent="0.25">
      <c r="A244" s="960">
        <v>67</v>
      </c>
      <c r="B244" s="961" t="s">
        <v>1551</v>
      </c>
      <c r="C244" s="967" t="s">
        <v>1444</v>
      </c>
      <c r="D244" s="969" t="str">
        <f>IF(C244="","",_xlfn.XLOOKUP(C244,'Standalone TB'!B:B,'Standalone TB'!C:C))</f>
        <v>Work in Process (Increase) / Decrease</v>
      </c>
      <c r="E244" s="961" t="s">
        <v>1297</v>
      </c>
      <c r="F244" s="966">
        <f>G245</f>
        <v>33399.93</v>
      </c>
      <c r="G244" s="961"/>
      <c r="H244" s="966">
        <f>F244-G244</f>
        <v>33399.93</v>
      </c>
      <c r="I244" s="965" t="s">
        <v>1693</v>
      </c>
      <c r="K244" s="968" t="s">
        <v>1057</v>
      </c>
    </row>
    <row r="245" spans="1:12" x14ac:dyDescent="0.25">
      <c r="B245" s="961" t="s">
        <v>1551</v>
      </c>
      <c r="C245" s="967" t="s">
        <v>1502</v>
      </c>
      <c r="D245" s="969" t="str">
        <f>IF(C245="","",_xlfn.XLOOKUP(C245,'Standalone TB'!B:B,'Standalone TB'!C:C))</f>
        <v>TRADE DEBTORS - SALES INVOICE ACCRUALS - INTERCO</v>
      </c>
      <c r="E245" s="961" t="s">
        <v>1297</v>
      </c>
      <c r="F245" s="964"/>
      <c r="G245" s="964">
        <v>33399.93</v>
      </c>
      <c r="H245" s="966">
        <f>F245-G245</f>
        <v>-33399.93</v>
      </c>
      <c r="I245" s="965" t="s">
        <v>1693</v>
      </c>
      <c r="K245" s="968" t="s">
        <v>1057</v>
      </c>
    </row>
    <row r="246" spans="1:12" x14ac:dyDescent="0.25">
      <c r="D246" s="726"/>
      <c r="F246" s="736"/>
      <c r="G246" s="736"/>
      <c r="H246" s="708"/>
    </row>
    <row r="247" spans="1:12" x14ac:dyDescent="0.25">
      <c r="A247" s="960">
        <v>68</v>
      </c>
      <c r="B247" s="961" t="s">
        <v>1551</v>
      </c>
      <c r="C247" s="967" t="s">
        <v>1502</v>
      </c>
      <c r="D247" s="963" t="str">
        <f>IF(C247="","",_xlfn.XLOOKUP(C247,'Standalone TB'!B:B,'Standalone TB'!C:C))</f>
        <v>TRADE DEBTORS - SALES INVOICE ACCRUALS - INTERCO</v>
      </c>
      <c r="E247" s="961" t="s">
        <v>1297</v>
      </c>
      <c r="F247" s="964"/>
      <c r="G247" s="964">
        <v>328783.24</v>
      </c>
      <c r="H247" s="970">
        <f>F247-G247</f>
        <v>-328783.24</v>
      </c>
      <c r="I247" s="965" t="s">
        <v>2833</v>
      </c>
      <c r="K247" s="968" t="s">
        <v>1024</v>
      </c>
    </row>
    <row r="248" spans="1:12" x14ac:dyDescent="0.25">
      <c r="B248" s="961" t="s">
        <v>1551</v>
      </c>
      <c r="C248" s="967" t="s">
        <v>1441</v>
      </c>
      <c r="D248" s="963" t="str">
        <f>IF(C248="","",_xlfn.XLOOKUP(C248,'Standalone TB'!B:B,'Standalone TB'!C:C))</f>
        <v>OP S/C T&amp;M. Interco</v>
      </c>
      <c r="E248" s="961" t="s">
        <v>1297</v>
      </c>
      <c r="F248" s="964">
        <f>G247</f>
        <v>328783.24</v>
      </c>
      <c r="G248" s="964"/>
      <c r="H248" s="970">
        <f>F248-G248</f>
        <v>328783.24</v>
      </c>
      <c r="I248" s="965" t="s">
        <v>2833</v>
      </c>
      <c r="K248" s="968" t="s">
        <v>1024</v>
      </c>
    </row>
    <row r="249" spans="1:12" x14ac:dyDescent="0.25">
      <c r="D249" s="726"/>
      <c r="F249" s="736"/>
      <c r="G249" s="736"/>
      <c r="H249" s="959"/>
      <c r="I249" s="698"/>
    </row>
    <row r="250" spans="1:12" x14ac:dyDescent="0.25">
      <c r="A250" s="960">
        <v>69</v>
      </c>
      <c r="B250" s="961" t="s">
        <v>1526</v>
      </c>
      <c r="C250" s="962" t="s">
        <v>1632</v>
      </c>
      <c r="D250" s="969" t="str">
        <f>IF(C250="","",_xlfn.XLOOKUP(C250,'Standalone TB'!B:B,'Standalone TB'!C:C))</f>
        <v>Unfunded post employment DB plans</v>
      </c>
      <c r="E250" s="961" t="s">
        <v>1428</v>
      </c>
      <c r="F250" s="970">
        <f>G251</f>
        <v>11536426</v>
      </c>
      <c r="G250" s="970"/>
      <c r="H250" s="966">
        <f>F250-G250</f>
        <v>11536426</v>
      </c>
      <c r="I250" s="965" t="s">
        <v>1694</v>
      </c>
    </row>
    <row r="251" spans="1:12" x14ac:dyDescent="0.25">
      <c r="A251" s="960"/>
      <c r="B251" s="961" t="s">
        <v>1526</v>
      </c>
      <c r="C251" s="962" t="s">
        <v>1695</v>
      </c>
      <c r="D251" s="969" t="str">
        <f>IF(C251="","",_xlfn.XLOOKUP(C251,'Standalone TB'!B:B,'Standalone TB'!C:C))</f>
        <v>Other Comprehensive Income on Acturial valuation</v>
      </c>
      <c r="E251" s="961" t="s">
        <v>1428</v>
      </c>
      <c r="F251" s="970"/>
      <c r="G251" s="970">
        <f>11536426</f>
        <v>11536426</v>
      </c>
      <c r="H251" s="966">
        <f>F251-G251</f>
        <v>-11536426</v>
      </c>
      <c r="I251" s="965" t="s">
        <v>1694</v>
      </c>
    </row>
    <row r="252" spans="1:12" x14ac:dyDescent="0.25">
      <c r="A252" s="960"/>
      <c r="B252" s="961"/>
      <c r="C252" s="962"/>
      <c r="D252" s="726"/>
      <c r="F252" s="964"/>
      <c r="G252" s="964"/>
      <c r="H252" s="970"/>
      <c r="I252" s="965"/>
    </row>
    <row r="253" spans="1:12" x14ac:dyDescent="0.25">
      <c r="A253" s="960">
        <v>70</v>
      </c>
      <c r="B253" s="961" t="s">
        <v>1526</v>
      </c>
      <c r="C253" s="962" t="s">
        <v>1632</v>
      </c>
      <c r="D253" s="969" t="str">
        <f>IF(C253="","",_xlfn.XLOOKUP(C253,'Standalone TB'!B:B,'Standalone TB'!C:C))</f>
        <v>Unfunded post employment DB plans</v>
      </c>
      <c r="E253" s="961" t="s">
        <v>1428</v>
      </c>
      <c r="F253" s="970">
        <f>G254+G255</f>
        <v>6686744</v>
      </c>
      <c r="G253" s="970"/>
      <c r="H253" s="966">
        <f>F253-G253</f>
        <v>6686744</v>
      </c>
      <c r="I253" s="965" t="s">
        <v>1696</v>
      </c>
    </row>
    <row r="254" spans="1:12" x14ac:dyDescent="0.25">
      <c r="A254" s="960"/>
      <c r="B254" s="961" t="s">
        <v>1526</v>
      </c>
      <c r="C254" s="967" t="s">
        <v>1697</v>
      </c>
      <c r="D254" s="969" t="str">
        <f>IF(C254="","",_xlfn.XLOOKUP(C254,'Standalone TB'!B:B,'Standalone TB'!C:C))</f>
        <v>681502 CH. TO PROV/ PENSIONS &amp; RETIREMENT LIABILITY PROV. - Gratuity</v>
      </c>
      <c r="E254" s="961" t="s">
        <v>1428</v>
      </c>
      <c r="F254" s="970"/>
      <c r="G254" s="970">
        <v>6625162</v>
      </c>
      <c r="H254" s="966">
        <f>F254-G254</f>
        <v>-6625162</v>
      </c>
      <c r="I254" s="965" t="s">
        <v>1696</v>
      </c>
    </row>
    <row r="255" spans="1:12" x14ac:dyDescent="0.25">
      <c r="B255" s="961" t="s">
        <v>1526</v>
      </c>
      <c r="C255" s="974" t="s">
        <v>1800</v>
      </c>
      <c r="D255" s="969" t="str">
        <f>IF(C255="","",_xlfn.XLOOKUP(C255,'Standalone TB'!B:B,'Standalone TB'!C:C))</f>
        <v>451000 INTER-CO CURRENT ACCTS IN DEB - PRINC ATOS SCOPE</v>
      </c>
      <c r="E255" s="961" t="s">
        <v>1428</v>
      </c>
      <c r="F255" s="970"/>
      <c r="G255" s="970">
        <v>61582</v>
      </c>
      <c r="H255" s="966">
        <f>F255-G255</f>
        <v>-61582</v>
      </c>
      <c r="I255" s="965" t="s">
        <v>2827</v>
      </c>
      <c r="K255" s="937" t="s">
        <v>1016</v>
      </c>
    </row>
    <row r="256" spans="1:12" x14ac:dyDescent="0.25">
      <c r="C256" s="705"/>
      <c r="D256" s="726"/>
      <c r="F256" s="970"/>
      <c r="G256" s="970"/>
      <c r="H256" s="970"/>
      <c r="I256" s="965"/>
    </row>
    <row r="257" spans="1:14" x14ac:dyDescent="0.25">
      <c r="A257" s="960">
        <v>71</v>
      </c>
      <c r="B257" s="961" t="s">
        <v>1526</v>
      </c>
      <c r="C257" s="967" t="s">
        <v>1699</v>
      </c>
      <c r="D257" s="969" t="str">
        <f>IF(C257="","",_xlfn.XLOOKUP(C257,'Standalone TB'!B:B,'Standalone TB'!C:C))</f>
        <v>CH. TO PROV/ PENSIONS &amp; RETIREMENT LIABILITY PROV.-Leave Encashment</v>
      </c>
      <c r="E257" s="961" t="s">
        <v>1428</v>
      </c>
      <c r="F257" s="970">
        <f>G258</f>
        <v>8407257</v>
      </c>
      <c r="G257" s="970"/>
      <c r="H257" s="970">
        <f>F257-G257</f>
        <v>8407257</v>
      </c>
      <c r="I257" s="965" t="s">
        <v>1700</v>
      </c>
    </row>
    <row r="258" spans="1:14" x14ac:dyDescent="0.25">
      <c r="A258" s="960"/>
      <c r="B258" s="961" t="s">
        <v>1526</v>
      </c>
      <c r="C258" s="967" t="s">
        <v>1697</v>
      </c>
      <c r="D258" s="969" t="str">
        <f>IF(C258="","",_xlfn.XLOOKUP(C258,'Standalone TB'!B:B,'Standalone TB'!C:C))</f>
        <v>681502 CH. TO PROV/ PENSIONS &amp; RETIREMENT LIABILITY PROV. - Gratuity</v>
      </c>
      <c r="E258" s="961" t="s">
        <v>1428</v>
      </c>
      <c r="F258" s="970"/>
      <c r="G258" s="970">
        <v>8407257</v>
      </c>
      <c r="H258" s="970">
        <f>F258-G258</f>
        <v>-8407257</v>
      </c>
      <c r="I258" s="965" t="s">
        <v>1700</v>
      </c>
    </row>
    <row r="259" spans="1:14" x14ac:dyDescent="0.25">
      <c r="D259" s="726"/>
      <c r="F259" s="736"/>
      <c r="G259" s="736"/>
      <c r="H259" s="708"/>
    </row>
    <row r="260" spans="1:14" x14ac:dyDescent="0.25">
      <c r="A260" s="960">
        <f>A257+1</f>
        <v>72</v>
      </c>
      <c r="B260" s="961" t="s">
        <v>1526</v>
      </c>
      <c r="C260" s="962" t="s">
        <v>2800</v>
      </c>
      <c r="D260" s="969" t="str">
        <f>IF(C260="","",_xlfn.XLOOKUP(C260,'Standalone TB'!B:B,'Standalone TB'!C:C))</f>
        <v>CORPORATE INCOME TAX</v>
      </c>
      <c r="E260" s="961" t="s">
        <v>1428</v>
      </c>
      <c r="F260" s="1057">
        <f>53677727</f>
        <v>53677727</v>
      </c>
      <c r="G260" s="1057"/>
      <c r="H260" s="970">
        <f>F260-G260</f>
        <v>53677727</v>
      </c>
      <c r="I260" s="965" t="s">
        <v>2828</v>
      </c>
    </row>
    <row r="261" spans="1:14" x14ac:dyDescent="0.25">
      <c r="A261" s="960"/>
      <c r="B261" s="961" t="s">
        <v>1526</v>
      </c>
      <c r="C261" s="962" t="s">
        <v>1973</v>
      </c>
      <c r="D261" s="969" t="str">
        <f>IF(C261="","",_xlfn.XLOOKUP(C261,'Standalone TB'!B:B,'Standalone TB'!C:C))</f>
        <v>Prov-Income Tax 13</v>
      </c>
      <c r="E261" s="961" t="s">
        <v>1428</v>
      </c>
      <c r="F261" s="970"/>
      <c r="G261" s="970">
        <f>F260</f>
        <v>53677727</v>
      </c>
      <c r="H261" s="970">
        <f>F261-G261</f>
        <v>-53677727</v>
      </c>
      <c r="I261" s="965" t="s">
        <v>2828</v>
      </c>
    </row>
    <row r="262" spans="1:14" x14ac:dyDescent="0.25">
      <c r="D262" s="726"/>
      <c r="F262" s="736"/>
      <c r="G262" s="736"/>
      <c r="H262" s="736"/>
    </row>
    <row r="263" spans="1:14" x14ac:dyDescent="0.25">
      <c r="A263" s="960">
        <f>A260+1</f>
        <v>73</v>
      </c>
      <c r="B263" s="961" t="s">
        <v>1526</v>
      </c>
      <c r="C263" s="967" t="s">
        <v>2613</v>
      </c>
      <c r="D263" s="969" t="str">
        <f>IF(C263="","",_xlfn.XLOOKUP(C263,'Standalone TB'!B:B,'Standalone TB'!C:C))</f>
        <v>SELLING PRICE FROM DISPOSALS OF TANGIBLE FIXED A</v>
      </c>
      <c r="E263" s="961" t="s">
        <v>1428</v>
      </c>
      <c r="F263" s="1057">
        <f>146995</f>
        <v>146995</v>
      </c>
      <c r="G263" s="738"/>
      <c r="H263" s="1057">
        <f>F263-G263</f>
        <v>146995</v>
      </c>
      <c r="I263" s="1058" t="s">
        <v>2831</v>
      </c>
    </row>
    <row r="264" spans="1:14" x14ac:dyDescent="0.25">
      <c r="B264" s="961" t="s">
        <v>1526</v>
      </c>
      <c r="C264" s="967" t="s">
        <v>2617</v>
      </c>
      <c r="D264" s="969" t="str">
        <f>IF(C264="","",_xlfn.XLOOKUP(C264,'Standalone TB'!B:B,'Standalone TB'!C:C))</f>
        <v>CONSUMABLE SUPPLIES</v>
      </c>
      <c r="E264" s="961" t="s">
        <v>1428</v>
      </c>
      <c r="F264" s="959"/>
      <c r="G264" s="970">
        <f>F263</f>
        <v>146995</v>
      </c>
      <c r="H264" s="1057">
        <f>F264-G264</f>
        <v>-146995</v>
      </c>
      <c r="I264" s="1058" t="s">
        <v>2831</v>
      </c>
    </row>
    <row r="265" spans="1:14" x14ac:dyDescent="0.25">
      <c r="D265" s="726"/>
      <c r="F265" s="736"/>
      <c r="G265" s="736"/>
      <c r="H265" s="736"/>
    </row>
    <row r="266" spans="1:14" x14ac:dyDescent="0.25">
      <c r="A266" s="960">
        <f>A263+1</f>
        <v>74</v>
      </c>
      <c r="B266" s="961" t="s">
        <v>1526</v>
      </c>
      <c r="C266" s="967" t="s">
        <v>2617</v>
      </c>
      <c r="D266" s="969" t="str">
        <f>IF(C266="","",_xlfn.XLOOKUP(C266,'Standalone TB'!B:B,'Standalone TB'!C:C))</f>
        <v>CONSUMABLE SUPPLIES</v>
      </c>
      <c r="E266" s="961" t="s">
        <v>1428</v>
      </c>
      <c r="F266" s="1057">
        <f>G267</f>
        <v>105199</v>
      </c>
      <c r="G266" s="1057"/>
      <c r="H266" s="1057">
        <f>F266-G266</f>
        <v>105199</v>
      </c>
      <c r="I266" s="1058" t="s">
        <v>2832</v>
      </c>
    </row>
    <row r="267" spans="1:14" x14ac:dyDescent="0.25">
      <c r="B267" s="961" t="s">
        <v>1526</v>
      </c>
      <c r="C267" s="967" t="s">
        <v>2615</v>
      </c>
      <c r="D267" s="969" t="str">
        <f>IF(C267="","",_xlfn.XLOOKUP(C267,'Standalone TB'!B:B,'Standalone TB'!C:C))</f>
        <v>NET BOOK VALUE OF TANGIBLE FIXED ASSETS SOLD - OM</v>
      </c>
      <c r="E267" s="961" t="s">
        <v>1428</v>
      </c>
      <c r="F267" s="1057"/>
      <c r="G267" s="1057">
        <v>105199</v>
      </c>
      <c r="H267" s="1057">
        <f>F267-G267</f>
        <v>-105199</v>
      </c>
      <c r="I267" s="1058" t="s">
        <v>2832</v>
      </c>
    </row>
    <row r="268" spans="1:14" x14ac:dyDescent="0.25">
      <c r="D268" s="726"/>
    </row>
    <row r="269" spans="1:14" x14ac:dyDescent="0.25">
      <c r="A269" s="960">
        <f>A266+1</f>
        <v>75</v>
      </c>
      <c r="B269" s="961" t="s">
        <v>1526</v>
      </c>
      <c r="C269" s="967" t="s">
        <v>1634</v>
      </c>
      <c r="D269" s="969" t="str">
        <f>IF(C269="","",_xlfn.XLOOKUP(C269,'Standalone TB'!B:B,'Standalone TB'!C:C))</f>
        <v>PROVISION - PAID HOLIDAYS</v>
      </c>
      <c r="E269" s="961" t="s">
        <v>1428</v>
      </c>
      <c r="F269" s="970">
        <f>G270+G271</f>
        <v>620899</v>
      </c>
      <c r="G269" s="970"/>
      <c r="H269" s="970">
        <f>F269-G269</f>
        <v>620899</v>
      </c>
      <c r="I269" s="965" t="s">
        <v>2830</v>
      </c>
      <c r="N269" s="700"/>
    </row>
    <row r="270" spans="1:14" x14ac:dyDescent="0.25">
      <c r="B270" s="961" t="s">
        <v>1526</v>
      </c>
      <c r="C270" s="962" t="s">
        <v>1699</v>
      </c>
      <c r="D270" s="969" t="str">
        <f>IF(C270="","",_xlfn.XLOOKUP(C270,'Standalone TB'!B:B,'Standalone TB'!C:C))</f>
        <v>CH. TO PROV/ PENSIONS &amp; RETIREMENT LIABILITY PROV.-Leave Encashment</v>
      </c>
      <c r="E270" s="961" t="s">
        <v>1428</v>
      </c>
      <c r="F270" s="970"/>
      <c r="G270" s="970">
        <f>552206</f>
        <v>552206</v>
      </c>
      <c r="H270" s="970">
        <f>F270-G270</f>
        <v>-552206</v>
      </c>
      <c r="I270" s="965" t="s">
        <v>2830</v>
      </c>
      <c r="N270" s="700"/>
    </row>
    <row r="271" spans="1:14" x14ac:dyDescent="0.25">
      <c r="B271" s="961" t="s">
        <v>1526</v>
      </c>
      <c r="C271" s="974" t="s">
        <v>1800</v>
      </c>
      <c r="D271" s="969" t="str">
        <f>IF(C271="","",_xlfn.XLOOKUP(C271,'Standalone TB'!B:B,'Standalone TB'!C:C))</f>
        <v>451000 INTER-CO CURRENT ACCTS IN DEB - PRINC ATOS SCOPE</v>
      </c>
      <c r="E271" s="961" t="s">
        <v>1428</v>
      </c>
      <c r="F271" s="1057"/>
      <c r="G271" s="1057">
        <f>68693</f>
        <v>68693</v>
      </c>
      <c r="H271" s="970">
        <f>F271-G271</f>
        <v>-68693</v>
      </c>
      <c r="I271" s="965" t="s">
        <v>2827</v>
      </c>
      <c r="K271" s="937" t="s">
        <v>1016</v>
      </c>
      <c r="N271" s="700"/>
    </row>
    <row r="272" spans="1:14" x14ac:dyDescent="0.25">
      <c r="D272" s="726"/>
      <c r="F272" s="726"/>
      <c r="G272" s="726"/>
      <c r="H272" s="736"/>
      <c r="I272" s="965"/>
    </row>
    <row r="273" spans="1:11" x14ac:dyDescent="0.25">
      <c r="A273" s="720">
        <f>A269+1</f>
        <v>76</v>
      </c>
      <c r="B273" s="961" t="s">
        <v>1526</v>
      </c>
      <c r="C273" s="967" t="s">
        <v>1645</v>
      </c>
      <c r="D273" s="969" t="str">
        <f>IF(C273="","",_xlfn.XLOOKUP(C273,'Standalone TB'!B:B,'Standalone TB'!C:C))</f>
        <v>Pending Final Settlement Provision</v>
      </c>
      <c r="E273" s="961" t="s">
        <v>1428</v>
      </c>
      <c r="F273" s="963">
        <v>167598</v>
      </c>
      <c r="G273" s="963"/>
      <c r="H273" s="964">
        <f>F273-G273</f>
        <v>167598</v>
      </c>
      <c r="I273" s="965" t="s">
        <v>2838</v>
      </c>
    </row>
    <row r="274" spans="1:11" x14ac:dyDescent="0.25">
      <c r="B274" s="961" t="s">
        <v>1526</v>
      </c>
      <c r="C274" s="962" t="s">
        <v>1634</v>
      </c>
      <c r="D274" s="969" t="str">
        <f>IF(C274="","",_xlfn.XLOOKUP(C274,'Standalone TB'!B:B,'Standalone TB'!C:C))</f>
        <v>PROVISION - PAID HOLIDAYS</v>
      </c>
      <c r="E274" s="961" t="s">
        <v>1428</v>
      </c>
      <c r="F274" s="961"/>
      <c r="G274" s="1059">
        <f>F273</f>
        <v>167598</v>
      </c>
      <c r="H274" s="964">
        <f>F274-G274</f>
        <v>-167598</v>
      </c>
      <c r="I274" s="965" t="s">
        <v>2838</v>
      </c>
    </row>
    <row r="275" spans="1:11" x14ac:dyDescent="0.25">
      <c r="D275" s="726"/>
      <c r="F275" s="726"/>
      <c r="H275" s="736"/>
    </row>
    <row r="276" spans="1:11" x14ac:dyDescent="0.25">
      <c r="A276" s="720">
        <v>77</v>
      </c>
      <c r="B276" s="961" t="s">
        <v>1526</v>
      </c>
      <c r="C276" s="967" t="s">
        <v>1686</v>
      </c>
      <c r="D276" s="969" t="str">
        <f>IF(C276="","",_xlfn.XLOOKUP(C276,'Standalone TB'!B:B,'Standalone TB'!C:C))</f>
        <v>Disbursement of cost recoverable</v>
      </c>
      <c r="E276" s="961" t="s">
        <v>1428</v>
      </c>
      <c r="F276" s="1057">
        <f>G277+G278</f>
        <v>4519847.1399999997</v>
      </c>
      <c r="G276" s="1057"/>
      <c r="H276" s="970">
        <f>F276-G276</f>
        <v>4519847.1399999997</v>
      </c>
      <c r="I276" s="965" t="s">
        <v>2835</v>
      </c>
      <c r="K276" s="968" t="s">
        <v>1016</v>
      </c>
    </row>
    <row r="277" spans="1:11" x14ac:dyDescent="0.25">
      <c r="B277" s="961" t="s">
        <v>1526</v>
      </c>
      <c r="C277" s="967" t="s">
        <v>1757</v>
      </c>
      <c r="D277" s="969" t="str">
        <f>IF(C277="","",_xlfn.XLOOKUP(C277,'Standalone TB'!B:B,'Standalone TB'!C:C))</f>
        <v>TRADE CREDITORS - GOODS AND SERVICES GROUP - DOMESTIC</v>
      </c>
      <c r="E277" s="961" t="s">
        <v>1428</v>
      </c>
      <c r="F277" s="1057"/>
      <c r="G277" s="1057">
        <v>4088751.86</v>
      </c>
      <c r="H277" s="970">
        <f>F277-G277</f>
        <v>-4088751.86</v>
      </c>
      <c r="I277" s="965" t="s">
        <v>2835</v>
      </c>
      <c r="K277" s="937" t="s">
        <v>1016</v>
      </c>
    </row>
    <row r="278" spans="1:11" x14ac:dyDescent="0.25">
      <c r="B278" s="961" t="s">
        <v>1526</v>
      </c>
      <c r="C278" s="967" t="s">
        <v>1653</v>
      </c>
      <c r="D278" s="969" t="str">
        <f>IF(C278="","",_xlfn.XLOOKUP(C278,'Standalone TB'!B:B,'Standalone TB'!C:C))</f>
        <v>Interco Prepayment</v>
      </c>
      <c r="E278" s="961" t="s">
        <v>1428</v>
      </c>
      <c r="F278" s="970"/>
      <c r="G278" s="1057">
        <f>431095.28</f>
        <v>431095.28</v>
      </c>
      <c r="H278" s="970">
        <f>F278-G278</f>
        <v>-431095.28</v>
      </c>
      <c r="I278" s="965" t="s">
        <v>2835</v>
      </c>
      <c r="K278" s="937" t="s">
        <v>1016</v>
      </c>
    </row>
    <row r="279" spans="1:11" x14ac:dyDescent="0.25">
      <c r="D279" s="726"/>
      <c r="G279" s="704"/>
      <c r="H279" s="736"/>
    </row>
    <row r="280" spans="1:11" x14ac:dyDescent="0.25">
      <c r="A280" s="720">
        <v>78</v>
      </c>
      <c r="B280" s="961" t="s">
        <v>1526</v>
      </c>
      <c r="C280" s="967" t="s">
        <v>1865</v>
      </c>
      <c r="D280" s="969" t="str">
        <f>IF(C280="","",_xlfn.XLOOKUP(C280,'Standalone TB'!B:B,'Standalone TB'!C:C))</f>
        <v>437516 Employees charges to State pension fund</v>
      </c>
      <c r="E280" s="961" t="s">
        <v>1428</v>
      </c>
      <c r="F280" s="1057">
        <f>738579</f>
        <v>738579</v>
      </c>
      <c r="G280" s="1057"/>
      <c r="H280" s="1057">
        <f>F280-G280</f>
        <v>738579</v>
      </c>
      <c r="I280" s="965" t="s">
        <v>2836</v>
      </c>
    </row>
    <row r="281" spans="1:11" x14ac:dyDescent="0.25">
      <c r="B281" s="961" t="s">
        <v>1526</v>
      </c>
      <c r="C281" s="967" t="s">
        <v>1849</v>
      </c>
      <c r="D281" s="969" t="str">
        <f>IF(C281="","",_xlfn.XLOOKUP(C281,'Standalone TB'!B:B,'Standalone TB'!C:C))</f>
        <v>Provision for Pension and other commitments-NPS</v>
      </c>
      <c r="E281" s="961" t="s">
        <v>1428</v>
      </c>
      <c r="F281" s="970"/>
      <c r="G281" s="970">
        <f>F280</f>
        <v>738579</v>
      </c>
      <c r="H281" s="1057">
        <f>F281-G281</f>
        <v>-738579</v>
      </c>
      <c r="I281" s="965" t="s">
        <v>2836</v>
      </c>
    </row>
    <row r="282" spans="1:11" x14ac:dyDescent="0.25">
      <c r="C282" s="705"/>
      <c r="D282" s="726"/>
      <c r="F282" s="736"/>
      <c r="G282" s="736"/>
      <c r="H282" s="736"/>
    </row>
    <row r="283" spans="1:11" x14ac:dyDescent="0.25">
      <c r="A283" s="720">
        <v>79</v>
      </c>
      <c r="B283" s="961" t="s">
        <v>1526</v>
      </c>
      <c r="C283" s="1061" t="s">
        <v>1840</v>
      </c>
      <c r="D283" s="969" t="str">
        <f>IF(C283="","",_xlfn.XLOOKUP(C283,'Standalone TB'!B:B,'Standalone TB'!C:C))</f>
        <v>OTHER ACCRUED EXPENSES - Retention Bonus</v>
      </c>
      <c r="E283" s="961" t="s">
        <v>1428</v>
      </c>
      <c r="F283" s="970">
        <f>383843</f>
        <v>383843</v>
      </c>
      <c r="G283" s="970"/>
      <c r="H283" s="964">
        <f>F283-G283</f>
        <v>383843</v>
      </c>
      <c r="I283" s="965" t="s">
        <v>2837</v>
      </c>
    </row>
    <row r="284" spans="1:11" x14ac:dyDescent="0.25">
      <c r="B284" s="961" t="s">
        <v>1526</v>
      </c>
      <c r="C284" s="1061" t="s">
        <v>1645</v>
      </c>
      <c r="D284" s="969" t="str">
        <f>IF(C284="","",_xlfn.XLOOKUP(C284,'Standalone TB'!B:B,'Standalone TB'!C:C))</f>
        <v>Pending Final Settlement Provision</v>
      </c>
      <c r="E284" s="961" t="s">
        <v>1428</v>
      </c>
      <c r="F284" s="970"/>
      <c r="G284" s="970">
        <f>F283</f>
        <v>383843</v>
      </c>
      <c r="H284" s="964">
        <f>F284-G284</f>
        <v>-383843</v>
      </c>
      <c r="I284" s="965" t="s">
        <v>2837</v>
      </c>
    </row>
    <row r="285" spans="1:11" x14ac:dyDescent="0.25">
      <c r="C285" s="705"/>
      <c r="D285" s="726"/>
      <c r="F285" s="736"/>
      <c r="G285" s="736"/>
      <c r="H285" s="736"/>
    </row>
    <row r="286" spans="1:11" x14ac:dyDescent="0.25">
      <c r="A286" s="720">
        <v>80</v>
      </c>
      <c r="B286" s="961" t="s">
        <v>1526</v>
      </c>
      <c r="C286" s="1061" t="s">
        <v>1840</v>
      </c>
      <c r="D286" s="969" t="str">
        <f>IF(C286="","",_xlfn.XLOOKUP(C286,'Standalone TB'!B:B,'Standalone TB'!C:C))</f>
        <v>OTHER ACCRUED EXPENSES - Retention Bonus</v>
      </c>
      <c r="E286" s="961" t="s">
        <v>1428</v>
      </c>
      <c r="F286" s="970">
        <f>1425318</f>
        <v>1425318</v>
      </c>
      <c r="G286" s="970"/>
      <c r="H286" s="964">
        <f>F286-G286</f>
        <v>1425318</v>
      </c>
      <c r="I286" s="965" t="s">
        <v>2839</v>
      </c>
    </row>
    <row r="287" spans="1:11" x14ac:dyDescent="0.25">
      <c r="B287" s="961" t="s">
        <v>1526</v>
      </c>
      <c r="C287" s="967" t="s">
        <v>2676</v>
      </c>
      <c r="D287" s="969" t="str">
        <f>IF(C287="","",_xlfn.XLOOKUP(C287,'Standalone TB'!B:B,'Standalone TB'!C:C))</f>
        <v>PROVISION - YEAR-END BONUSES-RETENTION BONUS</v>
      </c>
      <c r="E287" s="961" t="s">
        <v>1428</v>
      </c>
      <c r="F287" s="970"/>
      <c r="G287" s="970">
        <f>F286</f>
        <v>1425318</v>
      </c>
      <c r="H287" s="964">
        <f>F287-G287</f>
        <v>-1425318</v>
      </c>
      <c r="I287" s="965" t="s">
        <v>2839</v>
      </c>
    </row>
    <row r="288" spans="1:11" x14ac:dyDescent="0.25">
      <c r="C288" s="729"/>
      <c r="D288" s="726"/>
      <c r="F288" s="736"/>
      <c r="G288" s="736"/>
      <c r="H288" s="736"/>
    </row>
    <row r="289" spans="1:11" x14ac:dyDescent="0.25">
      <c r="A289" s="720">
        <v>81</v>
      </c>
      <c r="B289" s="961" t="s">
        <v>1526</v>
      </c>
      <c r="C289" s="967" t="s">
        <v>2669</v>
      </c>
      <c r="D289" s="969" t="str">
        <f>IF(C289="","",_xlfn.XLOOKUP(C289,'Standalone TB'!B:B,'Standalone TB'!C:C))</f>
        <v>INCENTIVE WAGES AND BONUSES</v>
      </c>
      <c r="E289" s="961" t="s">
        <v>1428</v>
      </c>
      <c r="F289" s="970">
        <f>2644855</f>
        <v>2644855</v>
      </c>
      <c r="G289" s="970"/>
      <c r="H289" s="970">
        <f>F289-G289</f>
        <v>2644855</v>
      </c>
      <c r="I289" s="965" t="s">
        <v>2840</v>
      </c>
    </row>
    <row r="290" spans="1:11" x14ac:dyDescent="0.25">
      <c r="B290" s="961" t="s">
        <v>1526</v>
      </c>
      <c r="C290" s="1061" t="s">
        <v>1832</v>
      </c>
      <c r="D290" s="969" t="str">
        <f>IF(C290="","",_xlfn.XLOOKUP(C290,'Standalone TB'!B:B,'Standalone TB'!C:C))</f>
        <v>ACCRUED EXPENSES - YEAR-END BONUS</v>
      </c>
      <c r="E290" s="961" t="s">
        <v>1428</v>
      </c>
      <c r="F290" s="970"/>
      <c r="G290" s="970">
        <f>F289</f>
        <v>2644855</v>
      </c>
      <c r="H290" s="970">
        <f>F290-G290</f>
        <v>-2644855</v>
      </c>
      <c r="I290" s="965" t="s">
        <v>2840</v>
      </c>
    </row>
    <row r="291" spans="1:11" x14ac:dyDescent="0.25">
      <c r="C291" s="729"/>
      <c r="D291" s="726"/>
      <c r="F291" s="736"/>
      <c r="G291" s="736"/>
      <c r="H291" s="736"/>
    </row>
    <row r="292" spans="1:11" x14ac:dyDescent="0.25">
      <c r="A292" s="720">
        <v>82</v>
      </c>
      <c r="B292" s="961" t="s">
        <v>1526</v>
      </c>
      <c r="C292" s="967" t="s">
        <v>1771</v>
      </c>
      <c r="D292" s="969" t="str">
        <f>IF(C292="","",_xlfn.XLOOKUP(C292,'Standalone TB'!B:B,'Standalone TB'!C:C))</f>
        <v>TRADE CREDITORS - PURCH. INV. ACCRUALS GROUP</v>
      </c>
      <c r="E292" s="961" t="s">
        <v>1428</v>
      </c>
      <c r="F292" s="964">
        <f>G293</f>
        <v>846292</v>
      </c>
      <c r="G292" s="964"/>
      <c r="H292" s="964">
        <f>F292-G292</f>
        <v>846292</v>
      </c>
      <c r="I292" s="965" t="s">
        <v>2914</v>
      </c>
      <c r="J292" s="968"/>
      <c r="K292" s="968" t="s">
        <v>1016</v>
      </c>
    </row>
    <row r="293" spans="1:11" x14ac:dyDescent="0.25">
      <c r="B293" s="961" t="s">
        <v>1526</v>
      </c>
      <c r="C293" s="967" t="s">
        <v>1547</v>
      </c>
      <c r="D293" s="969" t="str">
        <f>IF(C293="","",_xlfn.XLOOKUP(C293,'Standalone TB'!B:B,'Standalone TB'!C:C))</f>
        <v>OTHER PROFESSIONAL FEES</v>
      </c>
      <c r="E293" s="961" t="s">
        <v>1428</v>
      </c>
      <c r="F293" s="964"/>
      <c r="G293" s="964">
        <f>846292</f>
        <v>846292</v>
      </c>
      <c r="H293" s="964">
        <f>F293-G293</f>
        <v>-846292</v>
      </c>
      <c r="I293" s="965" t="s">
        <v>2914</v>
      </c>
      <c r="J293" s="968"/>
      <c r="K293" s="968" t="s">
        <v>1016</v>
      </c>
    </row>
    <row r="294" spans="1:11" x14ac:dyDescent="0.25">
      <c r="C294" s="729"/>
      <c r="D294" s="726"/>
      <c r="F294" s="736"/>
      <c r="G294" s="736"/>
      <c r="H294" s="736"/>
    </row>
    <row r="295" spans="1:11" x14ac:dyDescent="0.25">
      <c r="A295" s="720">
        <v>83</v>
      </c>
      <c r="B295" s="961" t="s">
        <v>1534</v>
      </c>
      <c r="C295" s="967" t="s">
        <v>1599</v>
      </c>
      <c r="D295" s="969" t="str">
        <f>IF(C295="","",_xlfn.XLOOKUP(C295,'Standalone TB'!B:B,'Standalone TB'!C:C))</f>
        <v>Accrued interests – lease liability Others</v>
      </c>
      <c r="E295" s="961" t="s">
        <v>1308</v>
      </c>
      <c r="F295" s="964">
        <f>(7825*6)</f>
        <v>46950</v>
      </c>
      <c r="G295" s="964"/>
      <c r="H295" s="964">
        <f>F295-G295</f>
        <v>46950</v>
      </c>
      <c r="I295" s="965" t="s">
        <v>2841</v>
      </c>
    </row>
    <row r="296" spans="1:11" x14ac:dyDescent="0.25">
      <c r="B296" s="961" t="s">
        <v>1534</v>
      </c>
      <c r="C296" s="962" t="s">
        <v>1596</v>
      </c>
      <c r="D296" s="969" t="str">
        <f>IF(C296="","",_xlfn.XLOOKUP(C296,'Standalone TB'!B:B,'Standalone TB'!C:C))</f>
        <v>Right of use others</v>
      </c>
      <c r="E296" s="961" t="s">
        <v>1308</v>
      </c>
      <c r="F296" s="964"/>
      <c r="G296" s="964">
        <f>F295</f>
        <v>46950</v>
      </c>
      <c r="H296" s="964">
        <f>F296-G296</f>
        <v>-46950</v>
      </c>
      <c r="I296" s="965" t="s">
        <v>2841</v>
      </c>
    </row>
    <row r="297" spans="1:11" x14ac:dyDescent="0.25">
      <c r="C297" s="729"/>
      <c r="D297" s="726"/>
      <c r="F297" s="736"/>
      <c r="G297" s="736"/>
      <c r="H297" s="736"/>
    </row>
    <row r="298" spans="1:11" x14ac:dyDescent="0.25">
      <c r="A298" s="720">
        <v>84</v>
      </c>
      <c r="B298" s="961" t="s">
        <v>1526</v>
      </c>
      <c r="C298" s="967" t="s">
        <v>1463</v>
      </c>
      <c r="D298" s="969" t="str">
        <f>IF(C298="","",_xlfn.XLOOKUP(C298,'Standalone TB'!B:B,'Standalone TB'!C:C))</f>
        <v>Offshore Netting Billing</v>
      </c>
      <c r="E298" s="961" t="s">
        <v>1428</v>
      </c>
      <c r="F298" s="970">
        <v>2131502.1469556997</v>
      </c>
      <c r="G298" s="964"/>
      <c r="H298" s="964">
        <f>F298-G298</f>
        <v>2131502.1469556997</v>
      </c>
      <c r="I298" s="965" t="s">
        <v>2876</v>
      </c>
      <c r="J298" s="968"/>
      <c r="K298" s="968" t="s">
        <v>1089</v>
      </c>
    </row>
    <row r="299" spans="1:11" x14ac:dyDescent="0.25">
      <c r="B299" s="961" t="s">
        <v>1526</v>
      </c>
      <c r="C299" s="967" t="s">
        <v>1497</v>
      </c>
      <c r="D299" s="969" t="str">
        <f>IF(C299="","",_xlfn.XLOOKUP(C299,'Standalone TB'!B:B,'Standalone TB'!C:C))</f>
        <v>INTERCO FOREIGN VENDORS</v>
      </c>
      <c r="E299" s="961" t="s">
        <v>1428</v>
      </c>
      <c r="F299" s="964"/>
      <c r="G299" s="964">
        <f>F298</f>
        <v>2131502.1469556997</v>
      </c>
      <c r="H299" s="964">
        <f>F299-G299</f>
        <v>-2131502.1469556997</v>
      </c>
      <c r="I299" s="965" t="s">
        <v>2876</v>
      </c>
      <c r="J299" s="968"/>
      <c r="K299" s="968" t="s">
        <v>1089</v>
      </c>
    </row>
    <row r="300" spans="1:11" x14ac:dyDescent="0.25">
      <c r="C300" s="729"/>
      <c r="D300" s="726"/>
      <c r="F300" s="736"/>
      <c r="G300" s="736"/>
      <c r="H300" s="736"/>
    </row>
    <row r="301" spans="1:11" x14ac:dyDescent="0.25">
      <c r="A301" s="720">
        <v>85</v>
      </c>
      <c r="B301" s="961" t="s">
        <v>1526</v>
      </c>
      <c r="C301" s="967" t="s">
        <v>2765</v>
      </c>
      <c r="D301" s="969" t="str">
        <f>IF(C301="","",_xlfn.XLOOKUP(C301,'Standalone TB'!B:B,'Standalone TB'!C:C))</f>
        <v>604050 Other Interest Expenses</v>
      </c>
      <c r="E301" s="961" t="s">
        <v>1428</v>
      </c>
      <c r="F301" s="964">
        <f>42857+86583</f>
        <v>129440</v>
      </c>
      <c r="G301" s="964"/>
      <c r="H301" s="964">
        <f>F301-G301</f>
        <v>129440</v>
      </c>
      <c r="I301" s="965" t="s">
        <v>2877</v>
      </c>
    </row>
    <row r="302" spans="1:11" x14ac:dyDescent="0.25">
      <c r="B302" s="961" t="s">
        <v>1526</v>
      </c>
      <c r="C302" s="967" t="s">
        <v>1642</v>
      </c>
      <c r="D302" s="969" t="str">
        <f>IF(C302="","",_xlfn.XLOOKUP(C302,'Standalone TB'!B:B,'Standalone TB'!C:C))</f>
        <v>Emp PF Pension Payable</v>
      </c>
      <c r="E302" s="961" t="s">
        <v>1428</v>
      </c>
      <c r="F302" s="964"/>
      <c r="G302" s="964">
        <f>F301</f>
        <v>129440</v>
      </c>
      <c r="H302" s="964">
        <f>F302-G302</f>
        <v>-129440</v>
      </c>
      <c r="I302" s="965" t="s">
        <v>2877</v>
      </c>
    </row>
    <row r="303" spans="1:11" x14ac:dyDescent="0.25">
      <c r="C303" s="729"/>
      <c r="D303" s="726"/>
      <c r="F303" s="736"/>
      <c r="G303" s="736"/>
      <c r="H303" s="736"/>
    </row>
    <row r="304" spans="1:11" x14ac:dyDescent="0.25">
      <c r="A304" s="720">
        <v>86</v>
      </c>
      <c r="B304" s="961" t="s">
        <v>1551</v>
      </c>
      <c r="C304" s="967" t="s">
        <v>1619</v>
      </c>
      <c r="D304" s="969" t="str">
        <f>IF(C304="","",_xlfn.XLOOKUP(C304,'Standalone TB'!B:B,'Standalone TB'!C:C))</f>
        <v>Outstanding Liabilities</v>
      </c>
      <c r="E304" s="961" t="s">
        <v>1297</v>
      </c>
      <c r="F304" s="964">
        <v>10996</v>
      </c>
      <c r="G304" s="964"/>
      <c r="H304" s="964">
        <f>F304-G304</f>
        <v>10996</v>
      </c>
      <c r="I304" s="965" t="s">
        <v>2878</v>
      </c>
      <c r="J304" s="965"/>
      <c r="K304" s="965"/>
    </row>
    <row r="305" spans="1:17" x14ac:dyDescent="0.25">
      <c r="B305" s="961" t="s">
        <v>1551</v>
      </c>
      <c r="C305" s="967" t="s">
        <v>2329</v>
      </c>
      <c r="D305" s="969" t="str">
        <f>IF(C305="","",_xlfn.XLOOKUP(C305,'Standalone TB'!B:B,'Standalone TB'!C:C))</f>
        <v>607500 SOFTWARE PURCHASES FOR SELLING</v>
      </c>
      <c r="E305" s="961" t="s">
        <v>1297</v>
      </c>
      <c r="F305" s="961"/>
      <c r="G305" s="966">
        <f>F304</f>
        <v>10996</v>
      </c>
      <c r="H305" s="964">
        <f>F305-G305</f>
        <v>-10996</v>
      </c>
      <c r="I305" s="965" t="s">
        <v>2878</v>
      </c>
      <c r="J305" s="965"/>
      <c r="K305" s="965"/>
    </row>
    <row r="306" spans="1:17" x14ac:dyDescent="0.25">
      <c r="B306" s="961"/>
      <c r="C306" s="967"/>
      <c r="D306" s="963"/>
      <c r="E306" s="961"/>
      <c r="F306" s="964"/>
      <c r="G306" s="964"/>
      <c r="H306" s="964"/>
      <c r="I306" s="1080"/>
      <c r="J306" s="965"/>
      <c r="K306" s="965"/>
    </row>
    <row r="307" spans="1:17" x14ac:dyDescent="0.25">
      <c r="A307" s="720">
        <v>86</v>
      </c>
      <c r="B307" s="961" t="s">
        <v>1551</v>
      </c>
      <c r="C307" s="967" t="s">
        <v>1619</v>
      </c>
      <c r="D307" s="969" t="str">
        <f>IF(C307="","",_xlfn.XLOOKUP(C307,'Standalone TB'!B:B,'Standalone TB'!C:C))</f>
        <v>Outstanding Liabilities</v>
      </c>
      <c r="E307" s="961" t="s">
        <v>1297</v>
      </c>
      <c r="F307" s="964">
        <v>6231</v>
      </c>
      <c r="G307" s="964"/>
      <c r="H307" s="964">
        <f>F307-G307</f>
        <v>6231</v>
      </c>
      <c r="I307" s="965" t="s">
        <v>2878</v>
      </c>
      <c r="J307" s="965"/>
      <c r="K307" s="965"/>
    </row>
    <row r="308" spans="1:17" x14ac:dyDescent="0.25">
      <c r="B308" s="961" t="s">
        <v>1551</v>
      </c>
      <c r="C308" s="967" t="s">
        <v>2329</v>
      </c>
      <c r="D308" s="969" t="str">
        <f>IF(C308="","",_xlfn.XLOOKUP(C308,'Standalone TB'!B:B,'Standalone TB'!C:C))</f>
        <v>607500 SOFTWARE PURCHASES FOR SELLING</v>
      </c>
      <c r="E308" s="961" t="s">
        <v>1297</v>
      </c>
      <c r="F308" s="961"/>
      <c r="G308" s="966">
        <f>F307</f>
        <v>6231</v>
      </c>
      <c r="H308" s="964">
        <f>F308-G308</f>
        <v>-6231</v>
      </c>
      <c r="I308" s="965" t="s">
        <v>2878</v>
      </c>
      <c r="J308" s="965"/>
      <c r="K308" s="965"/>
    </row>
    <row r="309" spans="1:17" x14ac:dyDescent="0.25">
      <c r="B309" s="961"/>
      <c r="C309" s="967"/>
      <c r="D309" s="963"/>
      <c r="E309" s="961"/>
      <c r="F309" s="963"/>
      <c r="G309" s="961"/>
      <c r="H309" s="964"/>
      <c r="I309" s="1080"/>
      <c r="J309" s="965"/>
      <c r="K309" s="965"/>
    </row>
    <row r="310" spans="1:17" x14ac:dyDescent="0.25">
      <c r="A310" s="720">
        <v>87</v>
      </c>
      <c r="B310" s="961" t="s">
        <v>1551</v>
      </c>
      <c r="C310" s="967" t="s">
        <v>2226</v>
      </c>
      <c r="D310" s="969" t="str">
        <f>IF(C310="","",_xlfn.XLOOKUP(C310,'Standalone TB'!B:B,'Standalone TB'!C:C))</f>
        <v>PREPAYMENTS - MAINTENANCE</v>
      </c>
      <c r="E310" s="961" t="s">
        <v>1297</v>
      </c>
      <c r="F310" s="1057">
        <f>G311</f>
        <v>95035</v>
      </c>
      <c r="G310" s="970"/>
      <c r="H310" s="970">
        <f>F310-G310</f>
        <v>95035</v>
      </c>
      <c r="I310" s="1080" t="s">
        <v>2879</v>
      </c>
      <c r="J310" s="965"/>
      <c r="K310" s="965"/>
    </row>
    <row r="311" spans="1:17" x14ac:dyDescent="0.25">
      <c r="B311" s="961" t="s">
        <v>1551</v>
      </c>
      <c r="C311" s="967" t="s">
        <v>2329</v>
      </c>
      <c r="D311" s="969" t="str">
        <f>IF(C311="","",_xlfn.XLOOKUP(C311,'Standalone TB'!B:B,'Standalone TB'!C:C))</f>
        <v>607500 SOFTWARE PURCHASES FOR SELLING</v>
      </c>
      <c r="E311" s="961" t="s">
        <v>1297</v>
      </c>
      <c r="F311" s="1057"/>
      <c r="G311" s="1057">
        <f>95035</f>
        <v>95035</v>
      </c>
      <c r="H311" s="970">
        <f>F311-G311</f>
        <v>-95035</v>
      </c>
      <c r="I311" s="1080" t="s">
        <v>2879</v>
      </c>
      <c r="J311" s="965"/>
      <c r="K311" s="965"/>
    </row>
    <row r="312" spans="1:17" x14ac:dyDescent="0.25">
      <c r="B312" s="961"/>
      <c r="C312" s="967"/>
      <c r="D312" s="963"/>
      <c r="E312" s="961"/>
      <c r="F312" s="964"/>
      <c r="G312" s="964"/>
      <c r="H312" s="964"/>
      <c r="I312" s="965"/>
      <c r="J312" s="965"/>
      <c r="K312" s="965"/>
    </row>
    <row r="313" spans="1:17" ht="14.5" customHeight="1" x14ac:dyDescent="0.25">
      <c r="A313" s="720">
        <v>88</v>
      </c>
      <c r="B313" s="961" t="s">
        <v>1551</v>
      </c>
      <c r="C313" s="967" t="s">
        <v>1466</v>
      </c>
      <c r="D313" s="969" t="str">
        <f>IF(C313="","",_xlfn.XLOOKUP(C313,'Standalone TB'!B:B,'Standalone TB'!C:C))</f>
        <v>OPERATING SUB-CONTRACTING - FIXED PRICE</v>
      </c>
      <c r="E313" s="961" t="s">
        <v>1297</v>
      </c>
      <c r="F313" s="964">
        <v>36353</v>
      </c>
      <c r="G313" s="964"/>
      <c r="H313" s="964">
        <f>F313-G313</f>
        <v>36353</v>
      </c>
      <c r="I313" s="965" t="s">
        <v>2880</v>
      </c>
      <c r="J313" s="965"/>
      <c r="K313" s="965"/>
    </row>
    <row r="314" spans="1:17" x14ac:dyDescent="0.25">
      <c r="B314" s="961" t="s">
        <v>1551</v>
      </c>
      <c r="C314" s="962" t="s">
        <v>2329</v>
      </c>
      <c r="D314" s="969" t="str">
        <f>IF(C314="","",_xlfn.XLOOKUP(C314,'Standalone TB'!B:B,'Standalone TB'!C:C))</f>
        <v>607500 SOFTWARE PURCHASES FOR SELLING</v>
      </c>
      <c r="E314" s="961" t="s">
        <v>1297</v>
      </c>
      <c r="F314" s="961"/>
      <c r="G314" s="966">
        <f>F313</f>
        <v>36353</v>
      </c>
      <c r="H314" s="964">
        <f>F314-G314</f>
        <v>-36353</v>
      </c>
      <c r="I314" s="965" t="s">
        <v>2880</v>
      </c>
      <c r="J314" s="965"/>
      <c r="K314" s="965"/>
    </row>
    <row r="315" spans="1:17" x14ac:dyDescent="0.25">
      <c r="B315" s="961"/>
      <c r="C315" s="967"/>
      <c r="D315" s="963"/>
      <c r="E315" s="961"/>
      <c r="F315" s="964"/>
      <c r="G315" s="964"/>
      <c r="H315" s="964"/>
      <c r="I315" s="965"/>
      <c r="J315" s="965"/>
      <c r="K315" s="965"/>
    </row>
    <row r="316" spans="1:17" x14ac:dyDescent="0.25">
      <c r="A316" s="720">
        <v>89</v>
      </c>
      <c r="B316" s="961" t="s">
        <v>1551</v>
      </c>
      <c r="C316" s="962" t="s">
        <v>2329</v>
      </c>
      <c r="D316" s="969" t="str">
        <f>IF(C316="","",_xlfn.XLOOKUP(C316,'Standalone TB'!B:B,'Standalone TB'!C:C))</f>
        <v>607500 SOFTWARE PURCHASES FOR SELLING</v>
      </c>
      <c r="E316" s="961" t="s">
        <v>1297</v>
      </c>
      <c r="F316" s="964">
        <v>628000</v>
      </c>
      <c r="G316" s="964"/>
      <c r="H316" s="964">
        <f>F316-G316</f>
        <v>628000</v>
      </c>
      <c r="I316" s="965" t="s">
        <v>2909</v>
      </c>
      <c r="J316" s="965"/>
      <c r="K316" s="965"/>
    </row>
    <row r="317" spans="1:17" x14ac:dyDescent="0.25">
      <c r="B317" s="961" t="s">
        <v>1551</v>
      </c>
      <c r="C317" s="967" t="s">
        <v>1466</v>
      </c>
      <c r="D317" s="969" t="str">
        <f>IF(C317="","",_xlfn.XLOOKUP(C317,'Standalone TB'!B:B,'Standalone TB'!C:C))</f>
        <v>OPERATING SUB-CONTRACTING - FIXED PRICE</v>
      </c>
      <c r="E317" s="961" t="s">
        <v>1297</v>
      </c>
      <c r="F317" s="961"/>
      <c r="G317" s="966">
        <f>F316</f>
        <v>628000</v>
      </c>
      <c r="H317" s="964">
        <f>F317-G317</f>
        <v>-628000</v>
      </c>
      <c r="I317" s="965" t="s">
        <v>2909</v>
      </c>
      <c r="J317" s="965"/>
      <c r="K317" s="965"/>
    </row>
    <row r="318" spans="1:17" x14ac:dyDescent="0.25">
      <c r="B318" s="961"/>
      <c r="C318" s="962"/>
      <c r="D318" s="963"/>
      <c r="E318" s="961"/>
      <c r="F318" s="964"/>
      <c r="G318" s="964"/>
      <c r="H318" s="964"/>
      <c r="I318" s="965"/>
      <c r="J318" s="965"/>
      <c r="K318" s="965"/>
      <c r="Q318" s="698"/>
    </row>
    <row r="319" spans="1:17" x14ac:dyDescent="0.25">
      <c r="A319" s="720">
        <v>90</v>
      </c>
      <c r="B319" s="961" t="s">
        <v>1551</v>
      </c>
      <c r="C319" s="962" t="s">
        <v>1466</v>
      </c>
      <c r="D319" s="969" t="str">
        <f>IF(C319="","",_xlfn.XLOOKUP(C319,'Standalone TB'!B:B,'Standalone TB'!C:C))</f>
        <v>OPERATING SUB-CONTRACTING - FIXED PRICE</v>
      </c>
      <c r="E319" s="961" t="s">
        <v>1297</v>
      </c>
      <c r="F319" s="970">
        <v>9860</v>
      </c>
      <c r="G319" s="964"/>
      <c r="H319" s="964">
        <f>F319-G319</f>
        <v>9860</v>
      </c>
      <c r="I319" s="965" t="s">
        <v>2885</v>
      </c>
      <c r="J319" s="965"/>
      <c r="K319" s="965"/>
      <c r="Q319" s="698"/>
    </row>
    <row r="320" spans="1:17" x14ac:dyDescent="0.25">
      <c r="B320" s="961" t="s">
        <v>1551</v>
      </c>
      <c r="C320" s="962" t="s">
        <v>2329</v>
      </c>
      <c r="D320" s="969" t="str">
        <f>IF(C320="","",_xlfn.XLOOKUP(C320,'Standalone TB'!B:B,'Standalone TB'!C:C))</f>
        <v>607500 SOFTWARE PURCHASES FOR SELLING</v>
      </c>
      <c r="E320" s="961" t="s">
        <v>1297</v>
      </c>
      <c r="F320" s="970">
        <v>38803.620000000003</v>
      </c>
      <c r="G320" s="964"/>
      <c r="H320" s="964">
        <f>F320-G320</f>
        <v>38803.620000000003</v>
      </c>
      <c r="I320" s="965" t="s">
        <v>2885</v>
      </c>
      <c r="J320" s="965"/>
      <c r="K320" s="965"/>
      <c r="Q320" s="698"/>
    </row>
    <row r="321" spans="1:17" x14ac:dyDescent="0.25">
      <c r="B321" s="961" t="s">
        <v>1551</v>
      </c>
      <c r="C321" s="962" t="s">
        <v>2650</v>
      </c>
      <c r="D321" s="969" t="str">
        <f>IF(C321="","",_xlfn.XLOOKUP(C321,'Standalone TB'!B:B,'Standalone TB'!C:C))</f>
        <v>Software royalties</v>
      </c>
      <c r="E321" s="961" t="s">
        <v>1297</v>
      </c>
      <c r="F321" s="970">
        <v>14113.34</v>
      </c>
      <c r="G321" s="964"/>
      <c r="H321" s="964">
        <f>F321-G321</f>
        <v>14113.34</v>
      </c>
      <c r="I321" s="965" t="s">
        <v>2885</v>
      </c>
      <c r="J321" s="965"/>
      <c r="K321" s="965"/>
      <c r="Q321" s="698"/>
    </row>
    <row r="322" spans="1:17" x14ac:dyDescent="0.25">
      <c r="B322" s="961" t="s">
        <v>1551</v>
      </c>
      <c r="C322" s="962" t="s">
        <v>1547</v>
      </c>
      <c r="D322" s="969" t="str">
        <f>IF(C322="","",_xlfn.XLOOKUP(C322,'Standalone TB'!B:B,'Standalone TB'!C:C))</f>
        <v>OTHER PROFESSIONAL FEES</v>
      </c>
      <c r="E322" s="961" t="s">
        <v>1297</v>
      </c>
      <c r="F322" s="964"/>
      <c r="G322" s="964">
        <f>SUM(F319:F321)</f>
        <v>62776.960000000006</v>
      </c>
      <c r="H322" s="964">
        <f>F322-G322</f>
        <v>-62776.960000000006</v>
      </c>
      <c r="I322" s="965" t="s">
        <v>2885</v>
      </c>
      <c r="J322" s="965"/>
      <c r="K322" s="965"/>
      <c r="Q322" s="698"/>
    </row>
    <row r="323" spans="1:17" x14ac:dyDescent="0.25">
      <c r="B323" s="961"/>
      <c r="C323" s="962"/>
      <c r="D323" s="963"/>
      <c r="E323" s="961"/>
      <c r="F323" s="964"/>
      <c r="G323" s="964"/>
      <c r="H323" s="964"/>
      <c r="I323" s="965"/>
      <c r="J323" s="965"/>
      <c r="K323" s="965"/>
      <c r="Q323" s="698"/>
    </row>
    <row r="324" spans="1:17" x14ac:dyDescent="0.25">
      <c r="A324" s="720">
        <v>91</v>
      </c>
      <c r="B324" s="961" t="s">
        <v>1551</v>
      </c>
      <c r="C324" s="967" t="s">
        <v>1802</v>
      </c>
      <c r="D324" s="969" t="str">
        <f>IF(C324="","",_xlfn.XLOOKUP(C324,'Standalone TB'!B:B,'Standalone TB'!C:C))</f>
        <v>487050 Interco Deferred income</v>
      </c>
      <c r="E324" s="961" t="s">
        <v>1297</v>
      </c>
      <c r="F324" s="964">
        <v>434565</v>
      </c>
      <c r="G324" s="964"/>
      <c r="H324" s="964">
        <f>F324-G324</f>
        <v>434565</v>
      </c>
      <c r="I324" s="965" t="s">
        <v>2882</v>
      </c>
      <c r="J324" s="965"/>
      <c r="K324" s="965" t="s">
        <v>1103</v>
      </c>
    </row>
    <row r="325" spans="1:17" x14ac:dyDescent="0.25">
      <c r="B325" s="961" t="s">
        <v>1551</v>
      </c>
      <c r="C325" s="967" t="s">
        <v>1450</v>
      </c>
      <c r="D325" s="969" t="str">
        <f>IF(C325="","",_xlfn.XLOOKUP(C325,'Standalone TB'!B:B,'Standalone TB'!C:C))</f>
        <v>SALES OF SERVICES - EXPORT</v>
      </c>
      <c r="E325" s="961" t="s">
        <v>1297</v>
      </c>
      <c r="F325" s="964"/>
      <c r="G325" s="966">
        <f>F324</f>
        <v>434565</v>
      </c>
      <c r="H325" s="964">
        <f>F325-G325</f>
        <v>-434565</v>
      </c>
      <c r="I325" s="965" t="s">
        <v>2882</v>
      </c>
      <c r="J325" s="965"/>
      <c r="K325" s="965" t="s">
        <v>1103</v>
      </c>
    </row>
    <row r="326" spans="1:17" x14ac:dyDescent="0.25">
      <c r="B326" s="961"/>
      <c r="C326" s="962"/>
      <c r="D326" s="963"/>
      <c r="E326" s="961"/>
      <c r="F326" s="964"/>
      <c r="G326" s="964"/>
      <c r="H326" s="964"/>
      <c r="I326" s="965"/>
      <c r="J326" s="965"/>
      <c r="K326" s="965" t="s">
        <v>1103</v>
      </c>
    </row>
    <row r="327" spans="1:17" x14ac:dyDescent="0.25">
      <c r="A327" s="720">
        <v>92</v>
      </c>
      <c r="B327" s="961" t="s">
        <v>1551</v>
      </c>
      <c r="C327" s="967" t="s">
        <v>1450</v>
      </c>
      <c r="D327" s="969" t="str">
        <f>IF(C327="","",_xlfn.XLOOKUP(C327,'Standalone TB'!B:B,'Standalone TB'!C:C))</f>
        <v>SALES OF SERVICES - EXPORT</v>
      </c>
      <c r="E327" s="961" t="s">
        <v>1297</v>
      </c>
      <c r="F327" s="964">
        <v>465059.22499999992</v>
      </c>
      <c r="G327" s="964"/>
      <c r="H327" s="964">
        <f>F327-G327</f>
        <v>465059.22499999992</v>
      </c>
      <c r="I327" s="965" t="s">
        <v>2881</v>
      </c>
      <c r="J327" s="965"/>
      <c r="K327" s="965" t="s">
        <v>1103</v>
      </c>
    </row>
    <row r="328" spans="1:17" x14ac:dyDescent="0.25">
      <c r="B328" s="961" t="s">
        <v>1551</v>
      </c>
      <c r="C328" s="962" t="s">
        <v>1500</v>
      </c>
      <c r="D328" s="969" t="str">
        <f>IF(C328="","",_xlfn.XLOOKUP(C328,'Standalone TB'!B:B,'Standalone TB'!C:C))</f>
        <v>Foreign Interco customers</v>
      </c>
      <c r="E328" s="961" t="s">
        <v>1297</v>
      </c>
      <c r="F328" s="964"/>
      <c r="G328" s="964">
        <f>F327</f>
        <v>465059.22499999992</v>
      </c>
      <c r="H328" s="964">
        <f>F328-G328</f>
        <v>-465059.22499999992</v>
      </c>
      <c r="I328" s="965" t="s">
        <v>2881</v>
      </c>
      <c r="J328" s="965"/>
      <c r="K328" s="965" t="s">
        <v>1103</v>
      </c>
    </row>
    <row r="329" spans="1:17" x14ac:dyDescent="0.25">
      <c r="B329" s="961"/>
      <c r="C329" s="962"/>
      <c r="D329" s="963"/>
      <c r="E329" s="961"/>
      <c r="F329" s="961"/>
      <c r="G329" s="961"/>
      <c r="H329" s="961"/>
      <c r="I329" s="965"/>
      <c r="J329" s="965"/>
      <c r="K329" s="965"/>
    </row>
    <row r="330" spans="1:17" x14ac:dyDescent="0.25">
      <c r="A330" s="720">
        <v>93</v>
      </c>
      <c r="B330" s="961" t="s">
        <v>1526</v>
      </c>
      <c r="C330" s="962" t="s">
        <v>1474</v>
      </c>
      <c r="D330" s="969" t="str">
        <f>IF(C330="","",_xlfn.XLOOKUP(C330,'Standalone TB'!B:B,'Standalone TB'!C:C))</f>
        <v>SALES OF SERVICES - LOCAL</v>
      </c>
      <c r="E330" s="961" t="s">
        <v>1428</v>
      </c>
      <c r="F330" s="970">
        <f>810000</f>
        <v>810000</v>
      </c>
      <c r="G330" s="970"/>
      <c r="H330" s="970">
        <f>F330-G330</f>
        <v>810000</v>
      </c>
      <c r="I330" s="965" t="s">
        <v>2883</v>
      </c>
      <c r="J330" s="965"/>
      <c r="K330" s="965"/>
      <c r="N330" s="700"/>
    </row>
    <row r="331" spans="1:17" x14ac:dyDescent="0.25">
      <c r="B331" s="961" t="s">
        <v>1526</v>
      </c>
      <c r="C331" s="967" t="s">
        <v>1660</v>
      </c>
      <c r="D331" s="969" t="str">
        <f>IF(C331="","",_xlfn.XLOOKUP(C331,'Standalone TB'!B:B,'Standalone TB'!C:C))</f>
        <v>DEFERRED INCOME</v>
      </c>
      <c r="E331" s="961" t="s">
        <v>1428</v>
      </c>
      <c r="F331" s="970"/>
      <c r="G331" s="970">
        <f>F330</f>
        <v>810000</v>
      </c>
      <c r="H331" s="970">
        <f>F331-G331</f>
        <v>-810000</v>
      </c>
      <c r="I331" s="965" t="s">
        <v>2883</v>
      </c>
      <c r="J331" s="965"/>
      <c r="K331" s="965"/>
    </row>
    <row r="332" spans="1:17" x14ac:dyDescent="0.25">
      <c r="B332" s="961"/>
      <c r="C332" s="962"/>
      <c r="D332" s="963"/>
      <c r="E332" s="961"/>
      <c r="F332" s="961"/>
      <c r="G332" s="961"/>
      <c r="H332" s="961"/>
      <c r="I332" s="965"/>
      <c r="J332" s="965"/>
      <c r="K332" s="965"/>
    </row>
    <row r="333" spans="1:17" x14ac:dyDescent="0.25">
      <c r="A333" s="720">
        <v>94</v>
      </c>
      <c r="B333" s="961" t="s">
        <v>1526</v>
      </c>
      <c r="C333" s="967" t="s">
        <v>1658</v>
      </c>
      <c r="D333" s="969" t="str">
        <f>IF(C333="","",_xlfn.XLOOKUP(C333,'Standalone TB'!B:B,'Standalone TB'!C:C))</f>
        <v>WIP Current Asset</v>
      </c>
      <c r="E333" s="961" t="s">
        <v>1428</v>
      </c>
      <c r="F333" s="970">
        <v>1967804.1400000006</v>
      </c>
      <c r="G333" s="970"/>
      <c r="H333" s="970">
        <f>F333-G333</f>
        <v>1967804.1400000006</v>
      </c>
      <c r="I333" s="965" t="s">
        <v>2884</v>
      </c>
      <c r="J333" s="965"/>
      <c r="K333" s="965"/>
    </row>
    <row r="334" spans="1:17" x14ac:dyDescent="0.25">
      <c r="B334" s="961" t="s">
        <v>1526</v>
      </c>
      <c r="C334" s="962" t="s">
        <v>1444</v>
      </c>
      <c r="D334" s="969" t="str">
        <f>IF(C334="","",_xlfn.XLOOKUP(C334,'Standalone TB'!B:B,'Standalone TB'!C:C))</f>
        <v>Work in Process (Increase) / Decrease</v>
      </c>
      <c r="E334" s="961" t="s">
        <v>1428</v>
      </c>
      <c r="F334" s="970"/>
      <c r="G334" s="970">
        <f>F333</f>
        <v>1967804.1400000006</v>
      </c>
      <c r="H334" s="970">
        <f>F334-G334</f>
        <v>-1967804.1400000006</v>
      </c>
      <c r="I334" s="965" t="s">
        <v>2884</v>
      </c>
      <c r="J334" s="965"/>
      <c r="K334" s="965"/>
    </row>
    <row r="335" spans="1:17" x14ac:dyDescent="0.25">
      <c r="B335" s="961"/>
      <c r="C335" s="962"/>
      <c r="D335" s="963"/>
      <c r="E335" s="961"/>
      <c r="F335" s="961"/>
      <c r="G335" s="961"/>
      <c r="H335" s="961"/>
      <c r="I335" s="965"/>
      <c r="J335" s="965"/>
      <c r="K335" s="965"/>
    </row>
    <row r="336" spans="1:17" x14ac:dyDescent="0.25">
      <c r="A336" s="720">
        <v>95</v>
      </c>
      <c r="B336" s="961" t="s">
        <v>1526</v>
      </c>
      <c r="C336" s="967" t="s">
        <v>1871</v>
      </c>
      <c r="D336" s="969" t="str">
        <f>IF(C336="","",_xlfn.XLOOKUP(C336,'Standalone TB'!B:B,'Standalone TB'!C:C))</f>
        <v>Employees LIP Payable</v>
      </c>
      <c r="E336" s="961" t="s">
        <v>1428</v>
      </c>
      <c r="F336" s="966">
        <v>524440</v>
      </c>
      <c r="G336" s="966"/>
      <c r="H336" s="964">
        <f>F336-G336</f>
        <v>524440</v>
      </c>
      <c r="I336" s="965" t="s">
        <v>2886</v>
      </c>
      <c r="J336" s="965"/>
      <c r="K336" s="965"/>
      <c r="N336" s="700"/>
    </row>
    <row r="337" spans="1:15" x14ac:dyDescent="0.25">
      <c r="B337" s="961" t="s">
        <v>1526</v>
      </c>
      <c r="C337" s="967" t="s">
        <v>1843</v>
      </c>
      <c r="D337" s="969" t="str">
        <f>IF(C337="","",_xlfn.XLOOKUP(C337,'Standalone TB'!B:B,'Standalone TB'!C:C))</f>
        <v>437000 HEALTH INSURANCE</v>
      </c>
      <c r="E337" s="961" t="s">
        <v>1428</v>
      </c>
      <c r="F337" s="966"/>
      <c r="G337" s="966">
        <f>F336</f>
        <v>524440</v>
      </c>
      <c r="H337" s="964">
        <f>F337-G337</f>
        <v>-524440</v>
      </c>
      <c r="I337" s="965" t="s">
        <v>2886</v>
      </c>
      <c r="J337" s="965"/>
      <c r="K337" s="965"/>
      <c r="N337" s="700"/>
      <c r="O337" s="700"/>
    </row>
    <row r="338" spans="1:15" x14ac:dyDescent="0.25">
      <c r="B338" s="961"/>
      <c r="C338" s="962"/>
      <c r="D338" s="963"/>
      <c r="E338" s="961"/>
      <c r="F338" s="966"/>
      <c r="G338" s="966"/>
      <c r="H338" s="964"/>
      <c r="I338" s="965"/>
      <c r="J338" s="965"/>
      <c r="K338" s="965"/>
      <c r="N338" s="700"/>
      <c r="O338" s="700"/>
    </row>
    <row r="339" spans="1:15" x14ac:dyDescent="0.25">
      <c r="A339" s="720">
        <v>96</v>
      </c>
      <c r="B339" s="961" t="s">
        <v>1526</v>
      </c>
      <c r="C339" s="967" t="s">
        <v>2706</v>
      </c>
      <c r="D339" s="969" t="str">
        <f>IF(C339="","",_xlfn.XLOOKUP(C339,'Standalone TB'!B:B,'Standalone TB'!C:C))</f>
        <v>dc pensions plans other</v>
      </c>
      <c r="E339" s="961" t="s">
        <v>1428</v>
      </c>
      <c r="F339" s="970"/>
      <c r="G339" s="970">
        <v>271750</v>
      </c>
      <c r="H339" s="1057">
        <f>F339-G339</f>
        <v>-271750</v>
      </c>
      <c r="I339" s="965" t="s">
        <v>2887</v>
      </c>
      <c r="J339" s="965"/>
      <c r="K339" s="965"/>
      <c r="N339" s="700"/>
    </row>
    <row r="340" spans="1:15" x14ac:dyDescent="0.25">
      <c r="B340" s="961" t="s">
        <v>1526</v>
      </c>
      <c r="C340" s="967" t="s">
        <v>1590</v>
      </c>
      <c r="D340" s="969" t="str">
        <f>IF(C340="","",_xlfn.XLOOKUP(C340,'Standalone TB'!B:B,'Standalone TB'!C:C))</f>
        <v>General Deposits</v>
      </c>
      <c r="E340" s="961" t="s">
        <v>1428</v>
      </c>
      <c r="F340" s="970">
        <f>G339</f>
        <v>271750</v>
      </c>
      <c r="G340" s="970"/>
      <c r="H340" s="1057">
        <f>F340-G340</f>
        <v>271750</v>
      </c>
      <c r="I340" s="965" t="s">
        <v>2887</v>
      </c>
      <c r="J340" s="965"/>
      <c r="K340" s="965"/>
    </row>
    <row r="341" spans="1:15" x14ac:dyDescent="0.25">
      <c r="B341" s="961"/>
      <c r="C341" s="962"/>
      <c r="D341" s="963"/>
      <c r="E341" s="961"/>
      <c r="F341" s="964"/>
      <c r="G341" s="964"/>
      <c r="H341" s="964"/>
      <c r="I341" s="965"/>
      <c r="J341" s="965"/>
      <c r="K341" s="965"/>
    </row>
    <row r="342" spans="1:15" x14ac:dyDescent="0.25">
      <c r="A342" s="720">
        <v>97</v>
      </c>
      <c r="B342" s="961" t="s">
        <v>1526</v>
      </c>
      <c r="C342" s="967" t="s">
        <v>1590</v>
      </c>
      <c r="D342" s="969" t="str">
        <f>IF(C342="","",_xlfn.XLOOKUP(C342,'Standalone TB'!B:B,'Standalone TB'!C:C))</f>
        <v>General Deposits</v>
      </c>
      <c r="E342" s="961" t="s">
        <v>1428</v>
      </c>
      <c r="F342" s="964">
        <v>214755</v>
      </c>
      <c r="G342" s="964"/>
      <c r="H342" s="966">
        <f>F342-G342</f>
        <v>214755</v>
      </c>
      <c r="I342" s="965" t="s">
        <v>2888</v>
      </c>
      <c r="J342" s="965"/>
      <c r="K342" s="965"/>
    </row>
    <row r="343" spans="1:15" x14ac:dyDescent="0.25">
      <c r="B343" s="961" t="s">
        <v>1526</v>
      </c>
      <c r="C343" s="967" t="s">
        <v>2706</v>
      </c>
      <c r="D343" s="969" t="str">
        <f>IF(C343="","",_xlfn.XLOOKUP(C343,'Standalone TB'!B:B,'Standalone TB'!C:C))</f>
        <v>dc pensions plans other</v>
      </c>
      <c r="E343" s="961" t="s">
        <v>1428</v>
      </c>
      <c r="F343" s="964"/>
      <c r="G343" s="964">
        <f>F342</f>
        <v>214755</v>
      </c>
      <c r="H343" s="966">
        <f>F343-G343</f>
        <v>-214755</v>
      </c>
      <c r="I343" s="965" t="s">
        <v>2888</v>
      </c>
      <c r="J343" s="965"/>
      <c r="K343" s="965"/>
    </row>
    <row r="344" spans="1:15" x14ac:dyDescent="0.25">
      <c r="B344" s="961"/>
      <c r="C344" s="961"/>
      <c r="D344" s="963"/>
      <c r="E344" s="961"/>
      <c r="F344" s="964"/>
      <c r="G344" s="964"/>
      <c r="H344" s="964"/>
      <c r="I344" s="965"/>
      <c r="J344" s="965"/>
      <c r="K344" s="965"/>
    </row>
    <row r="345" spans="1:15" x14ac:dyDescent="0.25">
      <c r="A345" s="720">
        <f>A342+1</f>
        <v>98</v>
      </c>
      <c r="B345" s="961" t="s">
        <v>1526</v>
      </c>
      <c r="C345" s="967" t="s">
        <v>1590</v>
      </c>
      <c r="D345" s="969" t="str">
        <f>IF(C345="","",_xlfn.XLOOKUP(C345,'Standalone TB'!B:B,'Standalone TB'!C:C))</f>
        <v>General Deposits</v>
      </c>
      <c r="E345" s="961" t="s">
        <v>1428</v>
      </c>
      <c r="F345" s="1057">
        <v>54743</v>
      </c>
      <c r="G345" s="1057"/>
      <c r="H345" s="1057">
        <f>F345-G345</f>
        <v>54743</v>
      </c>
      <c r="I345" s="965" t="s">
        <v>2889</v>
      </c>
      <c r="J345" s="965"/>
      <c r="K345" s="965"/>
    </row>
    <row r="346" spans="1:15" x14ac:dyDescent="0.25">
      <c r="B346" s="961" t="s">
        <v>1526</v>
      </c>
      <c r="C346" s="967" t="s">
        <v>2706</v>
      </c>
      <c r="D346" s="969" t="str">
        <f>IF(C346="","",_xlfn.XLOOKUP(C346,'Standalone TB'!B:B,'Standalone TB'!C:C))</f>
        <v>dc pensions plans other</v>
      </c>
      <c r="E346" s="961" t="s">
        <v>1428</v>
      </c>
      <c r="F346" s="970"/>
      <c r="G346" s="970">
        <f>F345</f>
        <v>54743</v>
      </c>
      <c r="H346" s="1057">
        <f>F346-G346</f>
        <v>-54743</v>
      </c>
      <c r="I346" s="965" t="s">
        <v>2889</v>
      </c>
      <c r="J346" s="965"/>
      <c r="K346" s="965"/>
    </row>
    <row r="347" spans="1:15" x14ac:dyDescent="0.25">
      <c r="B347" s="961"/>
      <c r="C347" s="962"/>
      <c r="D347" s="963"/>
      <c r="E347" s="961"/>
      <c r="F347" s="961"/>
      <c r="G347" s="966"/>
      <c r="H347" s="964"/>
      <c r="I347" s="965"/>
      <c r="J347" s="965"/>
      <c r="K347" s="965"/>
    </row>
    <row r="348" spans="1:15" x14ac:dyDescent="0.25">
      <c r="A348" s="720">
        <f>A345+1</f>
        <v>99</v>
      </c>
      <c r="B348" s="961" t="s">
        <v>1526</v>
      </c>
      <c r="C348" s="967" t="s">
        <v>1843</v>
      </c>
      <c r="D348" s="969" t="str">
        <f>IF(C348="","",_xlfn.XLOOKUP(C348,'Standalone TB'!B:B,'Standalone TB'!C:C))</f>
        <v>437000 HEALTH INSURANCE</v>
      </c>
      <c r="E348" s="961" t="s">
        <v>1428</v>
      </c>
      <c r="F348" s="1057">
        <v>526832</v>
      </c>
      <c r="G348" s="1057"/>
      <c r="H348" s="1057">
        <f>F348-G348</f>
        <v>526832</v>
      </c>
      <c r="I348" s="965" t="s">
        <v>2890</v>
      </c>
      <c r="J348" s="965"/>
      <c r="K348" s="965"/>
    </row>
    <row r="349" spans="1:15" x14ac:dyDescent="0.25">
      <c r="B349" s="961" t="s">
        <v>1526</v>
      </c>
      <c r="C349" s="967" t="s">
        <v>1590</v>
      </c>
      <c r="D349" s="969" t="str">
        <f>IF(C349="","",_xlfn.XLOOKUP(C349,'Standalone TB'!B:B,'Standalone TB'!C:C))</f>
        <v>General Deposits</v>
      </c>
      <c r="E349" s="961" t="s">
        <v>1428</v>
      </c>
      <c r="F349" s="1057"/>
      <c r="G349" s="1057">
        <v>432910</v>
      </c>
      <c r="H349" s="1057">
        <f>F349-G349</f>
        <v>-432910</v>
      </c>
      <c r="I349" s="965" t="s">
        <v>2891</v>
      </c>
      <c r="J349" s="965"/>
      <c r="K349" s="965"/>
    </row>
    <row r="350" spans="1:15" x14ac:dyDescent="0.25">
      <c r="B350" s="961" t="s">
        <v>1526</v>
      </c>
      <c r="C350" s="967" t="s">
        <v>1590</v>
      </c>
      <c r="D350" s="969" t="str">
        <f>IF(C350="","",_xlfn.XLOOKUP(C350,'Standalone TB'!B:B,'Standalone TB'!C:C))</f>
        <v>General Deposits</v>
      </c>
      <c r="E350" s="961" t="s">
        <v>1428</v>
      </c>
      <c r="F350" s="1057"/>
      <c r="G350" s="1057">
        <v>93922</v>
      </c>
      <c r="H350" s="1057">
        <f>F350-G350</f>
        <v>-93922</v>
      </c>
      <c r="I350" s="965" t="s">
        <v>2892</v>
      </c>
      <c r="J350" s="965"/>
      <c r="K350" s="965"/>
    </row>
    <row r="351" spans="1:15" x14ac:dyDescent="0.25">
      <c r="B351" s="961"/>
      <c r="C351" s="962"/>
      <c r="D351" s="961"/>
      <c r="E351" s="961"/>
      <c r="F351" s="1081"/>
      <c r="G351" s="1081"/>
      <c r="H351" s="961"/>
      <c r="I351" s="965"/>
      <c r="J351" s="965"/>
      <c r="K351" s="965"/>
    </row>
    <row r="352" spans="1:15" x14ac:dyDescent="0.25">
      <c r="A352" s="720">
        <v>100</v>
      </c>
      <c r="B352" s="961" t="s">
        <v>1526</v>
      </c>
      <c r="C352" s="967" t="s">
        <v>1843</v>
      </c>
      <c r="D352" s="969" t="str">
        <f>IF(C352="","",_xlfn.XLOOKUP(C352,'Standalone TB'!B:B,'Standalone TB'!C:C))</f>
        <v>437000 HEALTH INSURANCE</v>
      </c>
      <c r="E352" s="961" t="s">
        <v>1428</v>
      </c>
      <c r="F352" s="970">
        <v>560491.37297267746</v>
      </c>
      <c r="G352" s="970"/>
      <c r="H352" s="970">
        <f>F352-G352</f>
        <v>560491.37297267746</v>
      </c>
      <c r="I352" s="965" t="s">
        <v>2893</v>
      </c>
      <c r="J352" s="965"/>
      <c r="K352" s="965"/>
    </row>
    <row r="353" spans="1:12" x14ac:dyDescent="0.25">
      <c r="B353" s="961" t="s">
        <v>1526</v>
      </c>
      <c r="C353" s="967" t="s">
        <v>2706</v>
      </c>
      <c r="D353" s="969" t="str">
        <f>IF(C353="","",_xlfn.XLOOKUP(C353,'Standalone TB'!B:B,'Standalone TB'!C:C))</f>
        <v>dc pensions plans other</v>
      </c>
      <c r="E353" s="961" t="s">
        <v>1428</v>
      </c>
      <c r="F353" s="970"/>
      <c r="G353" s="970">
        <f>F352</f>
        <v>560491.37297267746</v>
      </c>
      <c r="H353" s="970">
        <f>F353-G353</f>
        <v>-560491.37297267746</v>
      </c>
      <c r="I353" s="965" t="s">
        <v>2893</v>
      </c>
      <c r="J353" s="965"/>
      <c r="K353" s="965"/>
    </row>
    <row r="354" spans="1:12" x14ac:dyDescent="0.25">
      <c r="B354" s="961"/>
      <c r="C354" s="962"/>
      <c r="D354" s="961"/>
      <c r="E354" s="961"/>
      <c r="F354" s="961"/>
      <c r="G354" s="961"/>
      <c r="H354" s="961"/>
      <c r="I354" s="965"/>
      <c r="J354" s="965"/>
      <c r="K354" s="965"/>
    </row>
    <row r="355" spans="1:12" x14ac:dyDescent="0.25">
      <c r="A355" s="720">
        <f>A352+1</f>
        <v>101</v>
      </c>
      <c r="B355" s="961" t="s">
        <v>1526</v>
      </c>
      <c r="C355" s="967" t="s">
        <v>2322</v>
      </c>
      <c r="D355" s="969" t="str">
        <f>IF(C355="","",_xlfn.XLOOKUP(C355,'Standalone TB'!B:B,'Standalone TB'!C:C))</f>
        <v>607520 SOFTWARE PURCHASES FOR OWN</v>
      </c>
      <c r="E355" s="961" t="s">
        <v>1428</v>
      </c>
      <c r="F355" s="1057">
        <v>1037300.9</v>
      </c>
      <c r="G355" s="1057"/>
      <c r="H355" s="1057">
        <f>F355-G355</f>
        <v>1037300.9</v>
      </c>
      <c r="I355" s="965" t="s">
        <v>2904</v>
      </c>
      <c r="J355" s="965"/>
      <c r="K355" s="965"/>
    </row>
    <row r="356" spans="1:12" x14ac:dyDescent="0.25">
      <c r="B356" s="961" t="s">
        <v>1526</v>
      </c>
      <c r="C356" s="967" t="s">
        <v>2619</v>
      </c>
      <c r="D356" s="969" t="str">
        <f>IF(C356="","",_xlfn.XLOOKUP(C356,'Standalone TB'!B:B,'Standalone TB'!C:C))</f>
        <v>OFFICE SUPPLIES, SMALL TOOLS, MAINTENANCE SUPPLIES</v>
      </c>
      <c r="E356" s="961" t="s">
        <v>1428</v>
      </c>
      <c r="F356" s="1057"/>
      <c r="G356" s="1057">
        <f>F355</f>
        <v>1037300.9</v>
      </c>
      <c r="H356" s="1057">
        <f>F356-G356</f>
        <v>-1037300.9</v>
      </c>
      <c r="I356" s="965" t="s">
        <v>2904</v>
      </c>
      <c r="J356" s="965"/>
      <c r="K356" s="965"/>
    </row>
    <row r="357" spans="1:12" x14ac:dyDescent="0.25">
      <c r="B357" s="961"/>
      <c r="C357" s="962"/>
      <c r="D357" s="961"/>
      <c r="E357" s="961"/>
      <c r="F357" s="961"/>
      <c r="G357" s="961"/>
      <c r="H357" s="961"/>
      <c r="I357" s="965"/>
      <c r="J357" s="965"/>
      <c r="K357" s="965"/>
    </row>
    <row r="358" spans="1:12" x14ac:dyDescent="0.25">
      <c r="A358" s="720">
        <f>A355+1</f>
        <v>102</v>
      </c>
      <c r="B358" s="961" t="s">
        <v>1526</v>
      </c>
      <c r="C358" s="967" t="s">
        <v>1619</v>
      </c>
      <c r="D358" s="969" t="str">
        <f>IF(C358="","",_xlfn.XLOOKUP(C358,'Standalone TB'!B:B,'Standalone TB'!C:C))</f>
        <v>Outstanding Liabilities</v>
      </c>
      <c r="E358" s="961" t="s">
        <v>1428</v>
      </c>
      <c r="F358" s="970">
        <v>6500000</v>
      </c>
      <c r="G358" s="970"/>
      <c r="H358" s="970">
        <f>F358-G358</f>
        <v>6500000</v>
      </c>
      <c r="I358" s="965" t="s">
        <v>2894</v>
      </c>
      <c r="J358" s="965"/>
      <c r="K358" s="965"/>
    </row>
    <row r="359" spans="1:12" x14ac:dyDescent="0.25">
      <c r="B359" s="961" t="s">
        <v>1526</v>
      </c>
      <c r="C359" s="967" t="s">
        <v>1638</v>
      </c>
      <c r="D359" s="969" t="str">
        <f>IF(C359="","",_xlfn.XLOOKUP(C359,'Standalone TB'!B:B,'Standalone TB'!C:C))</f>
        <v>Allowance 2</v>
      </c>
      <c r="E359" s="961" t="s">
        <v>1428</v>
      </c>
      <c r="F359" s="970"/>
      <c r="G359" s="970">
        <f>F358</f>
        <v>6500000</v>
      </c>
      <c r="H359" s="970">
        <f>F359-G359</f>
        <v>-6500000</v>
      </c>
      <c r="I359" s="965" t="s">
        <v>2894</v>
      </c>
      <c r="J359" s="965"/>
      <c r="K359" s="965"/>
    </row>
    <row r="360" spans="1:12" x14ac:dyDescent="0.25">
      <c r="B360" s="961"/>
      <c r="C360" s="962"/>
      <c r="D360" s="961"/>
      <c r="E360" s="961"/>
      <c r="F360" s="961"/>
      <c r="G360" s="961"/>
      <c r="H360" s="961"/>
      <c r="I360" s="965"/>
      <c r="J360" s="965"/>
      <c r="K360" s="965"/>
    </row>
    <row r="361" spans="1:12" x14ac:dyDescent="0.25">
      <c r="A361" s="720">
        <f>A358+1</f>
        <v>103</v>
      </c>
      <c r="B361" s="961" t="s">
        <v>1526</v>
      </c>
      <c r="C361" s="967" t="s">
        <v>1446</v>
      </c>
      <c r="D361" s="969" t="str">
        <f>IF(C361="","",_xlfn.XLOOKUP(C361,'Standalone TB'!B:B,'Standalone TB'!C:C))</f>
        <v>Revenue Offshore Netting Billing</v>
      </c>
      <c r="E361" s="961" t="s">
        <v>1428</v>
      </c>
      <c r="F361" s="970">
        <f>2383652.51-489089</f>
        <v>1894563.5099999998</v>
      </c>
      <c r="G361" s="970"/>
      <c r="H361" s="963">
        <f>F361-G361</f>
        <v>1894563.5099999998</v>
      </c>
      <c r="I361" s="965" t="s">
        <v>2895</v>
      </c>
      <c r="J361" s="968"/>
      <c r="K361" s="968" t="s">
        <v>1099</v>
      </c>
    </row>
    <row r="362" spans="1:12" x14ac:dyDescent="0.25">
      <c r="B362" s="961" t="s">
        <v>1526</v>
      </c>
      <c r="C362" s="967" t="s">
        <v>1500</v>
      </c>
      <c r="D362" s="969" t="str">
        <f>IF(C362="","",_xlfn.XLOOKUP(C362,'Standalone TB'!B:B,'Standalone TB'!C:C))</f>
        <v>Foreign Interco customers</v>
      </c>
      <c r="E362" s="961" t="s">
        <v>1428</v>
      </c>
      <c r="F362" s="970"/>
      <c r="G362" s="970">
        <f>F361</f>
        <v>1894563.5099999998</v>
      </c>
      <c r="H362" s="963">
        <f>F362-G362</f>
        <v>-1894563.5099999998</v>
      </c>
      <c r="I362" s="965" t="s">
        <v>2895</v>
      </c>
      <c r="J362" s="968"/>
      <c r="K362" s="968" t="s">
        <v>1099</v>
      </c>
    </row>
    <row r="363" spans="1:12" x14ac:dyDescent="0.25">
      <c r="B363" s="961"/>
      <c r="C363" s="962"/>
      <c r="D363" s="961"/>
      <c r="E363" s="961"/>
      <c r="F363" s="961"/>
      <c r="G363" s="966"/>
      <c r="H363" s="961"/>
      <c r="I363" s="965"/>
      <c r="J363" s="965"/>
      <c r="K363" s="968" t="s">
        <v>1085</v>
      </c>
    </row>
    <row r="364" spans="1:12" x14ac:dyDescent="0.25">
      <c r="A364" s="720">
        <f>A361+1</f>
        <v>104</v>
      </c>
      <c r="B364" s="961" t="s">
        <v>1526</v>
      </c>
      <c r="C364" s="967" t="s">
        <v>1446</v>
      </c>
      <c r="D364" s="969" t="str">
        <f>IF(C364="","",_xlfn.XLOOKUP(C364,'Standalone TB'!B:B,'Standalone TB'!C:C))</f>
        <v>Revenue Offshore Netting Billing</v>
      </c>
      <c r="E364" s="961" t="s">
        <v>1428</v>
      </c>
      <c r="F364" s="970">
        <f>3686995.19-2180883</f>
        <v>1506112.19</v>
      </c>
      <c r="G364" s="970"/>
      <c r="H364" s="970">
        <f>F364-G364</f>
        <v>1506112.19</v>
      </c>
      <c r="I364" s="965" t="s">
        <v>2895</v>
      </c>
      <c r="J364" s="968"/>
      <c r="K364" s="968" t="s">
        <v>1085</v>
      </c>
    </row>
    <row r="365" spans="1:12" x14ac:dyDescent="0.25">
      <c r="B365" s="961" t="s">
        <v>1526</v>
      </c>
      <c r="C365" s="967" t="s">
        <v>1500</v>
      </c>
      <c r="D365" s="969" t="str">
        <f>IF(C365="","",_xlfn.XLOOKUP(C365,'Standalone TB'!B:B,'Standalone TB'!C:C))</f>
        <v>Foreign Interco customers</v>
      </c>
      <c r="E365" s="961" t="s">
        <v>1428</v>
      </c>
      <c r="F365" s="970"/>
      <c r="G365" s="970">
        <f>F364</f>
        <v>1506112.19</v>
      </c>
      <c r="H365" s="970">
        <f>F365-G365</f>
        <v>-1506112.19</v>
      </c>
      <c r="I365" s="965" t="s">
        <v>2895</v>
      </c>
      <c r="J365" s="968"/>
      <c r="K365" s="968" t="s">
        <v>1085</v>
      </c>
      <c r="L365" s="1084">
        <f>F364+H368</f>
        <v>853987.50134425005</v>
      </c>
    </row>
    <row r="366" spans="1:12" x14ac:dyDescent="0.25">
      <c r="B366" s="961"/>
      <c r="C366" s="962"/>
      <c r="D366" s="961"/>
      <c r="E366" s="961"/>
      <c r="F366" s="1057"/>
      <c r="G366" s="1057"/>
      <c r="H366" s="1057"/>
      <c r="I366" s="965"/>
      <c r="J366" s="965"/>
      <c r="K366" s="968" t="s">
        <v>1085</v>
      </c>
    </row>
    <row r="367" spans="1:12" x14ac:dyDescent="0.25">
      <c r="A367" s="720">
        <f>A364+1</f>
        <v>105</v>
      </c>
      <c r="B367" s="961" t="s">
        <v>1526</v>
      </c>
      <c r="C367" s="967" t="s">
        <v>1502</v>
      </c>
      <c r="D367" s="969" t="str">
        <f>IF(C367="","",_xlfn.XLOOKUP(C367,'Standalone TB'!B:B,'Standalone TB'!C:C))</f>
        <v>TRADE DEBTORS - SALES INVOICE ACCRUALS - INTERCO</v>
      </c>
      <c r="E367" s="961" t="s">
        <v>1428</v>
      </c>
      <c r="F367" s="1057">
        <f>7200*90.5728734244097</f>
        <v>652124.68865574989</v>
      </c>
      <c r="G367" s="1057"/>
      <c r="H367" s="1057">
        <f>F367-G367</f>
        <v>652124.68865574989</v>
      </c>
      <c r="I367" s="965" t="s">
        <v>1692</v>
      </c>
      <c r="J367" s="968"/>
      <c r="K367" s="968" t="s">
        <v>1085</v>
      </c>
    </row>
    <row r="368" spans="1:12" x14ac:dyDescent="0.25">
      <c r="B368" s="961" t="s">
        <v>1526</v>
      </c>
      <c r="C368" s="967" t="s">
        <v>1446</v>
      </c>
      <c r="D368" s="969" t="str">
        <f>IF(C368="","",_xlfn.XLOOKUP(C368,'Standalone TB'!B:B,'Standalone TB'!C:C))</f>
        <v>Revenue Offshore Netting Billing</v>
      </c>
      <c r="E368" s="961" t="s">
        <v>1428</v>
      </c>
      <c r="F368" s="1057"/>
      <c r="G368" s="1057">
        <f>F367</f>
        <v>652124.68865574989</v>
      </c>
      <c r="H368" s="1057">
        <f>F368-G368</f>
        <v>-652124.68865574989</v>
      </c>
      <c r="I368" s="965" t="s">
        <v>1692</v>
      </c>
      <c r="J368" s="968"/>
      <c r="K368" s="968" t="s">
        <v>1085</v>
      </c>
    </row>
    <row r="369" spans="1:11" x14ac:dyDescent="0.25">
      <c r="B369" s="961"/>
      <c r="C369" s="962"/>
      <c r="D369" s="961"/>
      <c r="E369" s="961"/>
      <c r="F369" s="961"/>
      <c r="G369" s="961"/>
      <c r="H369" s="961"/>
      <c r="I369" s="965"/>
      <c r="J369" s="965"/>
      <c r="K369" s="965"/>
    </row>
    <row r="370" spans="1:11" x14ac:dyDescent="0.25">
      <c r="A370" s="720">
        <f>A367+1</f>
        <v>106</v>
      </c>
      <c r="B370" s="961" t="s">
        <v>1551</v>
      </c>
      <c r="C370" s="967" t="s">
        <v>2896</v>
      </c>
      <c r="D370" s="961" t="s">
        <v>2899</v>
      </c>
      <c r="E370" s="961" t="s">
        <v>1297</v>
      </c>
      <c r="F370" s="1057">
        <v>171107.11</v>
      </c>
      <c r="G370" s="1057"/>
      <c r="H370" s="1057">
        <f>F370-G370</f>
        <v>171107.11</v>
      </c>
      <c r="I370" s="965" t="s">
        <v>2902</v>
      </c>
      <c r="J370" s="965"/>
      <c r="K370" s="965"/>
    </row>
    <row r="371" spans="1:11" x14ac:dyDescent="0.25">
      <c r="B371" s="961" t="s">
        <v>1551</v>
      </c>
      <c r="C371" s="967" t="s">
        <v>2897</v>
      </c>
      <c r="D371" s="961" t="s">
        <v>2900</v>
      </c>
      <c r="E371" s="961" t="s">
        <v>1297</v>
      </c>
      <c r="F371" s="1057">
        <v>92435.15</v>
      </c>
      <c r="G371" s="1057"/>
      <c r="H371" s="1057">
        <f t="shared" ref="H371:H373" si="13">F371-G371</f>
        <v>92435.15</v>
      </c>
      <c r="I371" s="965" t="s">
        <v>2902</v>
      </c>
      <c r="J371" s="965"/>
      <c r="K371" s="965"/>
    </row>
    <row r="372" spans="1:11" x14ac:dyDescent="0.25">
      <c r="B372" s="961" t="s">
        <v>1551</v>
      </c>
      <c r="C372" s="967" t="s">
        <v>2898</v>
      </c>
      <c r="D372" s="961" t="s">
        <v>2901</v>
      </c>
      <c r="E372" s="961" t="s">
        <v>1297</v>
      </c>
      <c r="F372" s="1057">
        <v>11755.62</v>
      </c>
      <c r="G372" s="1057"/>
      <c r="H372" s="1057">
        <f t="shared" si="13"/>
        <v>11755.62</v>
      </c>
      <c r="I372" s="965" t="s">
        <v>2902</v>
      </c>
      <c r="J372" s="965"/>
      <c r="K372" s="965"/>
    </row>
    <row r="373" spans="1:11" x14ac:dyDescent="0.25">
      <c r="B373" s="961" t="s">
        <v>1551</v>
      </c>
      <c r="C373" s="967" t="s">
        <v>2660</v>
      </c>
      <c r="D373" s="969" t="str">
        <f>IF(C373="","",_xlfn.XLOOKUP(C373,'Standalone TB'!B:B,'Standalone TB'!C:C))</f>
        <v>ADMINISTRATIVE SUB-CONTRACTING</v>
      </c>
      <c r="E373" s="961" t="s">
        <v>1297</v>
      </c>
      <c r="F373" s="1057"/>
      <c r="G373" s="1057">
        <f>SUM(F370:F372)</f>
        <v>275297.88</v>
      </c>
      <c r="H373" s="1057">
        <f t="shared" si="13"/>
        <v>-275297.88</v>
      </c>
      <c r="I373" s="965" t="s">
        <v>2902</v>
      </c>
      <c r="J373" s="965"/>
      <c r="K373" s="965"/>
    </row>
    <row r="374" spans="1:11" x14ac:dyDescent="0.25">
      <c r="B374" s="961"/>
      <c r="C374" s="962"/>
      <c r="D374" s="961"/>
      <c r="E374" s="961"/>
      <c r="F374" s="961"/>
      <c r="G374" s="961"/>
      <c r="H374" s="961"/>
      <c r="I374" s="965"/>
      <c r="J374" s="965"/>
      <c r="K374" s="965"/>
    </row>
    <row r="375" spans="1:11" x14ac:dyDescent="0.25">
      <c r="A375" s="720">
        <v>107</v>
      </c>
      <c r="B375" s="961" t="s">
        <v>1551</v>
      </c>
      <c r="C375" s="967" t="s">
        <v>2664</v>
      </c>
      <c r="D375" s="961" t="s">
        <v>154</v>
      </c>
      <c r="E375" s="961" t="s">
        <v>1297</v>
      </c>
      <c r="F375" s="1081">
        <f>G376+G377</f>
        <v>199687.93000000002</v>
      </c>
      <c r="G375" s="961"/>
      <c r="H375" s="1081">
        <f>F375-G375</f>
        <v>199687.93000000002</v>
      </c>
      <c r="I375" s="965" t="s">
        <v>2903</v>
      </c>
      <c r="J375" s="965"/>
      <c r="K375" s="965"/>
    </row>
    <row r="376" spans="1:11" x14ac:dyDescent="0.25">
      <c r="B376" s="961" t="s">
        <v>1551</v>
      </c>
      <c r="C376" s="967" t="s">
        <v>1547</v>
      </c>
      <c r="D376" s="969" t="str">
        <f>IF(C376="","",_xlfn.XLOOKUP(C376,'Standalone TB'!B:B,'Standalone TB'!C:C))</f>
        <v>OTHER PROFESSIONAL FEES</v>
      </c>
      <c r="E376" s="961" t="s">
        <v>1297</v>
      </c>
      <c r="F376" s="961"/>
      <c r="G376" s="1057">
        <v>170309.77000000002</v>
      </c>
      <c r="H376" s="1081">
        <f>F376-G376</f>
        <v>-170309.77000000002</v>
      </c>
      <c r="I376" s="965" t="s">
        <v>2903</v>
      </c>
      <c r="J376" s="965"/>
      <c r="K376" s="965"/>
    </row>
    <row r="377" spans="1:11" x14ac:dyDescent="0.25">
      <c r="B377" s="961" t="s">
        <v>1551</v>
      </c>
      <c r="C377" s="967" t="s">
        <v>1586</v>
      </c>
      <c r="D377" s="969" t="str">
        <f>IF(C377="","",_xlfn.XLOOKUP(C377,'Standalone TB'!B:B,'Standalone TB'!C:C))</f>
        <v>TRAINING INVOICES</v>
      </c>
      <c r="E377" s="961" t="s">
        <v>1297</v>
      </c>
      <c r="F377" s="961"/>
      <c r="G377" s="1057">
        <v>29378.16</v>
      </c>
      <c r="H377" s="1081">
        <f>F377-G377</f>
        <v>-29378.16</v>
      </c>
      <c r="I377" s="965" t="s">
        <v>2903</v>
      </c>
      <c r="J377" s="965"/>
      <c r="K377" s="965"/>
    </row>
    <row r="378" spans="1:11" x14ac:dyDescent="0.25">
      <c r="B378" s="961"/>
      <c r="C378" s="962"/>
      <c r="D378" s="961"/>
      <c r="E378" s="961"/>
      <c r="F378" s="961"/>
      <c r="G378" s="961"/>
      <c r="H378" s="961"/>
      <c r="I378" s="965"/>
      <c r="J378" s="965"/>
      <c r="K378" s="965"/>
    </row>
    <row r="379" spans="1:11" x14ac:dyDescent="0.25">
      <c r="A379" s="720">
        <f>A375+1</f>
        <v>108</v>
      </c>
      <c r="B379" s="961" t="s">
        <v>1534</v>
      </c>
      <c r="C379" s="962" t="s">
        <v>1547</v>
      </c>
      <c r="D379" s="969" t="str">
        <f>IF(C379="","",_xlfn.XLOOKUP(C379,'Standalone TB'!B:B,'Standalone TB'!C:C))</f>
        <v>OTHER PROFESSIONAL FEES</v>
      </c>
      <c r="E379" s="961" t="s">
        <v>1308</v>
      </c>
      <c r="F379" s="1057">
        <v>53058.04</v>
      </c>
      <c r="G379" s="1057"/>
      <c r="H379" s="1081">
        <f>F379-G379</f>
        <v>53058.04</v>
      </c>
      <c r="I379" s="965" t="s">
        <v>2905</v>
      </c>
      <c r="J379" s="965"/>
      <c r="K379" s="965"/>
    </row>
    <row r="380" spans="1:11" x14ac:dyDescent="0.25">
      <c r="B380" s="961" t="s">
        <v>1534</v>
      </c>
      <c r="C380" s="962" t="s">
        <v>2499</v>
      </c>
      <c r="D380" s="969" t="str">
        <f>IF(C380="","",_xlfn.XLOOKUP(C380,'Standalone TB'!B:B,'Standalone TB'!C:C))</f>
        <v>CATALOGUES AND PRINTED MATTERS</v>
      </c>
      <c r="E380" s="961" t="s">
        <v>1308</v>
      </c>
      <c r="F380" s="1057"/>
      <c r="G380" s="1057">
        <f>F379</f>
        <v>53058.04</v>
      </c>
      <c r="H380" s="1081">
        <f>F380-G380</f>
        <v>-53058.04</v>
      </c>
      <c r="I380" s="965" t="s">
        <v>2905</v>
      </c>
      <c r="J380" s="965"/>
      <c r="K380" s="965"/>
    </row>
    <row r="382" spans="1:11" x14ac:dyDescent="0.25">
      <c r="A382" s="720">
        <f>A379+1</f>
        <v>109</v>
      </c>
      <c r="B382" s="961" t="s">
        <v>1526</v>
      </c>
      <c r="C382" s="967" t="s">
        <v>1590</v>
      </c>
      <c r="D382" s="969" t="str">
        <f>IF(C382="","",_xlfn.XLOOKUP(C382,'Standalone TB'!B:B,'Standalone TB'!C:C))</f>
        <v>General Deposits</v>
      </c>
      <c r="E382" s="961" t="s">
        <v>1428</v>
      </c>
      <c r="F382" s="1057">
        <f>622070</f>
        <v>622070</v>
      </c>
      <c r="G382" s="1057"/>
      <c r="H382" s="1057">
        <f>F382-G382</f>
        <v>622070</v>
      </c>
      <c r="I382" s="965" t="s">
        <v>2906</v>
      </c>
    </row>
    <row r="383" spans="1:11" x14ac:dyDescent="0.25">
      <c r="A383" s="960"/>
      <c r="B383" s="961" t="s">
        <v>1526</v>
      </c>
      <c r="C383" s="967" t="s">
        <v>2132</v>
      </c>
      <c r="D383" s="969" t="str">
        <f>IF(C383="","",_xlfn.XLOOKUP(C383,'Standalone TB'!B:B,'Standalone TB'!C:C))</f>
        <v>CBOI-INR-Main</v>
      </c>
      <c r="E383" s="961" t="s">
        <v>1428</v>
      </c>
      <c r="F383" s="1057"/>
      <c r="G383" s="1057">
        <f>F382</f>
        <v>622070</v>
      </c>
      <c r="H383" s="1057">
        <f>F383-G383</f>
        <v>-622070</v>
      </c>
      <c r="I383" s="965" t="s">
        <v>2906</v>
      </c>
    </row>
    <row r="385" spans="1:9" x14ac:dyDescent="0.25">
      <c r="A385" s="720">
        <f>A382+1</f>
        <v>110</v>
      </c>
      <c r="B385" s="961" t="s">
        <v>1526</v>
      </c>
      <c r="C385" s="967" t="s">
        <v>1658</v>
      </c>
      <c r="D385" s="969" t="str">
        <f>IF(C385="","",_xlfn.XLOOKUP(C385,'Standalone TB'!B:B,'Standalone TB'!C:C))</f>
        <v>WIP Current Asset</v>
      </c>
      <c r="E385" s="961" t="s">
        <v>1428</v>
      </c>
      <c r="F385" s="1057">
        <f>860506</f>
        <v>860506</v>
      </c>
      <c r="G385" s="1057"/>
      <c r="H385" s="1057">
        <f>F385-G385</f>
        <v>860506</v>
      </c>
      <c r="I385" s="965" t="s">
        <v>2907</v>
      </c>
    </row>
    <row r="386" spans="1:9" x14ac:dyDescent="0.25">
      <c r="B386" s="961" t="s">
        <v>1526</v>
      </c>
      <c r="C386" s="967" t="s">
        <v>1444</v>
      </c>
      <c r="D386" s="969" t="str">
        <f>IF(C386="","",_xlfn.XLOOKUP(C386,'Standalone TB'!B:B,'Standalone TB'!C:C))</f>
        <v>Work in Process (Increase) / Decrease</v>
      </c>
      <c r="E386" s="961" t="s">
        <v>1428</v>
      </c>
      <c r="F386" s="1057"/>
      <c r="G386" s="1057">
        <f>F385</f>
        <v>860506</v>
      </c>
      <c r="H386" s="1057">
        <f>F386-G386</f>
        <v>-860506</v>
      </c>
      <c r="I386" s="965" t="s">
        <v>2907</v>
      </c>
    </row>
    <row r="387" spans="1:9" x14ac:dyDescent="0.25">
      <c r="F387" s="738"/>
      <c r="G387" s="738"/>
      <c r="H387" s="738"/>
    </row>
    <row r="388" spans="1:9" x14ac:dyDescent="0.25">
      <c r="A388" s="720">
        <f>A385+1</f>
        <v>111</v>
      </c>
      <c r="B388" s="961" t="s">
        <v>1534</v>
      </c>
      <c r="C388" s="967" t="s">
        <v>1474</v>
      </c>
      <c r="D388" s="969" t="str">
        <f>IF(C388="","",_xlfn.XLOOKUP(C388,'Standalone TB'!B:B,'Standalone TB'!C:C))</f>
        <v>SALES OF SERVICES - LOCAL</v>
      </c>
      <c r="E388" s="961" t="s">
        <v>1308</v>
      </c>
      <c r="F388" s="1057">
        <v>29511</v>
      </c>
      <c r="G388" s="1057"/>
      <c r="H388" s="1057">
        <f>F388-G388</f>
        <v>29511</v>
      </c>
      <c r="I388" s="965" t="s">
        <v>2908</v>
      </c>
    </row>
    <row r="389" spans="1:9" x14ac:dyDescent="0.25">
      <c r="B389" s="961" t="s">
        <v>1534</v>
      </c>
      <c r="C389" s="962" t="s">
        <v>1660</v>
      </c>
      <c r="D389" s="969" t="str">
        <f>IF(C389="","",_xlfn.XLOOKUP(C389,'Standalone TB'!B:B,'Standalone TB'!C:C))</f>
        <v>DEFERRED INCOME</v>
      </c>
      <c r="E389" s="961" t="s">
        <v>1308</v>
      </c>
      <c r="F389" s="1057"/>
      <c r="G389" s="1057">
        <f>F388</f>
        <v>29511</v>
      </c>
      <c r="H389" s="1057">
        <f>F389-G389</f>
        <v>-29511</v>
      </c>
      <c r="I389" s="965" t="s">
        <v>2908</v>
      </c>
    </row>
    <row r="391" spans="1:9" x14ac:dyDescent="0.25">
      <c r="A391" s="720">
        <f>A388+1</f>
        <v>112</v>
      </c>
      <c r="B391" s="703" t="s">
        <v>1551</v>
      </c>
      <c r="C391" s="967" t="s">
        <v>1590</v>
      </c>
      <c r="D391" s="969" t="str">
        <f>IF(C391="","",_xlfn.XLOOKUP(C391,'Standalone TB'!B:B,'Standalone TB'!C:C))</f>
        <v>General Deposits</v>
      </c>
      <c r="E391" s="961" t="s">
        <v>1297</v>
      </c>
      <c r="F391" s="1057">
        <f>800</f>
        <v>800</v>
      </c>
      <c r="G391" s="1057"/>
      <c r="H391" s="1057">
        <f>F391-G391</f>
        <v>800</v>
      </c>
      <c r="I391" s="965" t="s">
        <v>2910</v>
      </c>
    </row>
    <row r="392" spans="1:9" x14ac:dyDescent="0.25">
      <c r="B392" s="703" t="s">
        <v>1551</v>
      </c>
      <c r="C392" s="967" t="s">
        <v>2897</v>
      </c>
      <c r="D392" s="969" t="str">
        <f>IF(C392="","",_xlfn.XLOOKUP(C392,'Standalone TB'!B:B,'Standalone TB'!C:C))</f>
        <v xml:space="preserve">Travelling </v>
      </c>
      <c r="E392" s="961" t="s">
        <v>1297</v>
      </c>
      <c r="F392" s="1057"/>
      <c r="G392" s="1057">
        <f>F391</f>
        <v>800</v>
      </c>
      <c r="H392" s="1057">
        <f>F392-G392</f>
        <v>-800</v>
      </c>
      <c r="I392" s="965" t="s">
        <v>2910</v>
      </c>
    </row>
    <row r="393" spans="1:9" x14ac:dyDescent="0.25">
      <c r="F393" s="1057"/>
      <c r="G393" s="1057"/>
      <c r="H393" s="1057"/>
      <c r="I393" s="965"/>
    </row>
    <row r="394" spans="1:9" x14ac:dyDescent="0.25">
      <c r="A394" s="720">
        <f>A391+1</f>
        <v>113</v>
      </c>
      <c r="B394" s="703" t="s">
        <v>1551</v>
      </c>
      <c r="C394" s="967" t="s">
        <v>1590</v>
      </c>
      <c r="D394" s="969" t="str">
        <f>IF(C394="","",_xlfn.XLOOKUP(C394,'Standalone TB'!B:B,'Standalone TB'!C:C))</f>
        <v>General Deposits</v>
      </c>
      <c r="E394" s="961" t="s">
        <v>1297</v>
      </c>
      <c r="F394" s="1057"/>
      <c r="G394" s="1057">
        <v>77780</v>
      </c>
      <c r="H394" s="1057">
        <f>F394-G394</f>
        <v>-77780</v>
      </c>
      <c r="I394" s="965" t="s">
        <v>2911</v>
      </c>
    </row>
    <row r="395" spans="1:9" x14ac:dyDescent="0.25">
      <c r="B395" s="703" t="s">
        <v>1551</v>
      </c>
      <c r="C395" s="967" t="s">
        <v>2897</v>
      </c>
      <c r="D395" s="969" t="str">
        <f>IF(C395="","",_xlfn.XLOOKUP(C395,'Standalone TB'!B:B,'Standalone TB'!C:C))</f>
        <v xml:space="preserve">Travelling </v>
      </c>
      <c r="E395" s="961" t="s">
        <v>1297</v>
      </c>
      <c r="F395" s="1057">
        <f>G394</f>
        <v>77780</v>
      </c>
      <c r="G395" s="1057"/>
      <c r="H395" s="1057">
        <f>F395-G395</f>
        <v>77780</v>
      </c>
      <c r="I395" s="965" t="s">
        <v>2911</v>
      </c>
    </row>
    <row r="396" spans="1:9" x14ac:dyDescent="0.25">
      <c r="F396" s="1057"/>
      <c r="G396" s="1057"/>
      <c r="H396" s="1057"/>
      <c r="I396" s="965"/>
    </row>
    <row r="397" spans="1:9" x14ac:dyDescent="0.25">
      <c r="A397" s="720">
        <f>A394+1</f>
        <v>114</v>
      </c>
      <c r="B397" s="703" t="s">
        <v>1551</v>
      </c>
      <c r="C397" s="967" t="s">
        <v>1590</v>
      </c>
      <c r="D397" s="969" t="str">
        <f>IF(C397="","",_xlfn.XLOOKUP(C397,'Standalone TB'!B:B,'Standalone TB'!C:C))</f>
        <v>General Deposits</v>
      </c>
      <c r="E397" s="961" t="s">
        <v>1297</v>
      </c>
      <c r="F397" s="1057"/>
      <c r="G397" s="1057">
        <v>5000</v>
      </c>
      <c r="H397" s="1057">
        <f>F397-G397</f>
        <v>-5000</v>
      </c>
      <c r="I397" s="965" t="s">
        <v>2912</v>
      </c>
    </row>
    <row r="398" spans="1:9" x14ac:dyDescent="0.25">
      <c r="B398" s="703" t="s">
        <v>1551</v>
      </c>
      <c r="C398" s="967" t="s">
        <v>2897</v>
      </c>
      <c r="D398" s="969" t="str">
        <f>IF(C398="","",_xlfn.XLOOKUP(C398,'Standalone TB'!B:B,'Standalone TB'!C:C))</f>
        <v xml:space="preserve">Travelling </v>
      </c>
      <c r="E398" s="961" t="s">
        <v>1297</v>
      </c>
      <c r="F398" s="1057">
        <f>G397</f>
        <v>5000</v>
      </c>
      <c r="G398" s="1057"/>
      <c r="H398" s="1057">
        <f>F398-G398</f>
        <v>5000</v>
      </c>
      <c r="I398" s="965" t="s">
        <v>2912</v>
      </c>
    </row>
    <row r="399" spans="1:9" x14ac:dyDescent="0.25">
      <c r="F399" s="1057"/>
      <c r="G399" s="1057"/>
      <c r="H399" s="1057"/>
      <c r="I399" s="965"/>
    </row>
    <row r="400" spans="1:9" x14ac:dyDescent="0.25">
      <c r="A400" s="720">
        <f>A397+1</f>
        <v>115</v>
      </c>
      <c r="B400" s="703" t="s">
        <v>1551</v>
      </c>
      <c r="C400" s="967" t="s">
        <v>1590</v>
      </c>
      <c r="D400" s="969" t="str">
        <f>IF(C400="","",_xlfn.XLOOKUP(C400,'Standalone TB'!B:B,'Standalone TB'!C:C))</f>
        <v>General Deposits</v>
      </c>
      <c r="E400" s="961" t="s">
        <v>1297</v>
      </c>
      <c r="F400" s="1057"/>
      <c r="G400" s="1057">
        <v>5000</v>
      </c>
      <c r="H400" s="1057">
        <f>F400-G400</f>
        <v>-5000</v>
      </c>
      <c r="I400" s="965" t="s">
        <v>2913</v>
      </c>
    </row>
    <row r="401" spans="1:9" x14ac:dyDescent="0.25">
      <c r="B401" s="703" t="s">
        <v>1551</v>
      </c>
      <c r="C401" s="967" t="s">
        <v>2897</v>
      </c>
      <c r="D401" s="969" t="str">
        <f>IF(C401="","",_xlfn.XLOOKUP(C401,'Standalone TB'!B:B,'Standalone TB'!C:C))</f>
        <v xml:space="preserve">Travelling </v>
      </c>
      <c r="E401" s="961" t="s">
        <v>1297</v>
      </c>
      <c r="F401" s="1057">
        <f>G400</f>
        <v>5000</v>
      </c>
      <c r="G401" s="1057"/>
      <c r="H401" s="1057">
        <f>F401-G401</f>
        <v>5000</v>
      </c>
      <c r="I401" s="965" t="s">
        <v>2913</v>
      </c>
    </row>
    <row r="403" spans="1:9" x14ac:dyDescent="0.25">
      <c r="A403" s="720">
        <f>A400+1</f>
        <v>116</v>
      </c>
      <c r="B403" s="703" t="s">
        <v>1551</v>
      </c>
      <c r="C403" s="967" t="s">
        <v>1619</v>
      </c>
      <c r="D403" s="969" t="str">
        <f>IF(C403="","",_xlfn.XLOOKUP(C403,'Standalone TB'!B:B,'Standalone TB'!C:C))</f>
        <v>Outstanding Liabilities</v>
      </c>
      <c r="E403" s="961" t="s">
        <v>1297</v>
      </c>
      <c r="F403" s="1057">
        <v>46430</v>
      </c>
      <c r="G403" s="1057"/>
      <c r="H403" s="1057">
        <f>F403-G403</f>
        <v>46430</v>
      </c>
      <c r="I403" s="965" t="s">
        <v>2917</v>
      </c>
    </row>
    <row r="404" spans="1:9" x14ac:dyDescent="0.25">
      <c r="B404" s="703" t="s">
        <v>1551</v>
      </c>
      <c r="C404" s="967" t="s">
        <v>2329</v>
      </c>
      <c r="D404" s="969" t="str">
        <f>IF(C404="","",_xlfn.XLOOKUP(C404,'Standalone TB'!B:B,'Standalone TB'!C:C))</f>
        <v>607500 SOFTWARE PURCHASES FOR SELLING</v>
      </c>
      <c r="E404" s="961" t="s">
        <v>1297</v>
      </c>
      <c r="F404" s="1057"/>
      <c r="G404" s="1057">
        <f>F403</f>
        <v>46430</v>
      </c>
      <c r="H404" s="1057">
        <f>F404-G404</f>
        <v>-46430</v>
      </c>
      <c r="I404" s="965" t="s">
        <v>2917</v>
      </c>
    </row>
  </sheetData>
  <autoFilter ref="A2:K401" xr:uid="{33945CA6-2078-4420-B53B-E5CCA7D6799F}"/>
  <conditionalFormatting sqref="C192">
    <cfRule type="duplicateValues" dxfId="2" priority="10"/>
    <cfRule type="duplicateValues" dxfId="1" priority="11"/>
    <cfRule type="duplicateValues" dxfId="0" priority="12"/>
  </conditionalFormatting>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46A29-DC69-4370-8329-26219725179B}">
  <dimension ref="A1:I28"/>
  <sheetViews>
    <sheetView showGridLines="0" zoomScaleNormal="100" workbookViewId="0">
      <selection activeCell="C18" sqref="C18"/>
    </sheetView>
  </sheetViews>
  <sheetFormatPr defaultColWidth="8.81640625" defaultRowHeight="11.5" x14ac:dyDescent="0.25"/>
  <cols>
    <col min="1" max="1" width="35.81640625" style="322" bestFit="1" customWidth="1"/>
    <col min="2" max="2" width="54" style="322" bestFit="1" customWidth="1"/>
    <col min="3" max="3" width="38.81640625" style="322" bestFit="1" customWidth="1"/>
    <col min="4" max="4" width="16.81640625" style="322" bestFit="1" customWidth="1"/>
    <col min="5" max="5" width="17.81640625" style="322" bestFit="1" customWidth="1"/>
    <col min="6" max="16384" width="8.81640625" style="322"/>
  </cols>
  <sheetData>
    <row r="1" spans="1:9" x14ac:dyDescent="0.25">
      <c r="A1" s="986"/>
      <c r="B1" s="986"/>
      <c r="C1" s="986"/>
      <c r="D1" s="986" t="s">
        <v>2811</v>
      </c>
      <c r="E1" s="986" t="s">
        <v>2812</v>
      </c>
      <c r="F1" s="986"/>
      <c r="G1" s="986"/>
      <c r="H1" s="986"/>
      <c r="I1" s="986"/>
    </row>
    <row r="3" spans="1:9" x14ac:dyDescent="0.25">
      <c r="A3" s="986" t="s">
        <v>1367</v>
      </c>
      <c r="B3" s="986"/>
      <c r="C3" s="986"/>
      <c r="D3" s="1056">
        <f>BS!E29</f>
        <v>17231.239251725274</v>
      </c>
      <c r="E3" s="1056">
        <f>BS!F29</f>
        <v>20593.697103508439</v>
      </c>
      <c r="F3" s="986"/>
      <c r="G3" s="986"/>
      <c r="H3" s="986"/>
      <c r="I3" s="986"/>
    </row>
    <row r="4" spans="1:9" x14ac:dyDescent="0.25">
      <c r="A4" s="986" t="s">
        <v>42</v>
      </c>
      <c r="B4" s="986"/>
      <c r="C4" s="986"/>
      <c r="D4" s="1056">
        <f>BS!E60</f>
        <v>11883.772641835323</v>
      </c>
      <c r="E4" s="1056">
        <f>BS!F60</f>
        <v>15760.840522764127</v>
      </c>
      <c r="F4" s="986"/>
      <c r="G4" s="986"/>
      <c r="H4" s="986"/>
      <c r="I4" s="986"/>
    </row>
    <row r="6" spans="1:9" x14ac:dyDescent="0.25">
      <c r="A6" s="986" t="s">
        <v>2813</v>
      </c>
      <c r="B6" s="986"/>
      <c r="C6" s="986"/>
      <c r="D6" s="1056">
        <f>BS!E52+BS!E46</f>
        <v>1018.2464945703705</v>
      </c>
      <c r="E6" s="1056">
        <f>BS!F52+BS!F46</f>
        <v>1004.7865492563328</v>
      </c>
      <c r="F6" s="986"/>
      <c r="G6" s="986"/>
      <c r="H6" s="986"/>
      <c r="I6" s="986"/>
    </row>
    <row r="7" spans="1:9" x14ac:dyDescent="0.25">
      <c r="A7" s="986" t="s">
        <v>1370</v>
      </c>
      <c r="B7" s="986"/>
      <c r="C7" s="986"/>
      <c r="D7" s="1056">
        <f>BS!E40</f>
        <v>11527.324568722122</v>
      </c>
      <c r="E7" s="1056">
        <f>BS!F40</f>
        <v>11415.893302792136</v>
      </c>
      <c r="F7" s="986"/>
      <c r="G7" s="986"/>
      <c r="H7" s="986"/>
      <c r="I7" s="986"/>
    </row>
    <row r="9" spans="1:9" x14ac:dyDescent="0.25">
      <c r="A9" s="986" t="s">
        <v>2814</v>
      </c>
      <c r="B9" s="986" t="s">
        <v>2815</v>
      </c>
      <c r="C9" s="986" t="s">
        <v>2816</v>
      </c>
      <c r="D9" s="1056">
        <f>PL!D21+PL!D16+PL!D17</f>
        <v>3269.2378491196332</v>
      </c>
      <c r="E9" s="1056">
        <f>PL!E21+PL!E16+PL!E17</f>
        <v>4042.9390911567334</v>
      </c>
      <c r="F9" s="1056"/>
      <c r="G9" s="986"/>
      <c r="H9" s="986"/>
      <c r="I9" s="986"/>
    </row>
    <row r="10" spans="1:9" x14ac:dyDescent="0.25">
      <c r="A10" s="986" t="s">
        <v>2817</v>
      </c>
      <c r="B10" s="986" t="s">
        <v>2818</v>
      </c>
      <c r="C10" s="986"/>
      <c r="D10" s="1056">
        <f>'Leases 29'!$E$72+'Leases 29'!$E$73</f>
        <v>-432.80306776432542</v>
      </c>
      <c r="E10" s="1056">
        <f>'Leases 29'!E67+'Leases 29'!E68</f>
        <v>-308.57161424999998</v>
      </c>
      <c r="F10" s="986" t="s">
        <v>2819</v>
      </c>
      <c r="G10" s="986" t="s">
        <v>2820</v>
      </c>
      <c r="H10" s="986"/>
      <c r="I10" s="986"/>
    </row>
    <row r="12" spans="1:9" x14ac:dyDescent="0.25">
      <c r="A12" s="986" t="s">
        <v>1375</v>
      </c>
      <c r="B12" s="986"/>
      <c r="C12" s="986"/>
      <c r="D12" s="1056">
        <f>PL!D31</f>
        <v>-3.6329940700140924</v>
      </c>
      <c r="E12" s="1056">
        <f>PL!E31</f>
        <v>-16123.397957288378</v>
      </c>
      <c r="F12" s="986"/>
      <c r="G12" s="986"/>
      <c r="H12" s="986"/>
      <c r="I12" s="986"/>
    </row>
    <row r="13" spans="1:9" x14ac:dyDescent="0.25">
      <c r="A13" s="986" t="s">
        <v>1376</v>
      </c>
      <c r="B13" s="986"/>
      <c r="C13" s="986"/>
      <c r="D13" s="1056">
        <f>(H13+I13)/2</f>
        <v>11421.090635757129</v>
      </c>
      <c r="E13" s="1056">
        <f>(G13+H13)/2</f>
        <v>19408.406435615529</v>
      </c>
      <c r="F13" s="986"/>
      <c r="G13" s="986">
        <f>'SOCE '!$G$29</f>
        <v>27451.837868438917</v>
      </c>
      <c r="H13" s="986">
        <f>'SOCE '!$G$33</f>
        <v>11364.975002792136</v>
      </c>
      <c r="I13" s="986">
        <f>'SOCE '!$G$37</f>
        <v>11477.206268722122</v>
      </c>
    </row>
    <row r="15" spans="1:9" x14ac:dyDescent="0.25">
      <c r="A15" s="986" t="s">
        <v>148</v>
      </c>
      <c r="B15" s="986"/>
      <c r="C15" s="986"/>
      <c r="D15" s="1056">
        <f>PL!D8</f>
        <v>23301.289634913093</v>
      </c>
      <c r="E15" s="1056">
        <f>PL!E8</f>
        <v>28077.966669005888</v>
      </c>
      <c r="F15" s="986"/>
      <c r="G15" s="986"/>
      <c r="H15" s="986"/>
      <c r="I15" s="986"/>
    </row>
    <row r="16" spans="1:9" x14ac:dyDescent="0.25">
      <c r="A16" s="986" t="s">
        <v>1378</v>
      </c>
      <c r="B16" s="986"/>
      <c r="C16" s="986"/>
      <c r="D16" s="1056">
        <f>('8-10'!I17+'8-10'!J17)/2</f>
        <v>10544.645855998382</v>
      </c>
      <c r="E16" s="1056">
        <v>6461.2739818940117</v>
      </c>
      <c r="F16" s="986"/>
      <c r="G16" s="986"/>
      <c r="H16" s="986"/>
      <c r="I16" s="986"/>
    </row>
    <row r="18" spans="1:7" x14ac:dyDescent="0.25">
      <c r="A18" s="986" t="s">
        <v>2821</v>
      </c>
      <c r="B18" s="986" t="s">
        <v>2822</v>
      </c>
      <c r="C18" s="986"/>
      <c r="D18" s="1056">
        <f>PL!D13+PL!D14</f>
        <v>8864.5267485347831</v>
      </c>
      <c r="E18" s="1056">
        <f>PL!E13+PL!E14</f>
        <v>10434.607953611343</v>
      </c>
      <c r="F18" s="986"/>
      <c r="G18" s="986" t="s">
        <v>2823</v>
      </c>
    </row>
    <row r="19" spans="1:7" x14ac:dyDescent="0.25">
      <c r="A19" s="986" t="s">
        <v>1381</v>
      </c>
      <c r="B19" s="986"/>
      <c r="C19" s="986"/>
      <c r="D19" s="1056">
        <f>('14-16'!I16+'14-16'!J16)/2</f>
        <v>6768.3812037570569</v>
      </c>
      <c r="E19" s="1056">
        <v>4258.7418854412936</v>
      </c>
      <c r="F19" s="986"/>
      <c r="G19" s="986"/>
    </row>
    <row r="21" spans="1:7" x14ac:dyDescent="0.25">
      <c r="A21" s="986" t="s">
        <v>148</v>
      </c>
      <c r="B21" s="986"/>
      <c r="C21" s="986"/>
      <c r="D21" s="1056">
        <f>D15</f>
        <v>23301.289634913093</v>
      </c>
      <c r="E21" s="1056">
        <f>E15</f>
        <v>28077.966669005888</v>
      </c>
      <c r="F21" s="986"/>
      <c r="G21" s="986"/>
    </row>
    <row r="22" spans="1:7" x14ac:dyDescent="0.25">
      <c r="A22" s="986" t="s">
        <v>1383</v>
      </c>
      <c r="B22" s="986"/>
      <c r="C22" s="986"/>
      <c r="D22" s="1056">
        <f>D3-D4</f>
        <v>5347.4666098899506</v>
      </c>
      <c r="E22" s="1056">
        <f>E3-E4</f>
        <v>4832.8565807443119</v>
      </c>
      <c r="F22" s="986"/>
      <c r="G22" s="986" t="s">
        <v>2824</v>
      </c>
    </row>
    <row r="24" spans="1:7" x14ac:dyDescent="0.25">
      <c r="A24" s="986" t="s">
        <v>1375</v>
      </c>
      <c r="B24" s="986"/>
      <c r="C24" s="986"/>
      <c r="D24" s="1056">
        <f>D12</f>
        <v>-3.6329940700140924</v>
      </c>
      <c r="E24" s="1056">
        <f>E12</f>
        <v>-16123.397957288378</v>
      </c>
      <c r="F24" s="986"/>
      <c r="G24" s="986"/>
    </row>
    <row r="25" spans="1:7" x14ac:dyDescent="0.25">
      <c r="A25" s="986" t="s">
        <v>148</v>
      </c>
      <c r="B25" s="986"/>
      <c r="C25" s="986"/>
      <c r="D25" s="1056">
        <f>D21</f>
        <v>23301.289634913093</v>
      </c>
      <c r="E25" s="1056">
        <f>E21</f>
        <v>28077.966669005888</v>
      </c>
      <c r="F25" s="986"/>
      <c r="G25" s="986"/>
    </row>
    <row r="27" spans="1:7" x14ac:dyDescent="0.25">
      <c r="A27" s="986" t="s">
        <v>2825</v>
      </c>
      <c r="B27" s="986"/>
      <c r="C27" s="986"/>
      <c r="D27" s="1056">
        <f>D9</f>
        <v>3269.2378491196332</v>
      </c>
      <c r="E27" s="1056">
        <f>E9</f>
        <v>4042.9390911567334</v>
      </c>
      <c r="F27" s="986"/>
      <c r="G27" s="986"/>
    </row>
    <row r="28" spans="1:7" x14ac:dyDescent="0.25">
      <c r="A28" s="986" t="s">
        <v>1387</v>
      </c>
      <c r="B28" s="986" t="s">
        <v>2826</v>
      </c>
      <c r="C28" s="986"/>
      <c r="D28" s="1056">
        <f>BS!E31-BS!E60</f>
        <v>12218.747305577115</v>
      </c>
      <c r="E28" s="1056">
        <f>BS!F31-BS!F60</f>
        <v>13002.73290319608</v>
      </c>
      <c r="F28" s="986"/>
      <c r="G28" s="986"/>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p:properties xmlns:p="http://schemas.microsoft.com/office/2006/metadata/properties" xmlns:xsi="http://www.w3.org/2001/XMLSchema-instance" xmlns:pc="http://schemas.microsoft.com/office/infopath/2007/PartnerControls">
  <documentManagement>
    <TaxCatchAll xmlns="fec3a1c8-6444-49c9-b4ef-7d8275c67588" xsi:nil="true"/>
    <lcf76f155ced4ddcb4097134ff3c332f xmlns="8682699a-f222-473d-8056-9bb029f7ef23">
      <Terms xmlns="http://schemas.microsoft.com/office/infopath/2007/PartnerControls"/>
    </lcf76f155ced4ddcb4097134ff3c332f>
    <_dlc_DocId xmlns="7fe48056-b612-4515-9d3d-4fe27df8245f">MZRA3WMNCECC-1981854696-8009</_dlc_DocId>
    <_dlc_DocIdUrl xmlns="7fe48056-b612-4515-9d3d-4fe27df8245f">
      <Url>https://eviden.sharepoint.com/sites/100005231/_layouts/15/DocIdRedir.aspx?ID=MZRA3WMNCECC-1981854696-8009</Url>
      <Description>MZRA3WMNCECC-1981854696-8009</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FBB5FDE7DF24F041A46C69472145D74B" ma:contentTypeVersion="17" ma:contentTypeDescription="Create a new document." ma:contentTypeScope="" ma:versionID="f52aea9dab72786be447857f6d40c32e">
  <xsd:schema xmlns:xsd="http://www.w3.org/2001/XMLSchema" xmlns:xs="http://www.w3.org/2001/XMLSchema" xmlns:p="http://schemas.microsoft.com/office/2006/metadata/properties" xmlns:ns2="7fe48056-b612-4515-9d3d-4fe27df8245f" xmlns:ns3="8682699a-f222-473d-8056-9bb029f7ef23" xmlns:ns4="fec3a1c8-6444-49c9-b4ef-7d8275c67588" targetNamespace="http://schemas.microsoft.com/office/2006/metadata/properties" ma:root="true" ma:fieldsID="8099529cf62548156deafae8f4a63a22" ns2:_="" ns3:_="" ns4:_="">
    <xsd:import namespace="7fe48056-b612-4515-9d3d-4fe27df8245f"/>
    <xsd:import namespace="8682699a-f222-473d-8056-9bb029f7ef23"/>
    <xsd:import namespace="fec3a1c8-6444-49c9-b4ef-7d8275c67588"/>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SearchProperties" minOccurs="0"/>
                <xsd:element ref="ns3:lcf76f155ced4ddcb4097134ff3c332f" minOccurs="0"/>
                <xsd:element ref="ns4: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e48056-b612-4515-9d3d-4fe27df8245f" elementFormDefault="qualified">
    <xsd:import namespace="http://schemas.microsoft.com/office/2006/documentManagement/types"/>
    <xsd:import namespace="http://schemas.microsoft.com/office/infopath/2007/PartnerControls"/>
    <xsd:element name="_dlc_DocId" ma:index="4" nillable="true" ma:displayName="Document ID Value" ma:description="The value of the document ID assigned to this item." ma:indexed="true" ma:internalName="_dlc_DocId" ma:readOnly="true">
      <xsd:simpleType>
        <xsd:restriction base="dms:Text"/>
      </xsd:simpleType>
    </xsd:element>
    <xsd:element name="_dlc_DocIdUrl" ma:index="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6" nillable="true" ma:displayName="Persist ID" ma:description="Keep ID on add." ma:hidden="true" ma:internalName="_dlc_DocIdPersistId" ma:readOnly="true">
      <xsd:simpleType>
        <xsd:restriction base="dms:Boolean"/>
      </xsd:simpleType>
    </xsd:element>
    <xsd:element name="SharedWithUsers" ma:index="11"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682699a-f222-473d-8056-9bb029f7ef23"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c3a9a5e-333b-4fef-a9ef-88743c94475f"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ec3a1c8-6444-49c9-b4ef-7d8275c67588"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6294d30a-4ca0-41bb-8d07-e8125ab9975c}" ma:internalName="TaxCatchAll" ma:showField="CatchAllData" ma:web="7fe48056-b612-4515-9d3d-4fe27df824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480C7F9-AEDD-4710-8EC4-5049A19B24F7}">
  <ds:schemaRefs>
    <ds:schemaRef ds:uri="http://schemas.microsoft.com/sharepoint/events"/>
  </ds:schemaRefs>
</ds:datastoreItem>
</file>

<file path=customXml/itemProps2.xml><?xml version="1.0" encoding="utf-8"?>
<ds:datastoreItem xmlns:ds="http://schemas.openxmlformats.org/officeDocument/2006/customXml" ds:itemID="{0DE01577-D60D-408E-A2EE-80E11AB28DCA}">
  <ds:schemaRefs>
    <ds:schemaRef ds:uri="fec3a1c8-6444-49c9-b4ef-7d8275c67588"/>
    <ds:schemaRef ds:uri="http://schemas.microsoft.com/office/infopath/2007/PartnerControls"/>
    <ds:schemaRef ds:uri="http://www.w3.org/XML/1998/namespace"/>
    <ds:schemaRef ds:uri="http://schemas.microsoft.com/office/2006/documentManagement/types"/>
    <ds:schemaRef ds:uri="8682699a-f222-473d-8056-9bb029f7ef23"/>
    <ds:schemaRef ds:uri="http://schemas.openxmlformats.org/package/2006/metadata/core-properties"/>
    <ds:schemaRef ds:uri="http://schemas.microsoft.com/office/2006/metadata/properties"/>
    <ds:schemaRef ds:uri="http://purl.org/dc/elements/1.1/"/>
    <ds:schemaRef ds:uri="http://purl.org/dc/terms/"/>
    <ds:schemaRef ds:uri="http://purl.org/dc/dcmitype/"/>
    <ds:schemaRef ds:uri="7fe48056-b612-4515-9d3d-4fe27df8245f"/>
  </ds:schemaRefs>
</ds:datastoreItem>
</file>

<file path=customXml/itemProps3.xml><?xml version="1.0" encoding="utf-8"?>
<ds:datastoreItem xmlns:ds="http://schemas.openxmlformats.org/officeDocument/2006/customXml" ds:itemID="{CC0CDD0D-FE6B-468E-ACC8-7D114A2258C3}">
  <ds:schemaRefs>
    <ds:schemaRef ds:uri="http://schemas.microsoft.com/sharepoint/v3/contenttype/forms"/>
  </ds:schemaRefs>
</ds:datastoreItem>
</file>

<file path=customXml/itemProps4.xml><?xml version="1.0" encoding="utf-8"?>
<ds:datastoreItem xmlns:ds="http://schemas.openxmlformats.org/officeDocument/2006/customXml" ds:itemID="{426C1C30-72A8-41CE-82EF-8E4D1EFAC7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e48056-b612-4515-9d3d-4fe27df8245f"/>
    <ds:schemaRef ds:uri="8682699a-f222-473d-8056-9bb029f7ef23"/>
    <ds:schemaRef ds:uri="fec3a1c8-6444-49c9-b4ef-7d8275c675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20</vt:i4>
      </vt:variant>
    </vt:vector>
  </HeadingPairs>
  <TitlesOfParts>
    <vt:vector size="44" baseType="lpstr">
      <vt:lpstr>BS</vt:lpstr>
      <vt:lpstr>Cash flow Working</vt:lpstr>
      <vt:lpstr>PL</vt:lpstr>
      <vt:lpstr>SOCE </vt:lpstr>
      <vt:lpstr>Cashflow</vt:lpstr>
      <vt:lpstr>Note 1-2</vt:lpstr>
      <vt:lpstr>3-4</vt:lpstr>
      <vt:lpstr>5-7</vt:lpstr>
      <vt:lpstr>8-10</vt:lpstr>
      <vt:lpstr>11-13</vt:lpstr>
      <vt:lpstr>14-16</vt:lpstr>
      <vt:lpstr>17-25</vt:lpstr>
      <vt:lpstr>26-27</vt:lpstr>
      <vt:lpstr>E'ee Benefits 28 </vt:lpstr>
      <vt:lpstr>Leases 29</vt:lpstr>
      <vt:lpstr>30 RPT</vt:lpstr>
      <vt:lpstr>31 FVM</vt:lpstr>
      <vt:lpstr>32-33 FRM</vt:lpstr>
      <vt:lpstr>Note 34-43</vt:lpstr>
      <vt:lpstr>Elimination - PL</vt:lpstr>
      <vt:lpstr>Elimination - BS</vt:lpstr>
      <vt:lpstr>Standalone TB</vt:lpstr>
      <vt:lpstr>OBE</vt:lpstr>
      <vt:lpstr>Ratios Working</vt:lpstr>
      <vt:lpstr>'11-13'!Print_Area</vt:lpstr>
      <vt:lpstr>'14-16'!Print_Area</vt:lpstr>
      <vt:lpstr>'17-25'!Print_Area</vt:lpstr>
      <vt:lpstr>'26-27'!Print_Area</vt:lpstr>
      <vt:lpstr>'30 RPT'!Print_Area</vt:lpstr>
      <vt:lpstr>'31 FVM'!Print_Area</vt:lpstr>
      <vt:lpstr>'32-33 FRM'!Print_Area</vt:lpstr>
      <vt:lpstr>'3-4'!Print_Area</vt:lpstr>
      <vt:lpstr>'5-7'!Print_Area</vt:lpstr>
      <vt:lpstr>'8-10'!Print_Area</vt:lpstr>
      <vt:lpstr>BS!Print_Area</vt:lpstr>
      <vt:lpstr>Cashflow!Print_Area</vt:lpstr>
      <vt:lpstr>'E''ee Benefits 28 '!Print_Area</vt:lpstr>
      <vt:lpstr>'Leases 29'!Print_Area</vt:lpstr>
      <vt:lpstr>'Note 1-2'!Print_Area</vt:lpstr>
      <vt:lpstr>'Note 34-43'!Print_Area</vt:lpstr>
      <vt:lpstr>PL!Print_Area</vt:lpstr>
      <vt:lpstr>'SOCE '!Print_Area</vt:lpstr>
      <vt:lpstr>'14-16'!Print_Titles</vt:lpstr>
      <vt:lpstr>'3-4'!Print_Titles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Nair, Rajesh</dc:creator>
  <cp:keywords/>
  <dc:description/>
  <cp:lastModifiedBy>Yash Nagar</cp:lastModifiedBy>
  <cp:revision/>
  <dcterms:created xsi:type="dcterms:W3CDTF">2022-07-19T07:10:24Z</dcterms:created>
  <dcterms:modified xsi:type="dcterms:W3CDTF">2026-06-09T11:44:41Z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463cba9-5f6c-478d-9329-7b2295e4e8ed_Enabled">
    <vt:lpwstr>true</vt:lpwstr>
  </property>
  <property fmtid="{D5CDD505-2E9C-101B-9397-08002B2CF9AE}" pid="3" name="MSIP_Label_e463cba9-5f6c-478d-9329-7b2295e4e8ed_SetDate">
    <vt:lpwstr>2022-07-19T07:10:25Z</vt:lpwstr>
  </property>
  <property fmtid="{D5CDD505-2E9C-101B-9397-08002B2CF9AE}" pid="4" name="MSIP_Label_e463cba9-5f6c-478d-9329-7b2295e4e8ed_Method">
    <vt:lpwstr>Standard</vt:lpwstr>
  </property>
  <property fmtid="{D5CDD505-2E9C-101B-9397-08002B2CF9AE}" pid="5" name="MSIP_Label_e463cba9-5f6c-478d-9329-7b2295e4e8ed_Name">
    <vt:lpwstr>All Employees_2</vt:lpwstr>
  </property>
  <property fmtid="{D5CDD505-2E9C-101B-9397-08002B2CF9AE}" pid="6" name="MSIP_Label_e463cba9-5f6c-478d-9329-7b2295e4e8ed_SiteId">
    <vt:lpwstr>33440fc6-b7c7-412c-bb73-0e70b0198d5a</vt:lpwstr>
  </property>
  <property fmtid="{D5CDD505-2E9C-101B-9397-08002B2CF9AE}" pid="7" name="MSIP_Label_e463cba9-5f6c-478d-9329-7b2295e4e8ed_ActionId">
    <vt:lpwstr>3207977e-159b-400a-8095-d178bbfe8413</vt:lpwstr>
  </property>
  <property fmtid="{D5CDD505-2E9C-101B-9397-08002B2CF9AE}" pid="8" name="MSIP_Label_e463cba9-5f6c-478d-9329-7b2295e4e8ed_ContentBits">
    <vt:lpwstr>0</vt:lpwstr>
  </property>
  <property fmtid="{D5CDD505-2E9C-101B-9397-08002B2CF9AE}" pid="9" name="ContentTypeId">
    <vt:lpwstr>0x010100FBB5FDE7DF24F041A46C69472145D74B</vt:lpwstr>
  </property>
  <property fmtid="{D5CDD505-2E9C-101B-9397-08002B2CF9AE}" pid="10" name="MSIP_Label_ecb69475-382c-4c7a-b21d-8ca64eeef1bd_Enabled">
    <vt:lpwstr>true</vt:lpwstr>
  </property>
  <property fmtid="{D5CDD505-2E9C-101B-9397-08002B2CF9AE}" pid="11" name="MSIP_Label_ecb69475-382c-4c7a-b21d-8ca64eeef1bd_SetDate">
    <vt:lpwstr>2024-02-02T04:44:45Z</vt:lpwstr>
  </property>
  <property fmtid="{D5CDD505-2E9C-101B-9397-08002B2CF9AE}" pid="12" name="MSIP_Label_ecb69475-382c-4c7a-b21d-8ca64eeef1bd_Method">
    <vt:lpwstr>Standard</vt:lpwstr>
  </property>
  <property fmtid="{D5CDD505-2E9C-101B-9397-08002B2CF9AE}" pid="13" name="MSIP_Label_ecb69475-382c-4c7a-b21d-8ca64eeef1bd_Name">
    <vt:lpwstr>Eviden For Internal Use - All Employees</vt:lpwstr>
  </property>
  <property fmtid="{D5CDD505-2E9C-101B-9397-08002B2CF9AE}" pid="14" name="MSIP_Label_ecb69475-382c-4c7a-b21d-8ca64eeef1bd_SiteId">
    <vt:lpwstr>7d1c7785-2d8a-437d-b842-1ed5d8fbe00a</vt:lpwstr>
  </property>
  <property fmtid="{D5CDD505-2E9C-101B-9397-08002B2CF9AE}" pid="15" name="MSIP_Label_ecb69475-382c-4c7a-b21d-8ca64eeef1bd_ActionId">
    <vt:lpwstr>5ff6b718-89f0-4c13-b8df-977291a7513c</vt:lpwstr>
  </property>
  <property fmtid="{D5CDD505-2E9C-101B-9397-08002B2CF9AE}" pid="16" name="MSIP_Label_ecb69475-382c-4c7a-b21d-8ca64eeef1bd_ContentBits">
    <vt:lpwstr>0</vt:lpwstr>
  </property>
  <property fmtid="{D5CDD505-2E9C-101B-9397-08002B2CF9AE}" pid="17" name="_dlc_DocIdItemGuid">
    <vt:lpwstr>57b1b55f-c1ab-4ff6-94f4-258afbb20e02</vt:lpwstr>
  </property>
  <property fmtid="{D5CDD505-2E9C-101B-9397-08002B2CF9AE}" pid="18" name="MSIP_Label_506d4b6f-0317-4b96-bd62-f6d252391bda_Enabled">
    <vt:lpwstr>true</vt:lpwstr>
  </property>
  <property fmtid="{D5CDD505-2E9C-101B-9397-08002B2CF9AE}" pid="19" name="MSIP_Label_506d4b6f-0317-4b96-bd62-f6d252391bda_SetDate">
    <vt:lpwstr>2026-05-22T13:44:46Z</vt:lpwstr>
  </property>
  <property fmtid="{D5CDD505-2E9C-101B-9397-08002B2CF9AE}" pid="20" name="MSIP_Label_506d4b6f-0317-4b96-bd62-f6d252391bda_Method">
    <vt:lpwstr>Standard</vt:lpwstr>
  </property>
  <property fmtid="{D5CDD505-2E9C-101B-9397-08002B2CF9AE}" pid="21" name="MSIP_Label_506d4b6f-0317-4b96-bd62-f6d252391bda_Name">
    <vt:lpwstr>General</vt:lpwstr>
  </property>
  <property fmtid="{D5CDD505-2E9C-101B-9397-08002B2CF9AE}" pid="22" name="MSIP_Label_506d4b6f-0317-4b96-bd62-f6d252391bda_SiteId">
    <vt:lpwstr>05b5fe2e-db2c-48e5-bfd8-778b75cb0f8e</vt:lpwstr>
  </property>
  <property fmtid="{D5CDD505-2E9C-101B-9397-08002B2CF9AE}" pid="23" name="MSIP_Label_506d4b6f-0317-4b96-bd62-f6d252391bda_ActionId">
    <vt:lpwstr>e31f7e7b-f38d-4e27-a8db-195b308a708d</vt:lpwstr>
  </property>
  <property fmtid="{D5CDD505-2E9C-101B-9397-08002B2CF9AE}" pid="24" name="MSIP_Label_506d4b6f-0317-4b96-bd62-f6d252391bda_ContentBits">
    <vt:lpwstr>0</vt:lpwstr>
  </property>
  <property fmtid="{D5CDD505-2E9C-101B-9397-08002B2CF9AE}" pid="25" name="MSIP_Label_506d4b6f-0317-4b96-bd62-f6d252391bda_Tag">
    <vt:lpwstr>10, 3, 0, 1</vt:lpwstr>
  </property>
</Properties>
</file>